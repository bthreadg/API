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https://threadgillcompanyllc-my.sharepoint.com/personal/brentthreadgill_threadgillcompanyllc_onmicrosoft_com/Documents/Snowball/0001 GPT MDs/Prototypes/"/>
    </mc:Choice>
  </mc:AlternateContent>
  <xr:revisionPtr revIDLastSave="0" documentId="8_{7700F9A6-464D-4690-8B4D-8767EA5C4641}" xr6:coauthVersionLast="47" xr6:coauthVersionMax="47" xr10:uidLastSave="{00000000-0000-0000-0000-000000000000}"/>
  <bookViews>
    <workbookView xWindow="-120" yWindow="-120" windowWidth="29040" windowHeight="17520" xr2:uid="{00000000-000D-0000-FFFF-FFFF00000000}"/>
  </bookViews>
  <sheets>
    <sheet name="READ ME" sheetId="12" r:id="rId1"/>
    <sheet name="Research Dashboard" sheetId="1" r:id="rId2"/>
    <sheet name="Notes" sheetId="13" r:id="rId3"/>
    <sheet name="Settings" sheetId="2" r:id="rId4"/>
    <sheet name="Data" sheetId="3" r:id="rId5"/>
    <sheet name="Holdings" sheetId="4" r:id="rId6"/>
    <sheet name="Performance" sheetId="5" r:id="rId7"/>
    <sheet name="Income" sheetId="6" r:id="rId8"/>
    <sheet name="Management" sheetId="7" r:id="rId9"/>
    <sheet name="History" sheetId="8" r:id="rId10"/>
    <sheet name="Earnings" sheetId="9" r:id="rId11"/>
    <sheet name="News" sheetId="10" r:id="rId12"/>
    <sheet name="Requests" sheetId="11" r:id="rId1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 i="3" l="1"/>
  <c r="B72" i="1"/>
  <c r="B60" i="1"/>
  <c r="J51" i="1"/>
  <c r="J50" i="1"/>
  <c r="J49" i="1"/>
  <c r="J48" i="1"/>
  <c r="J47" i="1"/>
  <c r="J46" i="1"/>
  <c r="J44" i="1"/>
  <c r="B43" i="1"/>
  <c r="B42" i="1"/>
  <c r="J41" i="1"/>
  <c r="B41" i="1"/>
  <c r="B40" i="1"/>
  <c r="B39" i="1"/>
  <c r="B38" i="1"/>
  <c r="B37" i="1"/>
  <c r="B36" i="1"/>
  <c r="B35" i="1"/>
  <c r="B34" i="1"/>
  <c r="B33" i="1"/>
  <c r="F39" i="1" l="1"/>
  <c r="B46" i="1"/>
  <c r="F42" i="1"/>
  <c r="G50" i="1"/>
  <c r="B50" i="1"/>
  <c r="B51" i="1"/>
  <c r="N49" i="1"/>
  <c r="N50" i="1"/>
  <c r="D49" i="1"/>
  <c r="J39" i="1"/>
  <c r="D50" i="1"/>
  <c r="G49" i="1"/>
  <c r="B49" i="1"/>
  <c r="M39" i="1"/>
  <c r="F33" i="1"/>
  <c r="B28" i="1"/>
  <c r="B26" i="1"/>
  <c r="B23" i="1"/>
  <c r="B22" i="1"/>
  <c r="B19" i="1"/>
  <c r="B18" i="1"/>
  <c r="F41" i="1"/>
  <c r="F40" i="1"/>
  <c r="O39" i="1"/>
  <c r="D55" i="1"/>
  <c r="D54" i="1"/>
  <c r="B53" i="1"/>
  <c r="B52" i="1"/>
  <c r="D51" i="1"/>
  <c r="G55" i="1"/>
  <c r="B55" i="1"/>
  <c r="B54" i="1"/>
  <c r="D53" i="1"/>
  <c r="D52" i="1"/>
  <c r="G51" i="1"/>
  <c r="J55" i="1"/>
  <c r="G54" i="1"/>
  <c r="G53" i="1"/>
  <c r="G52" i="1"/>
  <c r="N51" i="1"/>
  <c r="F43" i="1"/>
  <c r="N48" i="1"/>
  <c r="N47" i="1"/>
  <c r="N46" i="1"/>
  <c r="B16" i="1"/>
  <c r="B13" i="1"/>
  <c r="B12" i="1"/>
  <c r="B10" i="1"/>
  <c r="B8" i="1"/>
  <c r="F531" i="8"/>
  <c r="F530" i="8"/>
  <c r="F529" i="8"/>
  <c r="F528" i="8"/>
  <c r="F527" i="8"/>
  <c r="F526" i="8"/>
  <c r="F525" i="8"/>
  <c r="F524" i="8"/>
  <c r="F523" i="8"/>
  <c r="F522" i="8"/>
  <c r="F521" i="8"/>
  <c r="F520" i="8"/>
  <c r="F519" i="8"/>
  <c r="F518" i="8"/>
  <c r="F517" i="8"/>
  <c r="F516" i="8"/>
  <c r="F515" i="8"/>
  <c r="F514" i="8"/>
  <c r="F513" i="8"/>
  <c r="F512" i="8"/>
  <c r="F511" i="8"/>
  <c r="F510" i="8"/>
  <c r="F509" i="8"/>
  <c r="F508" i="8"/>
  <c r="F507" i="8"/>
  <c r="F506" i="8"/>
  <c r="F505" i="8"/>
  <c r="F504" i="8"/>
  <c r="F503" i="8"/>
  <c r="F502" i="8"/>
  <c r="F501" i="8"/>
  <c r="F500" i="8"/>
  <c r="F499" i="8"/>
  <c r="F498" i="8"/>
  <c r="F497" i="8"/>
  <c r="F496" i="8"/>
  <c r="F495" i="8"/>
  <c r="F494" i="8"/>
  <c r="F493" i="8"/>
  <c r="F492" i="8"/>
  <c r="F491" i="8"/>
  <c r="F490" i="8"/>
  <c r="F489" i="8"/>
  <c r="F488" i="8"/>
  <c r="F487" i="8"/>
  <c r="F486" i="8"/>
  <c r="F485" i="8"/>
  <c r="F436" i="8"/>
  <c r="F435" i="8"/>
  <c r="F434" i="8"/>
  <c r="F433" i="8"/>
  <c r="F432" i="8"/>
  <c r="F431" i="8"/>
  <c r="F430" i="8"/>
  <c r="F429" i="8"/>
  <c r="F428" i="8"/>
  <c r="F427" i="8"/>
  <c r="F426" i="8"/>
  <c r="F425" i="8"/>
  <c r="F424" i="8"/>
  <c r="F423" i="8"/>
  <c r="F422" i="8"/>
  <c r="F421" i="8"/>
  <c r="F420" i="8"/>
  <c r="F419" i="8"/>
  <c r="F418" i="8"/>
  <c r="F417" i="8"/>
  <c r="F416" i="8"/>
  <c r="F415" i="8"/>
  <c r="F414" i="8"/>
  <c r="F413" i="8"/>
  <c r="F412" i="8"/>
  <c r="F411" i="8"/>
  <c r="F275" i="8"/>
  <c r="F273" i="8"/>
  <c r="F271" i="8"/>
  <c r="F269" i="8"/>
  <c r="F267" i="8"/>
  <c r="B106" i="1"/>
  <c r="B99" i="1"/>
  <c r="B95" i="1"/>
  <c r="B88" i="1"/>
  <c r="B68" i="1"/>
  <c r="D67" i="1"/>
  <c r="B67" i="1"/>
  <c r="M64" i="1"/>
  <c r="J59" i="1"/>
  <c r="M58" i="1"/>
  <c r="J58" i="1"/>
  <c r="G58" i="1"/>
  <c r="D58" i="1"/>
  <c r="B58" i="1"/>
  <c r="G57" i="1"/>
  <c r="D57" i="1"/>
  <c r="B57" i="1"/>
  <c r="D56" i="1"/>
  <c r="F410" i="8"/>
  <c r="F409" i="8"/>
  <c r="F408" i="8"/>
  <c r="F407" i="8"/>
  <c r="F406" i="8"/>
  <c r="F405" i="8"/>
  <c r="F404" i="8"/>
  <c r="F403" i="8"/>
  <c r="F402" i="8"/>
  <c r="F401" i="8"/>
  <c r="F400" i="8"/>
  <c r="F399" i="8"/>
  <c r="F398" i="8"/>
  <c r="F397" i="8"/>
  <c r="F396" i="8"/>
  <c r="F395" i="8"/>
  <c r="F394" i="8"/>
  <c r="F393" i="8"/>
  <c r="F392" i="8"/>
  <c r="F391" i="8"/>
  <c r="F390" i="8"/>
  <c r="F389" i="8"/>
  <c r="F388" i="8"/>
  <c r="F387" i="8"/>
  <c r="F386" i="8"/>
  <c r="F385" i="8"/>
  <c r="F384" i="8"/>
  <c r="F383" i="8"/>
  <c r="F382" i="8"/>
  <c r="F381" i="8"/>
  <c r="F380" i="8"/>
  <c r="F379" i="8"/>
  <c r="F378" i="8"/>
  <c r="F377" i="8"/>
  <c r="F376" i="8"/>
  <c r="F375" i="8"/>
  <c r="F374" i="8"/>
  <c r="F373" i="8"/>
  <c r="F372" i="8"/>
  <c r="F371" i="8"/>
  <c r="F370" i="8"/>
  <c r="F369" i="8"/>
  <c r="F368" i="8"/>
  <c r="F296" i="8"/>
  <c r="F295" i="8"/>
  <c r="F294" i="8"/>
  <c r="F293" i="8"/>
  <c r="F292" i="8"/>
  <c r="F291" i="8"/>
  <c r="F290" i="8"/>
  <c r="F289" i="8"/>
  <c r="F288" i="8"/>
  <c r="F287" i="8"/>
  <c r="F286" i="8"/>
  <c r="F285" i="8"/>
  <c r="F284" i="8"/>
  <c r="F283" i="8"/>
  <c r="F282" i="8"/>
  <c r="F281" i="8"/>
  <c r="F280" i="8"/>
  <c r="F279" i="8"/>
  <c r="F278" i="8"/>
  <c r="F277" i="8"/>
  <c r="F276" i="8"/>
  <c r="F274" i="8"/>
  <c r="F272" i="8"/>
  <c r="F270" i="8"/>
  <c r="F268" i="8"/>
  <c r="F266" i="8"/>
  <c r="B111" i="1"/>
  <c r="N76" i="1"/>
  <c r="N73" i="1"/>
  <c r="F70" i="1"/>
  <c r="D70" i="1"/>
  <c r="B70" i="1"/>
  <c r="F69" i="1"/>
  <c r="D69" i="1"/>
  <c r="B69" i="1"/>
  <c r="F68" i="1"/>
  <c r="D68" i="1"/>
  <c r="J67" i="1"/>
  <c r="J63" i="1"/>
  <c r="J62" i="1"/>
  <c r="M60" i="1"/>
  <c r="J60" i="1"/>
  <c r="M59" i="1"/>
  <c r="B56" i="1"/>
  <c r="F265" i="8"/>
  <c r="F264" i="8"/>
  <c r="F263" i="8"/>
  <c r="F262" i="8"/>
  <c r="F261" i="8"/>
  <c r="F260" i="8"/>
  <c r="F259" i="8"/>
  <c r="F258" i="8"/>
  <c r="F257" i="8"/>
  <c r="F256" i="8"/>
  <c r="F255" i="8"/>
  <c r="F254" i="8"/>
  <c r="F253" i="8"/>
  <c r="F252" i="8"/>
  <c r="F251" i="8"/>
  <c r="F185" i="8"/>
  <c r="F184" i="8"/>
  <c r="F183" i="8"/>
  <c r="F182" i="8"/>
  <c r="F181" i="8"/>
  <c r="F180" i="8"/>
  <c r="F179" i="8"/>
  <c r="F178" i="8"/>
  <c r="F177" i="8"/>
  <c r="F176" i="8"/>
  <c r="F175" i="8"/>
  <c r="F174" i="8"/>
  <c r="F173" i="8"/>
  <c r="F172" i="8"/>
  <c r="F171" i="8"/>
  <c r="F170" i="8"/>
  <c r="F169" i="8"/>
  <c r="F168" i="8"/>
  <c r="F167" i="8"/>
  <c r="F166" i="8"/>
  <c r="F165" i="8"/>
  <c r="F164" i="8"/>
  <c r="F163" i="8"/>
  <c r="F162" i="8"/>
  <c r="F161" i="8"/>
  <c r="F160" i="8"/>
  <c r="F159" i="8"/>
  <c r="F158" i="8"/>
  <c r="F157" i="8"/>
  <c r="F156" i="8"/>
  <c r="F155" i="8"/>
  <c r="F154" i="8"/>
  <c r="F153" i="8"/>
  <c r="F152" i="8"/>
  <c r="F151" i="8"/>
  <c r="F150" i="8"/>
  <c r="F149" i="8"/>
  <c r="F148" i="8"/>
  <c r="F147" i="8"/>
  <c r="F146" i="8"/>
  <c r="F145" i="8"/>
  <c r="F144" i="8"/>
  <c r="F143" i="8"/>
  <c r="F142" i="8"/>
  <c r="F141" i="8"/>
  <c r="F140" i="8"/>
  <c r="F139" i="8"/>
  <c r="F138" i="8"/>
  <c r="F137" i="8"/>
  <c r="F136" i="8"/>
  <c r="F135" i="8"/>
  <c r="F134" i="8"/>
  <c r="F76" i="8"/>
  <c r="F75" i="8"/>
  <c r="F74" i="8"/>
  <c r="F73" i="8"/>
  <c r="F72" i="8"/>
  <c r="F71" i="8"/>
  <c r="F70" i="8"/>
  <c r="B101" i="1"/>
  <c r="B97" i="1"/>
  <c r="B93" i="1"/>
  <c r="B81" i="1"/>
  <c r="F67" i="1"/>
  <c r="M65" i="1"/>
  <c r="J65" i="1"/>
  <c r="J64" i="1"/>
  <c r="M63" i="1"/>
  <c r="M62" i="1"/>
  <c r="M61" i="1"/>
  <c r="J61" i="1"/>
  <c r="G56" i="1"/>
  <c r="F69" i="8"/>
  <c r="F68" i="8"/>
  <c r="F67" i="8"/>
  <c r="F66" i="8"/>
  <c r="F65" i="8"/>
  <c r="F64" i="8"/>
  <c r="F63" i="8"/>
  <c r="F62" i="8"/>
  <c r="F61" i="8"/>
  <c r="F60" i="8"/>
  <c r="F59" i="8"/>
  <c r="F58" i="8"/>
  <c r="F57" i="8"/>
  <c r="F56" i="8"/>
  <c r="F55" i="8"/>
  <c r="F54" i="8"/>
  <c r="F53" i="8"/>
  <c r="F52" i="8"/>
  <c r="F51" i="8"/>
  <c r="F50" i="8"/>
  <c r="F49" i="8"/>
  <c r="F48" i="8"/>
  <c r="F47" i="8"/>
  <c r="F46" i="8"/>
  <c r="F45" i="8"/>
  <c r="F44" i="8"/>
  <c r="F43" i="8"/>
  <c r="F42" i="8"/>
  <c r="F41" i="8"/>
  <c r="F40" i="8"/>
  <c r="F39" i="8"/>
  <c r="F38" i="8"/>
  <c r="F37" i="8"/>
  <c r="F36" i="8"/>
  <c r="F35" i="8"/>
  <c r="F34" i="8"/>
  <c r="F33" i="8"/>
  <c r="F32" i="8"/>
  <c r="F31" i="8"/>
  <c r="F30" i="8"/>
  <c r="F29" i="8"/>
  <c r="F28" i="8"/>
  <c r="F27" i="8"/>
  <c r="F26" i="8"/>
  <c r="F25" i="8"/>
  <c r="F24" i="8"/>
  <c r="F23" i="8"/>
  <c r="F22" i="8"/>
  <c r="F21" i="8"/>
  <c r="F20" i="8"/>
  <c r="F19" i="8"/>
  <c r="F18" i="8"/>
  <c r="F17" i="8"/>
  <c r="F600" i="8"/>
  <c r="F599" i="8"/>
  <c r="F598" i="8"/>
  <c r="F597" i="8"/>
  <c r="F596" i="8"/>
  <c r="F595" i="8"/>
  <c r="F594" i="8"/>
  <c r="F593" i="8"/>
  <c r="F592" i="8"/>
  <c r="F591" i="8"/>
  <c r="F590" i="8"/>
  <c r="F589" i="8"/>
  <c r="F588" i="8"/>
  <c r="F587" i="8"/>
  <c r="F586" i="8"/>
  <c r="F585" i="8"/>
  <c r="F584" i="8"/>
  <c r="F583" i="8"/>
  <c r="F582" i="8"/>
  <c r="F581" i="8"/>
  <c r="F580" i="8"/>
  <c r="F579" i="8"/>
  <c r="F578" i="8"/>
  <c r="F577" i="8"/>
  <c r="F576" i="8"/>
  <c r="F575" i="8"/>
  <c r="F574" i="8"/>
  <c r="F573" i="8"/>
  <c r="F572" i="8"/>
  <c r="F571" i="8"/>
  <c r="F570" i="8"/>
  <c r="F569" i="8"/>
  <c r="F568" i="8"/>
  <c r="F567" i="8"/>
  <c r="F566" i="8"/>
  <c r="F565" i="8"/>
  <c r="F564" i="8"/>
  <c r="F563" i="8"/>
  <c r="F562" i="8"/>
  <c r="F561" i="8"/>
  <c r="F560" i="8"/>
  <c r="F559" i="8"/>
  <c r="F558" i="8"/>
  <c r="F557" i="8"/>
  <c r="F556" i="8"/>
  <c r="F555" i="8"/>
  <c r="F554" i="8"/>
  <c r="F553" i="8"/>
  <c r="F552" i="8"/>
  <c r="F551" i="8"/>
  <c r="F550" i="8"/>
  <c r="F549" i="8"/>
  <c r="F548" i="8"/>
  <c r="F547" i="8"/>
  <c r="F546" i="8"/>
  <c r="F545" i="8"/>
  <c r="F544" i="8"/>
  <c r="F543" i="8"/>
  <c r="F542" i="8"/>
  <c r="F541" i="8"/>
  <c r="F540" i="8"/>
  <c r="F539" i="8"/>
  <c r="F538" i="8"/>
  <c r="F537" i="8"/>
  <c r="F536" i="8"/>
  <c r="F535" i="8"/>
  <c r="F534" i="8"/>
  <c r="F533" i="8"/>
  <c r="F532" i="8"/>
  <c r="F484" i="8"/>
  <c r="F483" i="8"/>
  <c r="F482" i="8"/>
  <c r="F481" i="8"/>
  <c r="F480" i="8"/>
  <c r="F479" i="8"/>
  <c r="F478" i="8"/>
  <c r="F477" i="8"/>
  <c r="F476" i="8"/>
  <c r="F475" i="8"/>
  <c r="F474" i="8"/>
  <c r="F473" i="8"/>
  <c r="F472" i="8"/>
  <c r="F471" i="8"/>
  <c r="F470" i="8"/>
  <c r="F469" i="8"/>
  <c r="F468" i="8"/>
  <c r="F467" i="8"/>
  <c r="F466" i="8"/>
  <c r="F465" i="8"/>
  <c r="F464" i="8"/>
  <c r="F463" i="8"/>
  <c r="F462" i="8"/>
  <c r="F461" i="8"/>
  <c r="F460" i="8"/>
  <c r="F459" i="8"/>
  <c r="F458" i="8"/>
  <c r="F457" i="8"/>
  <c r="F456" i="8"/>
  <c r="F455" i="8"/>
  <c r="F454" i="8"/>
  <c r="F453" i="8"/>
  <c r="F452" i="8"/>
  <c r="F451" i="8"/>
  <c r="F450" i="8"/>
  <c r="F449" i="8"/>
  <c r="F448" i="8"/>
  <c r="F447" i="8"/>
  <c r="F446" i="8"/>
  <c r="F445" i="8"/>
  <c r="F444" i="8"/>
  <c r="F443" i="8"/>
  <c r="F442" i="8"/>
  <c r="F441" i="8"/>
  <c r="F440" i="8"/>
  <c r="F439" i="8"/>
  <c r="F438" i="8"/>
  <c r="F437" i="8"/>
  <c r="F367" i="8"/>
  <c r="F366" i="8"/>
  <c r="F365" i="8"/>
  <c r="F364" i="8"/>
  <c r="F363" i="8"/>
  <c r="F362" i="8"/>
  <c r="F361" i="8"/>
  <c r="F360" i="8"/>
  <c r="F359" i="8"/>
  <c r="F358" i="8"/>
  <c r="F357" i="8"/>
  <c r="F356" i="8"/>
  <c r="F355" i="8"/>
  <c r="F354" i="8"/>
  <c r="F353" i="8"/>
  <c r="F352" i="8"/>
  <c r="F351" i="8"/>
  <c r="F350" i="8"/>
  <c r="F349" i="8"/>
  <c r="F348" i="8"/>
  <c r="F347" i="8"/>
  <c r="F346" i="8"/>
  <c r="F345" i="8"/>
  <c r="F344" i="8"/>
  <c r="F343" i="8"/>
  <c r="F342" i="8"/>
  <c r="F341" i="8"/>
  <c r="F340" i="8"/>
  <c r="F339" i="8"/>
  <c r="F338" i="8"/>
  <c r="F337" i="8"/>
  <c r="F336" i="8"/>
  <c r="F335" i="8"/>
  <c r="F334" i="8"/>
  <c r="F333" i="8"/>
  <c r="F332" i="8"/>
  <c r="F331" i="8"/>
  <c r="F330" i="8"/>
  <c r="F329" i="8"/>
  <c r="F328" i="8"/>
  <c r="F327" i="8"/>
  <c r="F326" i="8"/>
  <c r="F325" i="8"/>
  <c r="F324" i="8"/>
  <c r="F323" i="8"/>
  <c r="F322" i="8"/>
  <c r="F321" i="8"/>
  <c r="F320" i="8"/>
  <c r="F319" i="8"/>
  <c r="F318" i="8"/>
  <c r="F317" i="8"/>
  <c r="F316" i="8"/>
  <c r="F315" i="8"/>
  <c r="F314" i="8"/>
  <c r="F313" i="8"/>
  <c r="F312" i="8"/>
  <c r="F311" i="8"/>
  <c r="F310" i="8"/>
  <c r="F309" i="8"/>
  <c r="F308" i="8"/>
  <c r="F307" i="8"/>
  <c r="F306" i="8"/>
  <c r="F305" i="8"/>
  <c r="F304" i="8"/>
  <c r="F303" i="8"/>
  <c r="F302" i="8"/>
  <c r="F301" i="8"/>
  <c r="F300" i="8"/>
  <c r="F299" i="8"/>
  <c r="F298" i="8"/>
  <c r="F297" i="8"/>
  <c r="F250" i="8"/>
  <c r="F249" i="8"/>
  <c r="F248" i="8"/>
  <c r="F247" i="8"/>
  <c r="F246" i="8"/>
  <c r="F245" i="8"/>
  <c r="F244" i="8"/>
  <c r="F243" i="8"/>
  <c r="F242" i="8"/>
  <c r="F241" i="8"/>
  <c r="F240" i="8"/>
  <c r="F239" i="8"/>
  <c r="F238" i="8"/>
  <c r="F237" i="8"/>
  <c r="F236" i="8"/>
  <c r="F235" i="8"/>
  <c r="F234" i="8"/>
  <c r="F233" i="8"/>
  <c r="F232" i="8"/>
  <c r="F231" i="8"/>
  <c r="F230" i="8"/>
  <c r="F229" i="8"/>
  <c r="F228" i="8"/>
  <c r="F227" i="8"/>
  <c r="F226" i="8"/>
  <c r="F225" i="8"/>
  <c r="F224" i="8"/>
  <c r="F223" i="8"/>
  <c r="F222" i="8"/>
  <c r="F221" i="8"/>
  <c r="F220" i="8"/>
  <c r="F219" i="8"/>
  <c r="F218" i="8"/>
  <c r="F217" i="8"/>
  <c r="F216" i="8"/>
  <c r="F215" i="8"/>
  <c r="F214" i="8"/>
  <c r="F213" i="8"/>
  <c r="F212" i="8"/>
  <c r="F211" i="8"/>
  <c r="F210" i="8"/>
  <c r="F209" i="8"/>
  <c r="F208" i="8"/>
  <c r="F207" i="8"/>
  <c r="F206" i="8"/>
  <c r="F205" i="8"/>
  <c r="F204" i="8"/>
  <c r="F203" i="8"/>
  <c r="F202" i="8"/>
  <c r="F201" i="8"/>
  <c r="F200" i="8"/>
  <c r="F199" i="8"/>
  <c r="F198" i="8"/>
  <c r="F197" i="8"/>
  <c r="F196" i="8"/>
  <c r="F195" i="8"/>
  <c r="F194" i="8"/>
  <c r="F193" i="8"/>
  <c r="F192" i="8"/>
  <c r="F191" i="8"/>
  <c r="F190" i="8"/>
  <c r="F189" i="8"/>
  <c r="F188" i="8"/>
  <c r="F187" i="8"/>
  <c r="F186" i="8"/>
  <c r="F133" i="8"/>
  <c r="F132" i="8"/>
  <c r="F131" i="8"/>
  <c r="F130" i="8"/>
  <c r="F129" i="8"/>
  <c r="F128" i="8"/>
  <c r="F127" i="8"/>
  <c r="F126" i="8"/>
  <c r="F125" i="8"/>
  <c r="F124" i="8"/>
  <c r="F123" i="8"/>
  <c r="F122" i="8"/>
  <c r="F121" i="8"/>
  <c r="F120" i="8"/>
  <c r="F119" i="8"/>
  <c r="F118" i="8"/>
  <c r="F117" i="8"/>
  <c r="F116" i="8"/>
  <c r="F115" i="8"/>
  <c r="F114" i="8"/>
  <c r="F113" i="8"/>
  <c r="F112" i="8"/>
  <c r="F111" i="8"/>
  <c r="F110" i="8"/>
  <c r="F109" i="8"/>
  <c r="F108" i="8"/>
  <c r="F107" i="8"/>
  <c r="F106" i="8"/>
  <c r="F105" i="8"/>
  <c r="F104" i="8"/>
  <c r="F103" i="8"/>
  <c r="F102" i="8"/>
  <c r="F101" i="8"/>
  <c r="F100" i="8"/>
  <c r="F99" i="8"/>
  <c r="F98" i="8"/>
  <c r="F97" i="8"/>
  <c r="F96" i="8"/>
  <c r="F95" i="8"/>
  <c r="F94" i="8"/>
  <c r="F93" i="8"/>
  <c r="F92" i="8"/>
  <c r="F91" i="8"/>
  <c r="F90" i="8"/>
  <c r="F89" i="8"/>
  <c r="F88" i="8"/>
  <c r="F87" i="8"/>
  <c r="F86" i="8"/>
  <c r="F85" i="8"/>
  <c r="F84" i="8"/>
  <c r="F83" i="8"/>
  <c r="F82" i="8"/>
  <c r="F81" i="8"/>
  <c r="F80" i="8"/>
  <c r="F79" i="8"/>
  <c r="F78" i="8"/>
  <c r="F77" i="8"/>
  <c r="F16" i="8"/>
  <c r="F15" i="8"/>
  <c r="F14" i="8"/>
  <c r="F13" i="8"/>
  <c r="F12" i="8"/>
  <c r="F11" i="8"/>
  <c r="F10" i="8"/>
  <c r="F9" i="8"/>
  <c r="F8" i="8"/>
  <c r="F7" i="8"/>
  <c r="F6" i="8"/>
  <c r="F5" i="8"/>
  <c r="F4" i="8"/>
  <c r="F3" i="8"/>
  <c r="F2" i="8"/>
  <c r="O38" i="1"/>
  <c r="M38" i="1"/>
  <c r="J38" i="1"/>
  <c r="F38" i="1"/>
  <c r="O37" i="1"/>
  <c r="M37" i="1"/>
  <c r="J37" i="1"/>
  <c r="F37" i="1"/>
  <c r="O36" i="1"/>
  <c r="M36" i="1"/>
  <c r="J36" i="1"/>
  <c r="F36" i="1"/>
  <c r="O35" i="1"/>
  <c r="M35" i="1"/>
  <c r="J35" i="1"/>
  <c r="F35" i="1"/>
  <c r="O34" i="1"/>
  <c r="M34" i="1"/>
  <c r="J34" i="1"/>
  <c r="F34" i="1"/>
</calcChain>
</file>

<file path=xl/sharedStrings.xml><?xml version="1.0" encoding="utf-8"?>
<sst xmlns="http://schemas.openxmlformats.org/spreadsheetml/2006/main" count="1907" uniqueCount="664">
  <si>
    <t>Empower  /  Investment research</t>
  </si>
  <si>
    <t>SYMBOL</t>
  </si>
  <si>
    <t>ASSET TYPE</t>
  </si>
  <si>
    <t>Stock</t>
  </si>
  <si>
    <t>Enter / Refresh</t>
  </si>
  <si>
    <t>Key facts</t>
  </si>
  <si>
    <t>Performance</t>
  </si>
  <si>
    <t>Period</t>
  </si>
  <si>
    <t>Return</t>
  </si>
  <si>
    <t>As of</t>
  </si>
  <si>
    <t>Holdings and exposure</t>
  </si>
  <si>
    <t>Symbol</t>
  </si>
  <si>
    <t>Security</t>
  </si>
  <si>
    <t>Weight</t>
  </si>
  <si>
    <t>Management and earnings</t>
  </si>
  <si>
    <t>Distributions</t>
  </si>
  <si>
    <t>Ex-date</t>
  </si>
  <si>
    <t>Per share</t>
  </si>
  <si>
    <t>Payment date</t>
  </si>
  <si>
    <t>Coverage</t>
  </si>
  <si>
    <t>Morningstar ratings</t>
  </si>
  <si>
    <t>FactSet ETF grade</t>
  </si>
  <si>
    <t>About this investment</t>
  </si>
  <si>
    <t>News</t>
  </si>
  <si>
    <t>Source checks</t>
  </si>
  <si>
    <t>Using the dashboard</t>
  </si>
  <si>
    <t>Windows desktop Excel is required for the live VBA refresh. Open the .xlsm, then enable macros for this workbook if your organization permits it.</t>
  </si>
  <si>
    <t>Choose Stock, ETF or Mutual Fund in G4. Type one symbol in B4 and press Enter, or click Enter / Refresh. Examples: KO / Stock, VOO / ETF, VFIAX / Mutual Fund.</t>
  </si>
  <si>
    <t>On the first refresh, paste the API token when prompted. It is held in memory and is not saved in this file. An open original RSD_Xignite_Excel_API_Prototype workbook can supply its Start Here!B8 token.</t>
  </si>
  <si>
    <t>Refresh clears prior results, then calls the API for the chosen asset. Individual unavailable fields remain Unavailable. Requests records the actual outcome and vendor message.</t>
  </si>
  <si>
    <t>The initial dashboard contains authenticated KO observations fetched Oct 12, 2026. Changing the input without enabled macros shows Refresh required.</t>
  </si>
  <si>
    <t>This workbook uses direct WinHTTP/XML requests, not Power Query. Data &gt; Refresh All does not run the dashboard; use its button, Enter in B4, or Alt+F8 &gt; RefreshResearchDashboard.</t>
  </si>
  <si>
    <t>Desktop Excel execution was unavailable during construction. API requests, XML mappings, workbook formulas and package structure were checked here; native Windows macro execution remains to be confirmed.</t>
  </si>
  <si>
    <t>A fresh retrieval does not imply fresh underlying holdings/performance. The API dates and unit normalization are preserved. Beta and Sharpe are scalar ratios.</t>
  </si>
  <si>
    <t>ETF holdings: first 100 returned positions only, sorted within that page. No full-pagination claim. News, ratings and other licensed coverage depend on your entitlements.</t>
  </si>
  <si>
    <t>Request routing</t>
  </si>
  <si>
    <t>Route</t>
  </si>
  <si>
    <t>Assets</t>
  </si>
  <si>
    <t>Endpoint</t>
  </si>
  <si>
    <t>Query template</t>
  </si>
  <si>
    <t>API source</t>
  </si>
  <si>
    <t>Key</t>
  </si>
  <si>
    <t>XPath</t>
  </si>
  <si>
    <t>Normalization</t>
  </si>
  <si>
    <t>Date XPath</t>
  </si>
  <si>
    <t>Display unit</t>
  </si>
  <si>
    <t>Outcome XPath</t>
  </si>
  <si>
    <t>quote</t>
  </si>
  <si>
    <t>Stock|ETF</t>
  </si>
  <si>
    <t>https://globalquotes.xignite.com/v3/xGlobalQuotes.xml/GetGlobalExtendedQuotes</t>
  </si>
  <si>
    <t>IdentifierType=Symbol&amp;Identifiers={symbol}</t>
  </si>
  <si>
    <t>XigniteGlobalQuotes/GetGlobalExtendedQuotes</t>
  </si>
  <si>
    <t>Name</t>
  </si>
  <si>
    <t>//*[local-name()='GlobalExtendedQuote']/*[local-name()='Security']/*[local-name()='Name']</t>
  </si>
  <si>
    <t>text</t>
  </si>
  <si>
    <t>//*[local-name()='GlobalExtendedQuote']/*[local-name()='Date']</t>
  </si>
  <si>
    <t>stock</t>
  </si>
  <si>
    <t>https://factsetfundamentals.xignite.com/xFactSetFundamentals.xml/GetLatestFundamentals</t>
  </si>
  <si>
    <t>IdentifierType=Symbol&amp;Identifiers={symbol}&amp;FundamentalTypes=CompanyName%2CBusinessDescription%2CCEO%2CNumberOfEmployees%2CCity%2CState%2CWebsite%2CSectorName%2CIndustryName%2CMarketCapitalization%2CPERatio%2CEPS%2CDividendRate%2CDividendYieldDaily%2CSharesOutstandingCurrent%2CAverageDailyVolumeLast52Weeks%2CBeta36Month%2CPriceToBook&amp;ReportType=&amp;UpdatedSince=</t>
  </si>
  <si>
    <t>XigniteFactSetFundamentals/GetLatestFundamentals</t>
  </si>
  <si>
    <t>Currency</t>
  </si>
  <si>
    <t>//*[local-name()='GlobalExtendedQuote']/*[local-name()='Currency']</t>
  </si>
  <si>
    <t>history</t>
  </si>
  <si>
    <t>https://globalhistorical.xignite.com/v3/xGlobalHistorical.xml/GetGlobalHistoricalQuotesRange</t>
  </si>
  <si>
    <t>IdentifierType=Symbol&amp;Identifier={symbol}&amp;IdentifierAsOfDate=&amp;AdjustmentMethod=None&amp;StartDate={start}&amp;EndDate={end}</t>
  </si>
  <si>
    <t>XigniteGlobalHistorical/GetGlobalHistoricalQuotesRange</t>
  </si>
  <si>
    <t>Market</t>
  </si>
  <si>
    <t>//*[local-name()='GlobalExtendedQuote']/*[local-name()='Security']/*[local-name()='MarketIdentificationCode']</t>
  </si>
  <si>
    <t>income</t>
  </si>
  <si>
    <t>https://globalcorporateactions.xignite.com/xGlobalCorporateActions.xml/GetDistributions</t>
  </si>
  <si>
    <t>IdentifierType=Symbol&amp;Identifier={symbol}&amp;StartDate={start}&amp;EndDate={date}&amp;IncludeOptionalPayments=False</t>
  </si>
  <si>
    <t>XigniteGlobalCorporateActions/GetDistributions</t>
  </si>
  <si>
    <t>Price</t>
  </si>
  <si>
    <t>//*[local-name()='GlobalExtendedQuote']/*[local-name()='Last']</t>
  </si>
  <si>
    <t>number</t>
  </si>
  <si>
    <t>earnings</t>
  </si>
  <si>
    <t>https://earningscalendar.xignite.com/xEarningsCalendar.xml/GetAnnouncement</t>
  </si>
  <si>
    <t>Identifier={symbol}&amp;IdentifierType=Symbol</t>
  </si>
  <si>
    <t>XigniteEarningsCalendar/GetAnnouncement</t>
  </si>
  <si>
    <t>Close</t>
  </si>
  <si>
    <t>//*[local-name()='GlobalExtendedQuote']/*[local-name()='Close']</t>
  </si>
  <si>
    <t>actuals</t>
  </si>
  <si>
    <t>https://factsetestimates.xignite.com/xFactSetEstimates.xml/GetTrailingActuals</t>
  </si>
  <si>
    <t>IdentifierType=Symbol&amp;Identifiers={symbol}&amp;ActualType=EPS&amp;ReportType=Quarterly&amp;NumberOfActuals=8</t>
  </si>
  <si>
    <t>XigniteFactSetEstimates/GetTrailingActuals</t>
  </si>
  <si>
    <t>Change</t>
  </si>
  <si>
    <t>//*[local-name()='GlobalExtendedQuote']/*[local-name()='ChangeFromPreviousClose']</t>
  </si>
  <si>
    <t>estimates</t>
  </si>
  <si>
    <t>https://factsetestimates.xignite.com/xFactSetEstimates.xml/GetAllLatestEstimates</t>
  </si>
  <si>
    <t>IdentifierType=Symbol&amp;Identifiers={symbol}&amp;AsOfDate={date}&amp;UpdatedSince=&amp;EstimateTypes=EPS%2CSales&amp;ReportType=Quarterly</t>
  </si>
  <si>
    <t>XigniteFactSetEstimates/GetAllLatestEstimates</t>
  </si>
  <si>
    <t>ChangePercent</t>
  </si>
  <si>
    <t>//*[local-name()='GlobalExtendedQuote']/*[local-name()='PercentChangeFromPreviousClose']</t>
  </si>
  <si>
    <t>points</t>
  </si>
  <si>
    <t>recommendations</t>
  </si>
  <si>
    <t>https://factsetestimates.xignite.com/xFactSetEstimates.xml/GetLatestRecommendationSummaries</t>
  </si>
  <si>
    <t>IdentifierType=Symbol&amp;Identifiers={symbol}&amp;UpdatedSince=</t>
  </si>
  <si>
    <t>XigniteFactSetEstimates/GetLatestRecommendationSummaries</t>
  </si>
  <si>
    <t>PriceDate</t>
  </si>
  <si>
    <t>targets</t>
  </si>
  <si>
    <t>https://factsetestimates.xignite.com/xFactSetEstimates.xml/GetLatestTargetPriceSummaries</t>
  </si>
  <si>
    <t>XigniteFactSetEstimates/GetLatestTargetPriceSummaries</t>
  </si>
  <si>
    <t>PriceTime</t>
  </si>
  <si>
    <t>//*[local-name()='GlobalExtendedQuote']/*[local-name()='Time']</t>
  </si>
  <si>
    <t>related</t>
  </si>
  <si>
    <t>https://globaletfs.xignite.com/xGlobalETFs.xml/SearchETFsBySecurityExposure</t>
  </si>
  <si>
    <t>IdentifierType=Symbol&amp;Identifiers={symbol}&amp;IdentifierAsOfDate=&amp;Region=US&amp;PercentThreshold=3</t>
  </si>
  <si>
    <t>XigniteGlobalETFs/SearchETFsBySecurityExposure</t>
  </si>
  <si>
    <t>UTCOffset</t>
  </si>
  <si>
    <t>//*[local-name()='GlobalExtendedQuote']/*[local-name()='UTCOffset']</t>
  </si>
  <si>
    <t>news</t>
  </si>
  <si>
    <t>Stock|ETF|Mutual Fund</t>
  </si>
  <si>
    <t>https://globalnews.xignite.com/xGlobalNews.xml/GetTopSecurityHeadlines</t>
  </si>
  <si>
    <t>IdentifierType=Symbol&amp;Identifier={symbol}&amp;Count=5</t>
  </si>
  <si>
    <t>XigniteGlobalNews/GetTopSecurityHeadlines</t>
  </si>
  <si>
    <t>PreviousClose</t>
  </si>
  <si>
    <t>//*[local-name()='GlobalExtendedQuote']/*[local-name()='PreviousClose']</t>
  </si>
  <si>
    <t>profile</t>
  </si>
  <si>
    <t>Mutual Fund|ETF</t>
  </si>
  <si>
    <t>https://globalfundfundamentals.xignite.com/V2/xGlobalFundFundamentals.xml/GetFundProfiles</t>
  </si>
  <si>
    <t>IdentifierType=Symbol&amp;Identifiers={symbol}&amp;AsOfDate={date}&amp;UpdatedSince=</t>
  </si>
  <si>
    <t>XigniteGlobalFundFundamentals/GetFundProfiles</t>
  </si>
  <si>
    <t>PreviousCloseDate</t>
  </si>
  <si>
    <t>//*[local-name()='GlobalExtendedQuote']/*[local-name()='PreviousCloseDate']</t>
  </si>
  <si>
    <t>fund</t>
  </si>
  <si>
    <t>https://globalfundfundamentals.xignite.com/V2/xGlobalFundFundamentals.xml/GetFundFundamentals</t>
  </si>
  <si>
    <t>IdentifierType=Symbol&amp;Identifiers={symbol}&amp;AsOfDate={date}&amp;UpdatedSince=&amp;FundFundamentalTypes=InceptionDate%2CAnnualReportGrossExpenseRatio%2CAnnualReportNetExpenseRatio%2CFundObjective%2CInvestmentStrategy%2CVendorCategory%2CVendorPrimaryBenchmark%2CNetAssets%2CFundShareClassNetAssets%2CTurnoverRatio%2CMinimumInitialInvestment%2CMinimumInvestmentCurrency%2CMaxFrontLoad%2CMaxDeferredLoad%2CNoLoadFund%2CThirtyDaySECYield%2CTrailingTwelveMonthYield%2CAverageEffectiveDuration%2CAverageMaturity%2CRsquaredY3%2CBetaY3%2CStandardDeviationY3%2CSharpeRatioY3</t>
  </si>
  <si>
    <t>XigniteGlobalFundFundamentals/GetFundFundamentals</t>
  </si>
  <si>
    <t>Open</t>
  </si>
  <si>
    <t>//*[local-name()='GlobalExtendedQuote']/*[local-name()='Open']</t>
  </si>
  <si>
    <t>managers</t>
  </si>
  <si>
    <t>https://globalfundfundamentals.xignite.com/V2/xGlobalFundFundamentals.xml/GetFundManagers</t>
  </si>
  <si>
    <t>XigniteGlobalFundFundamentals/GetFundManagers</t>
  </si>
  <si>
    <t>High</t>
  </si>
  <si>
    <t>//*[local-name()='GlobalExtendedQuote']/*[local-name()='High']</t>
  </si>
  <si>
    <t>holdings</t>
  </si>
  <si>
    <t>Mutual Fund</t>
  </si>
  <si>
    <t>https://globalfundfundamentals.xignite.com/V2/xGlobalFundFundamentals.xml/GetFundHoldings</t>
  </si>
  <si>
    <t>XigniteGlobalFundFundamentals/GetFundHoldings</t>
  </si>
  <si>
    <t>Low</t>
  </si>
  <si>
    <t>//*[local-name()='GlobalExtendedQuote']/*[local-name()='Low']</t>
  </si>
  <si>
    <t>month</t>
  </si>
  <si>
    <t>https://globalfundfundamentals.xignite.com/V2/xGlobalFundFundamentals.xml/GetFundMonthEndTrailingReturns</t>
  </si>
  <si>
    <t>XigniteGlobalFundFundamentals/GetFundMonthEndTrailingReturns</t>
  </si>
  <si>
    <t>High52</t>
  </si>
  <si>
    <t>//*[local-name()='GlobalExtendedQuote']/*[local-name()='High52Weeks']</t>
  </si>
  <si>
    <t>quarter</t>
  </si>
  <si>
    <t>https://globalfundfundamentals.xignite.com/V2/xGlobalFundFundamentals.xml/GetFundQuarterEndTrailingReturns</t>
  </si>
  <si>
    <t>XigniteGlobalFundFundamentals/GetFundQuarterEndTrailingReturns</t>
  </si>
  <si>
    <t>Low52</t>
  </si>
  <si>
    <t>//*[local-name()='GlobalExtendedQuote']/*[local-name()='Low52Weeks']</t>
  </si>
  <si>
    <t>nav</t>
  </si>
  <si>
    <t>https://globalfundfundamentals.xignite.com/V2/xGlobalFundFundamentals.xml/GetFundNAVs</t>
  </si>
  <si>
    <t>XigniteGlobalFundFundamentals/GetFundNAVs</t>
  </si>
  <si>
    <t>Volume</t>
  </si>
  <si>
    <t>//*[local-name()='GlobalExtendedQuote']/*[local-name()='Volume']</t>
  </si>
  <si>
    <t>navhistory</t>
  </si>
  <si>
    <t>https://globalfundfundamentals.xignite.com/V2/xGlobalFundFundamentals.xml/GetFundHistoricalNAVs</t>
  </si>
  <si>
    <t>IdentifierType=Symbol&amp;Identifier={symbol}&amp;StartDate={start}&amp;EndDate={end}&amp;AdjustmentMethod=None</t>
  </si>
  <si>
    <t>XigniteGlobalFundFundamentals/GetFundHistoricalNAVs</t>
  </si>
  <si>
    <t>VolumeDate</t>
  </si>
  <si>
    <t>//*[local-name()='GlobalExtendedQuote']/*[local-name()='VolumeDate']</t>
  </si>
  <si>
    <t>fundincome</t>
  </si>
  <si>
    <t>https://globalfundfundamentals.xignite.com/V2/xGlobalFundFundamentals.xml/GetFundDividendHistory</t>
  </si>
  <si>
    <t>IdentifierType=Symbol&amp;Identifier={symbol}&amp;StartDate={start}&amp;EndDate={date}</t>
  </si>
  <si>
    <t>XigniteGlobalFundFundamentals/GetFundDividendHistory</t>
  </si>
  <si>
    <t>Bid</t>
  </si>
  <si>
    <t>//*[local-name()='GlobalExtendedQuote']/*[local-name()='Bid']</t>
  </si>
  <si>
    <t>etf</t>
  </si>
  <si>
    <t>ETF</t>
  </si>
  <si>
    <t>https://globaletfs.xignite.com/xGlobalETFs.xml/GetETFCharacteristics</t>
  </si>
  <si>
    <t>IdentifierType=Symbol&amp;Identifiers={symbol}&amp;IdentifierAsOfDate=&amp;AsOfDate={date}&amp;CharacteristicTypes=Sponsor%2CDescription%2CInceptionDate%2CLegalStructure%2CNetExpenseRatio%2CActivePassive%2CLinkedIndexName%2CAssetClass%2CListingCurrency%2CInverseLeveraged%2CProspectusLink</t>
  </si>
  <si>
    <t>XigniteGlobalETFs/GetETFCharacteristics</t>
  </si>
  <si>
    <t>Ask</t>
  </si>
  <si>
    <t>//*[local-name()='GlobalExtendedQuote']/*[local-name()='Ask']</t>
  </si>
  <si>
    <t>etfnav</t>
  </si>
  <si>
    <t>https://globaletfs.xignite.com/xGlobalETFs.xml/GetNAVs</t>
  </si>
  <si>
    <t>IdentifierType=Symbol&amp;Identifiers={symbol}&amp;IdentifierAsOfDate=&amp;AsOfDate={date}&amp;AdjustmentMethod=None</t>
  </si>
  <si>
    <t>XigniteGlobalETFs/GetNAVs</t>
  </si>
  <si>
    <t>BidSize</t>
  </si>
  <si>
    <t>//*[local-name()='GlobalExtendedQuote']/*[local-name()='BidSize']</t>
  </si>
  <si>
    <t>etfreturns</t>
  </si>
  <si>
    <t>https://globaletfs.xignite.com/xGlobalETFs.xml/GetTrailingReturns</t>
  </si>
  <si>
    <t>IdentifierType=Symbol&amp;Identifiers={symbol}&amp;IdentifierAsOfDate=&amp;AsOfDate={date}&amp;AdjustmentMethod=SplitAndDividend&amp;CalculationMethod=NavBased</t>
  </si>
  <si>
    <t>XigniteGlobalETFs/GetTrailingReturns</t>
  </si>
  <si>
    <t>AskSize</t>
  </si>
  <si>
    <t>//*[local-name()='GlobalExtendedQuote']/*[local-name()='AskSize']</t>
  </si>
  <si>
    <t>etfholdings</t>
  </si>
  <si>
    <t>https://globaletfs.xignite.com/xGlobalETFs.xml/GetHoldings</t>
  </si>
  <si>
    <t>IdentifierType=Symbol&amp;Identifier={symbol}&amp;IdentifierAsOfDate=&amp;AsOfDate={date}&amp;PageSize=100&amp;NextPage=</t>
  </si>
  <si>
    <t>XigniteGlobalETFs/GetHoldings</t>
  </si>
  <si>
    <t>BidDate</t>
  </si>
  <si>
    <t>//*[local-name()='GlobalExtendedQuote']/*[local-name()='BidDate']</t>
  </si>
  <si>
    <t>BidTime</t>
  </si>
  <si>
    <t>//*[local-name()='GlobalExtendedQuote']/*[local-name()='BidTime']</t>
  </si>
  <si>
    <t>AskDate</t>
  </si>
  <si>
    <t>//*[local-name()='GlobalExtendedQuote']/*[local-name()='AskDate']</t>
  </si>
  <si>
    <t>AskTime</t>
  </si>
  <si>
    <t>//*[local-name()='GlobalExtendedQuote']/*[local-name()='AskTime']</t>
  </si>
  <si>
    <t>ExtendedPrice</t>
  </si>
  <si>
    <t>//*[local-name()='GlobalExtendedQuote']/*[local-name()='ExtendedHoursPrice']</t>
  </si>
  <si>
    <t>ExtendedChange</t>
  </si>
  <si>
    <t>//*[local-name()='GlobalExtendedQuote']/*[local-name()='ExtendedHoursChange']</t>
  </si>
  <si>
    <t>ExtendedPercent</t>
  </si>
  <si>
    <t>//*[local-name()='GlobalExtendedQuote']/*[local-name()='ExtendedHoursPercentChange']</t>
  </si>
  <si>
    <t>ExtendedType</t>
  </si>
  <si>
    <t>//*[local-name()='GlobalExtendedQuote']/*[local-name()='ExtendedHoursType']</t>
  </si>
  <si>
    <t>ExtendedDate</t>
  </si>
  <si>
    <t>//*[local-name()='GlobalExtendedQuote']/*[local-name()='ExtendedHoursDate']</t>
  </si>
  <si>
    <t>ExtendedTime</t>
  </si>
  <si>
    <t>//*[local-name()='GlobalExtendedQuote']/*[local-name()='ExtendedHoursTime']</t>
  </si>
  <si>
    <t>QuoteMessage</t>
  </si>
  <si>
    <t>//*[local-name()='GlobalExtendedQuote']/*[local-name()='Message']</t>
  </si>
  <si>
    <t>//*[local-name()='Fundamental'][*[local-name()='Type']='CompanyName']/*[local-name()='Value']</t>
  </si>
  <si>
    <t>//*[local-name()='Fundamental'][*[local-name()='Type']='CompanyName']/*[local-name()='Date']</t>
  </si>
  <si>
    <t>//*[local-name()='Fundamental'][*[local-name()='Type']='CompanyName']/*[local-name()='Outcome']</t>
  </si>
  <si>
    <t>Description</t>
  </si>
  <si>
    <t>//*[local-name()='Fundamental'][*[local-name()='Type']='BusinessDescription']/*[local-name()='Value']</t>
  </si>
  <si>
    <t>//*[local-name()='Fundamental'][*[local-name()='Type']='BusinessDescription']/*[local-name()='Date']</t>
  </si>
  <si>
    <t>//*[local-name()='Fundamental'][*[local-name()='Type']='BusinessDescription']/*[local-name()='Outcome']</t>
  </si>
  <si>
    <t>Management</t>
  </si>
  <si>
    <t>//*[local-name()='Fundamental'][*[local-name()='Type']='CEO']/*[local-name()='Value']</t>
  </si>
  <si>
    <t>//*[local-name()='Fundamental'][*[local-name()='Type']='CEO']/*[local-name()='Date']</t>
  </si>
  <si>
    <t>//*[local-name()='Fundamental'][*[local-name()='Type']='CEO']/*[local-name()='Outcome']</t>
  </si>
  <si>
    <t>Employees</t>
  </si>
  <si>
    <t>//*[local-name()='Fundamental'][*[local-name()='Type']='NumberOfEmployees']/*[local-name()='Value']</t>
  </si>
  <si>
    <t>//*[local-name()='Fundamental'][*[local-name()='Type']='NumberOfEmployees']/*[local-name()='Date']</t>
  </si>
  <si>
    <t>//*[local-name()='Fundamental'][*[local-name()='Type']='NumberOfEmployees']/*[local-name()='Outcome']</t>
  </si>
  <si>
    <t>City</t>
  </si>
  <si>
    <t>//*[local-name()='Fundamental'][*[local-name()='Type']='City']/*[local-name()='Value']</t>
  </si>
  <si>
    <t>//*[local-name()='Fundamental'][*[local-name()='Type']='City']/*[local-name()='Date']</t>
  </si>
  <si>
    <t>//*[local-name()='Fundamental'][*[local-name()='Type']='City']/*[local-name()='Outcome']</t>
  </si>
  <si>
    <t>State</t>
  </si>
  <si>
    <t>//*[local-name()='Fundamental'][*[local-name()='Type']='State']/*[local-name()='Value']</t>
  </si>
  <si>
    <t>//*[local-name()='Fundamental'][*[local-name()='Type']='State']/*[local-name()='Date']</t>
  </si>
  <si>
    <t>//*[local-name()='Fundamental'][*[local-name()='Type']='State']/*[local-name()='Outcome']</t>
  </si>
  <si>
    <t>Website</t>
  </si>
  <si>
    <t>//*[local-name()='Fundamental'][*[local-name()='Type']='Website']/*[local-name()='Value']</t>
  </si>
  <si>
    <t>//*[local-name()='Fundamental'][*[local-name()='Type']='Website']/*[local-name()='Date']</t>
  </si>
  <si>
    <t>//*[local-name()='Fundamental'][*[local-name()='Type']='Website']/*[local-name()='Outcome']</t>
  </si>
  <si>
    <t>Sector</t>
  </si>
  <si>
    <t>//*[local-name()='Fundamental'][*[local-name()='Type']='SectorName']/*[local-name()='Value']</t>
  </si>
  <si>
    <t>//*[local-name()='Fundamental'][*[local-name()='Type']='SectorName']/*[local-name()='Date']</t>
  </si>
  <si>
    <t>//*[local-name()='Fundamental'][*[local-name()='Type']='SectorName']/*[local-name()='Outcome']</t>
  </si>
  <si>
    <t>Category</t>
  </si>
  <si>
    <t>//*[local-name()='Fundamental'][*[local-name()='Type']='IndustryName']/*[local-name()='Value']</t>
  </si>
  <si>
    <t>//*[local-name()='Fundamental'][*[local-name()='Type']='IndustryName']/*[local-name()='Date']</t>
  </si>
  <si>
    <t>//*[local-name()='Fundamental'][*[local-name()='Type']='IndustryName']/*[local-name()='Outcome']</t>
  </si>
  <si>
    <t>//*[local-name()='Fundamental'][*[local-name()='Type']='MarketCapitalization']/*[local-name()='Value']</t>
  </si>
  <si>
    <t>millions</t>
  </si>
  <si>
    <t>//*[local-name()='Fundamental'][*[local-name()='Type']='MarketCapitalization']/*[local-name()='Date']</t>
  </si>
  <si>
    <t>USD</t>
  </si>
  <si>
    <t>//*[local-name()='Fundamental'][*[local-name()='Type']='MarketCapitalization']/*[local-name()='Outcome']</t>
  </si>
  <si>
    <t>PE</t>
  </si>
  <si>
    <t>//*[local-name()='Fundamental'][*[local-name()='Type']='PERatio']/*[local-name()='Value']</t>
  </si>
  <si>
    <t>//*[local-name()='Fundamental'][*[local-name()='Type']='PERatio']/*[local-name()='Date']</t>
  </si>
  <si>
    <t>//*[local-name()='Fundamental'][*[local-name()='Type']='PERatio']/*[local-name()='Outcome']</t>
  </si>
  <si>
    <t>EPS</t>
  </si>
  <si>
    <t>//*[local-name()='Fundamental'][*[local-name()='Type']='EPS']/*[local-name()='Value']</t>
  </si>
  <si>
    <t>//*[local-name()='Fundamental'][*[local-name()='Type']='EPS']/*[local-name()='Date']</t>
  </si>
  <si>
    <t>//*[local-name()='Fundamental'][*[local-name()='Type']='EPS']/*[local-name()='Outcome']</t>
  </si>
  <si>
    <t>DividendRate</t>
  </si>
  <si>
    <t>//*[local-name()='Fundamental'][*[local-name()='Type']='DividendRate']/*[local-name()='Value']</t>
  </si>
  <si>
    <t>//*[local-name()='Fundamental'][*[local-name()='Type']='DividendRate']/*[local-name()='Date']</t>
  </si>
  <si>
    <t>//*[local-name()='Fundamental'][*[local-name()='Type']='DividendRate']/*[local-name()='Outcome']</t>
  </si>
  <si>
    <t>Yield</t>
  </si>
  <si>
    <t>//*[local-name()='Fundamental'][*[local-name()='Type']='DividendYieldDaily']/*[local-name()='Value']</t>
  </si>
  <si>
    <t>//*[local-name()='Fundamental'][*[local-name()='Type']='DividendYieldDaily']/*[local-name()='Date']</t>
  </si>
  <si>
    <t>//*[local-name()='Fundamental'][*[local-name()='Type']='DividendYieldDaily']/*[local-name()='Outcome']</t>
  </si>
  <si>
    <t>Shares</t>
  </si>
  <si>
    <t>//*[local-name()='Fundamental'][*[local-name()='Type']='SharesOutstandingCurrent']/*[local-name()='Value']</t>
  </si>
  <si>
    <t>//*[local-name()='Fundamental'][*[local-name()='Type']='SharesOutstandingCurrent']/*[local-name()='Date']</t>
  </si>
  <si>
    <t>//*[local-name()='Fundamental'][*[local-name()='Type']='SharesOutstandingCurrent']/*[local-name()='Outcome']</t>
  </si>
  <si>
    <t>AverageVolume</t>
  </si>
  <si>
    <t>//*[local-name()='Fundamental'][*[local-name()='Type']='AverageDailyVolumeLast52Weeks']/*[local-name()='Value']</t>
  </si>
  <si>
    <t>//*[local-name()='Fundamental'][*[local-name()='Type']='AverageDailyVolumeLast52Weeks']/*[local-name()='Date']</t>
  </si>
  <si>
    <t>//*[local-name()='Fundamental'][*[local-name()='Type']='AverageDailyVolumeLast52Weeks']/*[local-name()='Outcome']</t>
  </si>
  <si>
    <t>Beta</t>
  </si>
  <si>
    <t>//*[local-name()='Fundamental'][*[local-name()='Type']='Beta36Month']/*[local-name()='Value']</t>
  </si>
  <si>
    <t>//*[local-name()='Fundamental'][*[local-name()='Type']='Beta36Month']/*[local-name()='Date']</t>
  </si>
  <si>
    <t>//*[local-name()='Fundamental'][*[local-name()='Type']='Beta36Month']/*[local-name()='Outcome']</t>
  </si>
  <si>
    <t>PriceBook</t>
  </si>
  <si>
    <t>//*[local-name()='Fundamental'][*[local-name()='Type']='PriceToBook']/*[local-name()='Value']</t>
  </si>
  <si>
    <t>//*[local-name()='Fundamental'][*[local-name()='Type']='PriceToBook']/*[local-name()='Date']</t>
  </si>
  <si>
    <t>//*[local-name()='Fundamental'][*[local-name()='Type']='PriceToBook']/*[local-name()='Outcome']</t>
  </si>
  <si>
    <t>//*[local-name()="ProfileBreakdown"]/*[local-name()='LegalName']</t>
  </si>
  <si>
    <t>//*[local-name()='ProfilesSet']/*[local-name()='AsOfDate']</t>
  </si>
  <si>
    <t>Sponsor</t>
  </si>
  <si>
    <t>//*[local-name()="ProfileBreakdown"]/*[local-name()='ProviderCompany']</t>
  </si>
  <si>
    <t>//*[local-name()="ProfileBreakdown"]/*[local-name()='FundObjective']</t>
  </si>
  <si>
    <t>Strategy</t>
  </si>
  <si>
    <t>//*[local-name()="ProfileBreakdown"]/*[local-name()='InvestmentStrategy']</t>
  </si>
  <si>
    <t>//*[local-name()="ProfileBreakdown"]/*[local-name()='VendorCategory']</t>
  </si>
  <si>
    <t>ShareClass</t>
  </si>
  <si>
    <t>//*[local-name()="ProfileBreakdown"]/*[local-name()='ShareClass']</t>
  </si>
  <si>
    <t>Inception</t>
  </si>
  <si>
    <t>//*[local-name()='FundFundamental' or local-name()='Fundamental'][*[local-name()='Type']='InceptionDate']/*[local-name()='Value']</t>
  </si>
  <si>
    <t>//*[local-name()='FundFundamental' or local-name()='Fundamental'][*[local-name()='Type']='InceptionDate']/*[local-name()='Date']</t>
  </si>
  <si>
    <t>//*[local-name()='FundFundamental' or local-name()='Fundamental'][*[local-name()='Type']='InceptionDate']/*[local-name()='Outcome']</t>
  </si>
  <si>
    <t>GrossExpense</t>
  </si>
  <si>
    <t>//*[local-name()='FundFundamental' or local-name()='Fundamental'][*[local-name()='Type']='AnnualReportGrossExpenseRatio']/*[local-name()='Value']</t>
  </si>
  <si>
    <t>//*[local-name()='FundFundamental' or local-name()='Fundamental'][*[local-name()='Type']='AnnualReportGrossExpenseRatio']/*[local-name()='Date']</t>
  </si>
  <si>
    <t>//*[local-name()='FundFundamental' or local-name()='Fundamental'][*[local-name()='Type']='AnnualReportGrossExpenseRatio']/*[local-name()='Outcome']</t>
  </si>
  <si>
    <t>NetExpense</t>
  </si>
  <si>
    <t>//*[local-name()='FundFundamental' or local-name()='Fundamental'][*[local-name()='Type']='AnnualReportNetExpenseRatio']/*[local-name()='Value']</t>
  </si>
  <si>
    <t>//*[local-name()='FundFundamental' or local-name()='Fundamental'][*[local-name()='Type']='AnnualReportNetExpenseRatio']/*[local-name()='Date']</t>
  </si>
  <si>
    <t>//*[local-name()='FundFundamental' or local-name()='Fundamental'][*[local-name()='Type']='AnnualReportNetExpenseRatio']/*[local-name()='Outcome']</t>
  </si>
  <si>
    <t>//*[local-name()='FundFundamental' or local-name()='Fundamental'][*[local-name()='Type']='FundObjective']/*[local-name()='Value']</t>
  </si>
  <si>
    <t>//*[local-name()='FundFundamental' or local-name()='Fundamental'][*[local-name()='Type']='FundObjective']/*[local-name()='Date']</t>
  </si>
  <si>
    <t>//*[local-name()='FundFundamental' or local-name()='Fundamental'][*[local-name()='Type']='FundObjective']/*[local-name()='Outcome']</t>
  </si>
  <si>
    <t>//*[local-name()='FundFundamental' or local-name()='Fundamental'][*[local-name()='Type']='InvestmentStrategy']/*[local-name()='Value']</t>
  </si>
  <si>
    <t>//*[local-name()='FundFundamental' or local-name()='Fundamental'][*[local-name()='Type']='InvestmentStrategy']/*[local-name()='Date']</t>
  </si>
  <si>
    <t>//*[local-name()='FundFundamental' or local-name()='Fundamental'][*[local-name()='Type']='InvestmentStrategy']/*[local-name()='Outcome']</t>
  </si>
  <si>
    <t>//*[local-name()='FundFundamental' or local-name()='Fundamental'][*[local-name()='Type']='VendorCategory']/*[local-name()='Value']</t>
  </si>
  <si>
    <t>//*[local-name()='FundFundamental' or local-name()='Fundamental'][*[local-name()='Type']='VendorCategory']/*[local-name()='Date']</t>
  </si>
  <si>
    <t>//*[local-name()='FundFundamental' or local-name()='Fundamental'][*[local-name()='Type']='VendorCategory']/*[local-name()='Outcome']</t>
  </si>
  <si>
    <t>Benchmark</t>
  </si>
  <si>
    <t>//*[local-name()='FundFundamental' or local-name()='Fundamental'][*[local-name()='Type']='VendorPrimaryBenchmark']/*[local-name()='Value']</t>
  </si>
  <si>
    <t>//*[local-name()='FundFundamental' or local-name()='Fundamental'][*[local-name()='Type']='VendorPrimaryBenchmark']/*[local-name()='Date']</t>
  </si>
  <si>
    <t>//*[local-name()='FundFundamental' or local-name()='Fundamental'][*[local-name()='Type']='VendorPrimaryBenchmark']/*[local-name()='Outcome']</t>
  </si>
  <si>
    <t>//*[local-name()='FundFundamental' or local-name()='Fundamental'][*[local-name()='Type']='NetAssets']/*[local-name()='Value']</t>
  </si>
  <si>
    <t>//*[local-name()='FundFundamental' or local-name()='Fundamental'][*[local-name()='Type']='NetAssets']/*[local-name()='Date']</t>
  </si>
  <si>
    <t>//*[local-name()='FundFundamental' or local-name()='Fundamental'][*[local-name()='Type']='NetAssets']/*[local-name()='Outcome']</t>
  </si>
  <si>
    <t>ShareClassAssets</t>
  </si>
  <si>
    <t>//*[local-name()='FundFundamental' or local-name()='Fundamental'][*[local-name()='Type']='FundShareClassNetAssets']/*[local-name()='Value']</t>
  </si>
  <si>
    <t>//*[local-name()='FundFundamental' or local-name()='Fundamental'][*[local-name()='Type']='FundShareClassNetAssets']/*[local-name()='Date']</t>
  </si>
  <si>
    <t>//*[local-name()='FundFundamental' or local-name()='Fundamental'][*[local-name()='Type']='FundShareClassNetAssets']/*[local-name()='Outcome']</t>
  </si>
  <si>
    <t>Turnover</t>
  </si>
  <si>
    <t>//*[local-name()='FundFundamental' or local-name()='Fundamental'][*[local-name()='Type']='TurnoverRatio']/*[local-name()='Value']</t>
  </si>
  <si>
    <t>//*[local-name()='FundFundamental' or local-name()='Fundamental'][*[local-name()='Type']='TurnoverRatio']/*[local-name()='Date']</t>
  </si>
  <si>
    <t>//*[local-name()='FundFundamental' or local-name()='Fundamental'][*[local-name()='Type']='TurnoverRatio']/*[local-name()='Outcome']</t>
  </si>
  <si>
    <t>Minimum</t>
  </si>
  <si>
    <t>//*[local-name()='FundFundamental' or local-name()='Fundamental'][*[local-name()='Type']='MinimumInitialInvestment']/*[local-name()='Value']</t>
  </si>
  <si>
    <t>//*[local-name()='FundFundamental' or local-name()='Fundamental'][*[local-name()='Type']='MinimumInitialInvestment']/*[local-name()='Date']</t>
  </si>
  <si>
    <t>//*[local-name()='FundFundamental' or local-name()='Fundamental'][*[local-name()='Type']='MinimumInitialInvestment']/*[local-name()='Outcome']</t>
  </si>
  <si>
    <t>MinimumCurrency</t>
  </si>
  <si>
    <t>//*[local-name()='FundFundamental' or local-name()='Fundamental'][*[local-name()='Type']='MinimumInvestmentCurrency']/*[local-name()='Value']</t>
  </si>
  <si>
    <t>//*[local-name()='FundFundamental' or local-name()='Fundamental'][*[local-name()='Type']='MinimumInvestmentCurrency']/*[local-name()='Date']</t>
  </si>
  <si>
    <t>//*[local-name()='FundFundamental' or local-name()='Fundamental'][*[local-name()='Type']='MinimumInvestmentCurrency']/*[local-name()='Outcome']</t>
  </si>
  <si>
    <t>FrontLoad</t>
  </si>
  <si>
    <t>//*[local-name()='FundFundamental' or local-name()='Fundamental'][*[local-name()='Type']='MaxFrontLoad']/*[local-name()='Value']</t>
  </si>
  <si>
    <t>//*[local-name()='FundFundamental' or local-name()='Fundamental'][*[local-name()='Type']='MaxFrontLoad']/*[local-name()='Date']</t>
  </si>
  <si>
    <t>//*[local-name()='FundFundamental' or local-name()='Fundamental'][*[local-name()='Type']='MaxFrontLoad']/*[local-name()='Outcome']</t>
  </si>
  <si>
    <t>DeferredLoad</t>
  </si>
  <si>
    <t>//*[local-name()='FundFundamental' or local-name()='Fundamental'][*[local-name()='Type']='MaxDeferredLoad']/*[local-name()='Value']</t>
  </si>
  <si>
    <t>//*[local-name()='FundFundamental' or local-name()='Fundamental'][*[local-name()='Type']='MaxDeferredLoad']/*[local-name()='Date']</t>
  </si>
  <si>
    <t>//*[local-name()='FundFundamental' or local-name()='Fundamental'][*[local-name()='Type']='MaxDeferredLoad']/*[local-name()='Outcome']</t>
  </si>
  <si>
    <t>NoLoad</t>
  </si>
  <si>
    <t>//*[local-name()='FundFundamental' or local-name()='Fundamental'][*[local-name()='Type']='NoLoadFund']/*[local-name()='Value']</t>
  </si>
  <si>
    <t>//*[local-name()='FundFundamental' or local-name()='Fundamental'][*[local-name()='Type']='NoLoadFund']/*[local-name()='Date']</t>
  </si>
  <si>
    <t>//*[local-name()='FundFundamental' or local-name()='Fundamental'][*[local-name()='Type']='NoLoadFund']/*[local-name()='Outcome']</t>
  </si>
  <si>
    <t>SECYield</t>
  </si>
  <si>
    <t>//*[local-name()='FundFundamental' or local-name()='Fundamental'][*[local-name()='Type']='ThirtyDaySECYield']/*[local-name()='Value']</t>
  </si>
  <si>
    <t>//*[local-name()='FundFundamental' or local-name()='Fundamental'][*[local-name()='Type']='ThirtyDaySECYield']/*[local-name()='Date']</t>
  </si>
  <si>
    <t>//*[local-name()='FundFundamental' or local-name()='Fundamental'][*[local-name()='Type']='ThirtyDaySECYield']/*[local-name()='Outcome']</t>
  </si>
  <si>
    <t>//*[local-name()='FundFundamental' or local-name()='Fundamental'][*[local-name()='Type']='TrailingTwelveMonthYield']/*[local-name()='Value']</t>
  </si>
  <si>
    <t>//*[local-name()='FundFundamental' or local-name()='Fundamental'][*[local-name()='Type']='TrailingTwelveMonthYield']/*[local-name()='Date']</t>
  </si>
  <si>
    <t>//*[local-name()='FundFundamental' or local-name()='Fundamental'][*[local-name()='Type']='TrailingTwelveMonthYield']/*[local-name()='Outcome']</t>
  </si>
  <si>
    <t>Duration</t>
  </si>
  <si>
    <t>//*[local-name()='FundFundamental' or local-name()='Fundamental'][*[local-name()='Type']='AverageEffectiveDuration']/*[local-name()='Value']</t>
  </si>
  <si>
    <t>//*[local-name()='FundFundamental' or local-name()='Fundamental'][*[local-name()='Type']='AverageEffectiveDuration']/*[local-name()='Date']</t>
  </si>
  <si>
    <t>//*[local-name()='FundFundamental' or local-name()='Fundamental'][*[local-name()='Type']='AverageEffectiveDuration']/*[local-name()='Outcome']</t>
  </si>
  <si>
    <t>Maturity</t>
  </si>
  <si>
    <t>//*[local-name()='FundFundamental' or local-name()='Fundamental'][*[local-name()='Type']='AverageMaturity']/*[local-name()='Value']</t>
  </si>
  <si>
    <t>//*[local-name()='FundFundamental' or local-name()='Fundamental'][*[local-name()='Type']='AverageMaturity']/*[local-name()='Date']</t>
  </si>
  <si>
    <t>//*[local-name()='FundFundamental' or local-name()='Fundamental'][*[local-name()='Type']='AverageMaturity']/*[local-name()='Outcome']</t>
  </si>
  <si>
    <t>RSquared</t>
  </si>
  <si>
    <t>//*[local-name()='FundFundamental' or local-name()='Fundamental'][*[local-name()='Type']='RsquaredY3']/*[local-name()='Value']</t>
  </si>
  <si>
    <t>//*[local-name()='FundFundamental' or local-name()='Fundamental'][*[local-name()='Type']='RsquaredY3']/*[local-name()='Date']</t>
  </si>
  <si>
    <t>//*[local-name()='FundFundamental' or local-name()='Fundamental'][*[local-name()='Type']='RsquaredY3']/*[local-name()='Outcome']</t>
  </si>
  <si>
    <t>//*[local-name()='FundFundamental' or local-name()='Fundamental'][*[local-name()='Type']='BetaY3']/*[local-name()='Value']</t>
  </si>
  <si>
    <t>//*[local-name()='FundFundamental' or local-name()='Fundamental'][*[local-name()='Type']='BetaY3']/*[local-name()='Date']</t>
  </si>
  <si>
    <t>ratio</t>
  </si>
  <si>
    <t>//*[local-name()='FundFundamental' or local-name()='Fundamental'][*[local-name()='Type']='BetaY3']/*[local-name()='Outcome']</t>
  </si>
  <si>
    <t>StdDev</t>
  </si>
  <si>
    <t>//*[local-name()='FundFundamental' or local-name()='Fundamental'][*[local-name()='Type']='StandardDeviationY3']/*[local-name()='Value']</t>
  </si>
  <si>
    <t>//*[local-name()='FundFundamental' or local-name()='Fundamental'][*[local-name()='Type']='StandardDeviationY3']/*[local-name()='Date']</t>
  </si>
  <si>
    <t>//*[local-name()='FundFundamental' or local-name()='Fundamental'][*[local-name()='Type']='StandardDeviationY3']/*[local-name()='Outcome']</t>
  </si>
  <si>
    <t>Sharpe</t>
  </si>
  <si>
    <t>//*[local-name()='FundFundamental' or local-name()='Fundamental'][*[local-name()='Type']='SharpeRatioY3']/*[local-name()='Value']</t>
  </si>
  <si>
    <t>//*[local-name()='FundFundamental' or local-name()='Fundamental'][*[local-name()='Type']='SharpeRatioY3']/*[local-name()='Date']</t>
  </si>
  <si>
    <t>//*[local-name()='FundFundamental' or local-name()='Fundamental'][*[local-name()='Type']='SharpeRatioY3']/*[local-name()='Outcome']</t>
  </si>
  <si>
    <t>//*[local-name()='Fund']/*[local-name()='Name']</t>
  </si>
  <si>
    <t>//*[local-name()='Date']</t>
  </si>
  <si>
    <t>//*[local-name()='Currency']</t>
  </si>
  <si>
    <t>//*[local-name()='Fund']/*[local-name()='MarketIdentificationCode']</t>
  </si>
  <si>
    <t>//*[local-name()='NAV']</t>
  </si>
  <si>
    <t>NAV</t>
  </si>
  <si>
    <t>//*[local-name()='PreviousNAV']</t>
  </si>
  <si>
    <t>//*[local-name()='Change']</t>
  </si>
  <si>
    <t>//*[local-name()='PercentChange']</t>
  </si>
  <si>
    <t>//*[local-name()='ETFCharacteristic' or local-name()='Characteristic'][*[local-name()='Type']='Sponsor' or *[local-name()='CharacteristicType']='Sponsor']/*[local-name()='Value']</t>
  </si>
  <si>
    <t>//*[local-name()='ETFCharacteristic' or local-name()='Characteristic'][*[local-name()='Type']='Sponsor' or *[local-name()='CharacteristicType']='Sponsor']/*[local-name()='AsOfDate']</t>
  </si>
  <si>
    <t>//*[local-name()='ETFCharacteristic' or local-name()='Characteristic'][*[local-name()='Type']='Description' or *[local-name()='CharacteristicType']='Description']/*[local-name()='Value']</t>
  </si>
  <si>
    <t>//*[local-name()='ETFCharacteristic' or local-name()='Characteristic'][*[local-name()='Type']='Description' or *[local-name()='CharacteristicType']='Description']/*[local-name()='AsOfDate']</t>
  </si>
  <si>
    <t>//*[local-name()='ETFCharacteristic' or local-name()='Characteristic'][*[local-name()='Type']='InceptionDate' or *[local-name()='CharacteristicType']='InceptionDate']/*[local-name()='Value']</t>
  </si>
  <si>
    <t>//*[local-name()='ETFCharacteristic' or local-name()='Characteristic'][*[local-name()='Type']='InceptionDate' or *[local-name()='CharacteristicType']='InceptionDate']/*[local-name()='AsOfDate']</t>
  </si>
  <si>
    <t>Structure</t>
  </si>
  <si>
    <t>//*[local-name()='ETFCharacteristic' or local-name()='Characteristic'][*[local-name()='Type']='LegalStructure' or *[local-name()='CharacteristicType']='LegalStructure']/*[local-name()='Value']</t>
  </si>
  <si>
    <t>//*[local-name()='ETFCharacteristic' or local-name()='Characteristic'][*[local-name()='Type']='LegalStructure' or *[local-name()='CharacteristicType']='LegalStructure']/*[local-name()='AsOfDate']</t>
  </si>
  <si>
    <t>//*[local-name()='ETFCharacteristic' or local-name()='Characteristic'][*[local-name()='Type']='NetExpenseRatio' or *[local-name()='CharacteristicType']='NetExpenseRatio']/*[local-name()='Value']</t>
  </si>
  <si>
    <t>//*[local-name()='ETFCharacteristic' or local-name()='Characteristic'][*[local-name()='Type']='NetExpenseRatio' or *[local-name()='CharacteristicType']='NetExpenseRatio']/*[local-name()='AsOfDate']</t>
  </si>
  <si>
    <t>ActivePassive</t>
  </si>
  <si>
    <t>//*[local-name()='ETFCharacteristic' or local-name()='Characteristic'][*[local-name()='Type']='ActivePassive' or *[local-name()='CharacteristicType']='ActivePassive']/*[local-name()='Value']</t>
  </si>
  <si>
    <t>//*[local-name()='ETFCharacteristic' or local-name()='Characteristic'][*[local-name()='Type']='ActivePassive' or *[local-name()='CharacteristicType']='ActivePassive']/*[local-name()='AsOfDate']</t>
  </si>
  <si>
    <t>//*[local-name()='ETFCharacteristic' or local-name()='Characteristic'][*[local-name()='Type']='LinkedIndexName' or *[local-name()='CharacteristicType']='LinkedIndexName']/*[local-name()='Value']</t>
  </si>
  <si>
    <t>//*[local-name()='ETFCharacteristic' or local-name()='Characteristic'][*[local-name()='Type']='LinkedIndexName' or *[local-name()='CharacteristicType']='LinkedIndexName']/*[local-name()='AsOfDate']</t>
  </si>
  <si>
    <t>AssetClass</t>
  </si>
  <si>
    <t>//*[local-name()='ETFCharacteristic' or local-name()='Characteristic'][*[local-name()='Type']='AssetClass' or *[local-name()='CharacteristicType']='AssetClass']/*[local-name()='Value']</t>
  </si>
  <si>
    <t>//*[local-name()='ETFCharacteristic' or local-name()='Characteristic'][*[local-name()='Type']='AssetClass' or *[local-name()='CharacteristicType']='AssetClass']/*[local-name()='AsOfDate']</t>
  </si>
  <si>
    <t>Leveraged</t>
  </si>
  <si>
    <t>//*[local-name()='ETFCharacteristic' or local-name()='Characteristic'][*[local-name()='Type']='InverseLeveraged' or *[local-name()='CharacteristicType']='InverseLeveraged']/*[local-name()='Value']</t>
  </si>
  <si>
    <t>//*[local-name()='ETFCharacteristic' or local-name()='Characteristic'][*[local-name()='Type']='InverseLeveraged' or *[local-name()='CharacteristicType']='InverseLeveraged']/*[local-name()='AsOfDate']</t>
  </si>
  <si>
    <t>Prospectus</t>
  </si>
  <si>
    <t>//*[local-name()='ETFCharacteristic' or local-name()='Characteristic'][*[local-name()='Type']='ProspectusLink' or *[local-name()='CharacteristicType']='ProspectusLink']/*[local-name()='Value']</t>
  </si>
  <si>
    <t>//*[local-name()='ETFCharacteristic' or local-name()='Characteristic'][*[local-name()='Type']='ProspectusLink' or *[local-name()='CharacteristicType']='ProspectusLink']/*[local-name()='AsOfDate']</t>
  </si>
  <si>
    <t>//*[local-name()='Security']/*[local-name()='Name']</t>
  </si>
  <si>
    <t>//*[local-name()='NAV']/*[local-name()='NetAssetValue']</t>
  </si>
  <si>
    <t>//*[local-name()='NAV']/*[local-name()='AsOfDate']</t>
  </si>
  <si>
    <t>//*[local-name()='NAV']/*[local-name()='AssetsUnderManagement']</t>
  </si>
  <si>
    <t>//*[local-name()='NAV']/*[local-name()='SharesOutstanding']</t>
  </si>
  <si>
    <t>EarningsDate</t>
  </si>
  <si>
    <t>//*[local-name()='EarningsDate']</t>
  </si>
  <si>
    <t>EarningsTime</t>
  </si>
  <si>
    <t>//*[local-name()='TimeType']</t>
  </si>
  <si>
    <t>EarningsStatus</t>
  </si>
  <si>
    <t>//*[local-name()='DateType']</t>
  </si>
  <si>
    <t>EarningsQuarter</t>
  </si>
  <si>
    <t>//*[local-name()='EarningsQuarter']</t>
  </si>
  <si>
    <t>Target</t>
  </si>
  <si>
    <t>//*[local-name()='TargetPriceSummary']/*[local-name()='Value']</t>
  </si>
  <si>
    <t>//*[local-name()='TargetPriceSummary']/*[local-name()='Date']</t>
  </si>
  <si>
    <t>TargetLow</t>
  </si>
  <si>
    <t>//*[local-name()='TargetPriceSummary']/*[local-name()='Low']</t>
  </si>
  <si>
    <t>TargetHigh</t>
  </si>
  <si>
    <t>//*[local-name()='TargetPriceSummary']/*[local-name()='High']</t>
  </si>
  <si>
    <t>TargetCount</t>
  </si>
  <si>
    <t>//*[local-name()='TargetPriceSummary']/*[local-name()='Estimates']</t>
  </si>
  <si>
    <t>Recommendation</t>
  </si>
  <si>
    <t>//*[local-name()='RecommendationSummary']/*[local-name()='Recommendation']</t>
  </si>
  <si>
    <t>//*[local-name()='RecommendationSummary']/*[local-name()='Date']</t>
  </si>
  <si>
    <t>Value</t>
  </si>
  <si>
    <t>Unit</t>
  </si>
  <si>
    <t>Raw value / notes</t>
  </si>
  <si>
    <t>Input matches loaded security</t>
  </si>
  <si>
    <t>Returned</t>
  </si>
  <si>
    <t>Raw: USD</t>
  </si>
  <si>
    <t>XNYS</t>
  </si>
  <si>
    <t>Raw: XNYS</t>
  </si>
  <si>
    <t>Raw: 2026-10-09</t>
  </si>
  <si>
    <t>Raw: 16:00:00.000</t>
  </si>
  <si>
    <t>Raw: -4</t>
  </si>
  <si>
    <t>Raw: 2026-10-08</t>
  </si>
  <si>
    <t>Raw: 2026-10-12</t>
  </si>
  <si>
    <t>Raw: 100</t>
  </si>
  <si>
    <t>PreMarket</t>
  </si>
  <si>
    <t>Raw: PreMarket</t>
  </si>
  <si>
    <t>Delay times are 15 mins for New York Stock Exchange, Inc..</t>
  </si>
  <si>
    <t>Raw: Delay times are 15 mins for New York Stock Exchange, Inc..</t>
  </si>
  <si>
    <t>Unavailable</t>
  </si>
  <si>
    <t>Not returned</t>
  </si>
  <si>
    <t>Verified</t>
  </si>
  <si>
    <t>Raw: Verified</t>
  </si>
  <si>
    <t>Q3</t>
  </si>
  <si>
    <t>Raw: Q3</t>
  </si>
  <si>
    <t>Raw: 21</t>
  </si>
  <si>
    <t>Overweight</t>
  </si>
  <si>
    <t>Raw: Overweight</t>
  </si>
  <si>
    <t>Input</t>
  </si>
  <si>
    <t>AssetType</t>
  </si>
  <si>
    <t>Retrieved</t>
  </si>
  <si>
    <t>Recorded</t>
  </si>
  <si>
    <t>HoldingsDate</t>
  </si>
  <si>
    <t>ReturnsDate</t>
  </si>
  <si>
    <t>IncomeDate</t>
  </si>
  <si>
    <t>ManagementDate</t>
  </si>
  <si>
    <t>FieldNotes</t>
  </si>
  <si>
    <t>Derived</t>
  </si>
  <si>
    <t>Calculated</t>
  </si>
  <si>
    <t>PortfolioNote</t>
  </si>
  <si>
    <t>Holdings names/classifications are displayed as received; no issuer validation implied.</t>
  </si>
  <si>
    <t>Notice</t>
  </si>
  <si>
    <t>Session</t>
  </si>
  <si>
    <t>Last regular-session observation</t>
  </si>
  <si>
    <t>TrackingError</t>
  </si>
  <si>
    <t>ShortInterest</t>
  </si>
  <si>
    <t>DaysToCover</t>
  </si>
  <si>
    <t>Morningstar</t>
  </si>
  <si>
    <t>Not verified / licensed feed required</t>
  </si>
  <si>
    <t>Unverified</t>
  </si>
  <si>
    <t>FactSetGrade</t>
  </si>
  <si>
    <t>Not supplied</t>
  </si>
  <si>
    <t>DJD</t>
  </si>
  <si>
    <t>Invesco Exchange-Traded Fund Trust - Invesco Dow Jones Industrial Average Dividend ETF</t>
  </si>
  <si>
    <t>EDOW</t>
  </si>
  <si>
    <t>First Trust Exchange-Traded Fund - First Trust Dow 30 Equal Weight ETF</t>
  </si>
  <si>
    <t>Basis</t>
  </si>
  <si>
    <t>Price change; excludes dividends</t>
  </si>
  <si>
    <t>Historical closes</t>
  </si>
  <si>
    <t>Available history</t>
  </si>
  <si>
    <t>Pay date</t>
  </si>
  <si>
    <t>Record date</t>
  </si>
  <si>
    <t>Declared date</t>
  </si>
  <si>
    <t>Type</t>
  </si>
  <si>
    <t>Portfolio manager</t>
  </si>
  <si>
    <t>Start date</t>
  </si>
  <si>
    <t>Tenure (years)</t>
  </si>
  <si>
    <t>Biography</t>
  </si>
  <si>
    <t>Date</t>
  </si>
  <si>
    <t>Price / NAV</t>
  </si>
  <si>
    <t>Displayed price / NAV</t>
  </si>
  <si>
    <t>Unadjusted close</t>
  </si>
  <si>
    <t>Fiscal period</t>
  </si>
  <si>
    <t>Report / estimate date</t>
  </si>
  <si>
    <t>Estimate count</t>
  </si>
  <si>
    <t>Sales forecast (USD)</t>
  </si>
  <si>
    <t>2025Q3</t>
  </si>
  <si>
    <t>Actual EPS</t>
  </si>
  <si>
    <t>2025Q4</t>
  </si>
  <si>
    <t>2026Q1</t>
  </si>
  <si>
    <t>2026Q2</t>
  </si>
  <si>
    <t>2026Q3</t>
  </si>
  <si>
    <t>Consensus EPS</t>
  </si>
  <si>
    <t>2026Q4</t>
  </si>
  <si>
    <t>2027Q1</t>
  </si>
  <si>
    <t>2027Q2</t>
  </si>
  <si>
    <t>2027Q3</t>
  </si>
  <si>
    <t>2027Q4</t>
  </si>
  <si>
    <t>2028Q1</t>
  </si>
  <si>
    <t>2028Q2</t>
  </si>
  <si>
    <t>2028Q3</t>
  </si>
  <si>
    <t>2028Q4</t>
  </si>
  <si>
    <t>Headline</t>
  </si>
  <si>
    <t>Source</t>
  </si>
  <si>
    <t>URL</t>
  </si>
  <si>
    <t>Request</t>
  </si>
  <si>
    <t>Outcome</t>
  </si>
  <si>
    <t>Message</t>
  </si>
  <si>
    <t>HTTP</t>
  </si>
  <si>
    <t>Retrieved (local / UTC in initial snapshot)</t>
  </si>
  <si>
    <t>Success</t>
  </si>
  <si>
    <t>No data is available</t>
  </si>
  <si>
    <t>User input</t>
  </si>
  <si>
    <t>You are not authorized to access XNYS_VWAP data (Data Group: XNYS_VWAP). Your user token is [redacted]. Consider upgrading your subscription to gain access.  Please visit http://www.xignite.com/Support/FAQ.aspx?faqtype=Topics&amp;faqcat=Subscriptions for more information.   Your request was authenticated using an HTTP request parameter. Your token is [redacted]. Please visit https://www.xignite.com/registration-help for more information. (globalhistorical.xignite.com: 20).</t>
  </si>
  <si>
    <t>Derived checks</t>
  </si>
  <si>
    <t>Coverage notice</t>
  </si>
  <si>
    <t>Display label</t>
  </si>
  <si>
    <t>computer local time</t>
  </si>
  <si>
    <t>Capture clock</t>
  </si>
  <si>
    <t>B7CC504D4E7345308C830E3586DEEBCD</t>
  </si>
  <si>
    <t xml:space="preserve">READ FIRST:  </t>
  </si>
  <si>
    <t>IBM</t>
  </si>
  <si>
    <t>International Business Machines Corp.</t>
  </si>
  <si>
    <t>Raw: International Business Machines Corp.</t>
  </si>
  <si>
    <t>Raw: 227.13</t>
  </si>
  <si>
    <t>Raw: 0.52</t>
  </si>
  <si>
    <t>Raw: 0.229</t>
  </si>
  <si>
    <t>Raw: 226.61</t>
  </si>
  <si>
    <t>Raw: 225.87</t>
  </si>
  <si>
    <t>Raw: 228.76</t>
  </si>
  <si>
    <t>Raw: 224.0501</t>
  </si>
  <si>
    <t>Raw: 332.46</t>
  </si>
  <si>
    <t>Raw: 199.19</t>
  </si>
  <si>
    <t>Raw: 228</t>
  </si>
  <si>
    <t>Raw: 600</t>
  </si>
  <si>
    <t>International Business Machines Corp. is an information technology company, which engages in the provision of integrated solutions that leverage information technology and knowledge of business processes. It operates through the following segments: Software, Consulting, Infrastructure, Financing, and Other. The Software segment combines hybrid cloud platform and software solutions to help clients become more data-driven, and to automate, secure, and modernize their environments. The Consulting segment focuses on integrating skills on strategy, experience, technology and operations by domain and industry. The Infrastructure segment offers solutions for hybrid cloud and is the foundation of the hybrid cloud stack. Infrastructure is optimized for infusing AI into mission-critical transactions and tightly integrated with IBM Software including Red Hat for accelerated hybrid cloud benefits. The Financing segment refers to the client and commercial financing, facilitating IBM clients’ acquisition of IT systems, software, and services. The company was founded by Charles Ranlett Flint and Thomas J. Watson Sr. on June 16, 1911 and is headquartered in Armonk, NY.</t>
  </si>
  <si>
    <t>Raw: International Business Machines Corp. is an information technology company, which engages in the provision of integrated solutions that leverage information technology and knowledge of business processes. It operates through the following segments: Software, Consulting, Infrastructure, Financing, and Other. The Software segment combines hybrid cloud platform and software solutions to help clients become more data-driven, and to automate, secure, and modernize their environments. The Consulting segment focuses on integrating skills on strategy, experience, technology and operations by domain and industry. The Infrastructure segment offers solutions for hybrid cloud and is the foundation of the hybrid cloud stack. Infrastructure is optimized for infusing AI into mission-critical transactions and tightly integrated with IBM Software including Red Hat for accelerated hybrid cloud benefits. The Financing segment refers to the client and commercial financing, facilitating IBM clients’ acquisition of IT systems, software, and services. The company was founded by Charles Ranlett Flint and Thomas J. Watson Sr. on June 16, 1911 and is headquartered in Armonk, NY.</t>
  </si>
  <si>
    <t>Arvind Krishna, PhD</t>
  </si>
  <si>
    <t>Raw: Arvind Krishna, PhD</t>
  </si>
  <si>
    <t>Raw: 286800</t>
  </si>
  <si>
    <t>Armonk</t>
  </si>
  <si>
    <t>Raw: Armonk</t>
  </si>
  <si>
    <t>New York</t>
  </si>
  <si>
    <t>Raw: New York</t>
  </si>
  <si>
    <t>http://www.ibm.com</t>
  </si>
  <si>
    <t>Raw: http://www.ibm.com</t>
  </si>
  <si>
    <t>Technology Services</t>
  </si>
  <si>
    <t>Raw: Technology Services</t>
  </si>
  <si>
    <t>Information Technology Services</t>
  </si>
  <si>
    <t>Raw: Information Technology Services</t>
  </si>
  <si>
    <t>Raw: 213986.8954</t>
  </si>
  <si>
    <t>Raw: 20.16</t>
  </si>
  <si>
    <t>Raw: 11.2659</t>
  </si>
  <si>
    <t>Raw: 6.74</t>
  </si>
  <si>
    <t>Raw: 0.0297</t>
  </si>
  <si>
    <t>Raw: 942.134</t>
  </si>
  <si>
    <t>Raw: 6936259.7449</t>
  </si>
  <si>
    <t>Raw: 0.7694</t>
  </si>
  <si>
    <t>Raw: 6.2103</t>
  </si>
  <si>
    <t>Raw: 10/21/2026</t>
  </si>
  <si>
    <t>AfterMarket</t>
  </si>
  <si>
    <t>Raw: AfterMarket</t>
  </si>
  <si>
    <t>Raw: 240.52381</t>
  </si>
  <si>
    <t>Raw: 174</t>
  </si>
  <si>
    <t>Raw: 297</t>
  </si>
  <si>
    <t>TDIV</t>
  </si>
  <si>
    <t>First Trust Exchange-Traded Fund VI - First Trust ETF VI First Trust NASDAQ Technology Dividend Index Fund</t>
  </si>
  <si>
    <t>TDVI</t>
  </si>
  <si>
    <t>First Trust Exchange-Traded Fund IV - FT Vest Technology Dividend Target Income ETF</t>
  </si>
  <si>
    <t>WQTM</t>
  </si>
  <si>
    <t>WisdomTree Trust - WisdomTree Quantum Computing Fund</t>
  </si>
  <si>
    <t>SPDG</t>
  </si>
  <si>
    <t>SPDR Series Trust - State Street SPDR Portfolio S&amp;P Sector Neutral Dividend ETF</t>
  </si>
  <si>
    <t>DIVB</t>
  </si>
  <si>
    <t>iShares Trust - iShares Core Dividend ETF</t>
  </si>
  <si>
    <t>CQTM</t>
  </si>
  <si>
    <t>Corgi ETF Trust I. - Corgi Quantum Computing ETF</t>
  </si>
  <si>
    <t>PTNT</t>
  </si>
  <si>
    <t>Corgi ETF Trust I. - Corgi IP Licensing &amp; Royalties ETF</t>
  </si>
  <si>
    <t>KNGZ</t>
  </si>
  <si>
    <t>First Trust Exchange-Traded Fund VI - First Trust S&amp;P 500 Diversified Dividend Aristocrats ETF</t>
  </si>
  <si>
    <t>GPTY</t>
  </si>
  <si>
    <t>Tidal Trust II - YieldMax AI &amp; Tech Portfolio Option Income ETF</t>
  </si>
  <si>
    <t>FTCE</t>
  </si>
  <si>
    <t>First Trust Exchange-Traded Fund VI - First Trust New Constructs Core Earnings Leaders ETF</t>
  </si>
  <si>
    <t>IBLC</t>
  </si>
  <si>
    <t>iShares Trust - iShares Blockchain and Tech ETF</t>
  </si>
  <si>
    <t>NXTE</t>
  </si>
  <si>
    <t>Investment Managers Series Trust II - AXS Green Alpha ETF</t>
  </si>
  <si>
    <t>SWP</t>
  </si>
  <si>
    <t>Manager Directed Portfolios - SWP Growth &amp; Income ETF</t>
  </si>
  <si>
    <t>DIVP</t>
  </si>
  <si>
    <t>Advisors Inner Circle Fund II - Cullen Enhanced Equity Income ETF</t>
  </si>
  <si>
    <t>SKYY</t>
  </si>
  <si>
    <t>First Trust Exchange-Traded Fund II - First Trust Cloud Computing ETF</t>
  </si>
  <si>
    <t>AIBU</t>
  </si>
  <si>
    <t>Direxion Shares ETF Trust - `Direxion Daily AI and Big Data Bull 2X ETF</t>
  </si>
  <si>
    <t>Wall Street's Most Accurate Analysts Give Their Take On 3 Tech Stocks Delivering High-Dividend Yields</t>
  </si>
  <si>
    <t>Benzinga</t>
  </si>
  <si>
    <t>https://www.benzinga.com/trading-ideas/dividends/26/10/62294921/wall-streets-most-accurate-analysts-give-their-take-on-3-tech-stocks-delivering-high-dividend-yields-18?utm_source=TechInvestorNews&amp;utm_campaign=partner_feed&amp;utm_medium=referral</t>
  </si>
  <si>
    <t>Analysts Offer Insights on Technology Companies: TSMC (TSM), Manhattan Associates (MANH) and International Business Machines (IBM)</t>
  </si>
  <si>
    <t>TipRanks</t>
  </si>
  <si>
    <t>https://www.tipranks.com/news/blurbs/analysts-offer-insights-on-technology-companies-tsmc-tsm-manhattan-associates-manh-and-international-business-machines-ibm-blurbs-news?utm_source=alphanewsstream.com&amp;utm_medium=referral</t>
  </si>
  <si>
    <t>Celebrating the brilliant pragmatism of TCP/IP, the wiring of the world</t>
  </si>
  <si>
    <t>The Register</t>
  </si>
  <si>
    <t>https://www.theregister.com/columnists/2026/10/12/celebrating-the-brilliant-pragmatism-of-tcp/ip-the-wiring-of-the-world/5302202</t>
  </si>
  <si>
    <t>Did CMO Hire Just Shift Salesforce's (CRM) Investment Narrative?</t>
  </si>
  <si>
    <t>Simply Wall St</t>
  </si>
  <si>
    <t>https://simplywall.st/stocks/us/software/nyse-crm/salesforce/news/did-cmo-hire-just-shift-salesforces-crm-investment-narrative?utm_medium=article&amp;utm_source=robinhood</t>
  </si>
  <si>
    <t>AI Giants Drop NDAs in Data Center Talks as Backlash Threatens Buildout</t>
  </si>
  <si>
    <t>WebProNews</t>
  </si>
  <si>
    <t>https://www.webpronews.com/ai-giants-drop-ndas-in-data-center-talks-as-backlash-threatens-buildout/</t>
  </si>
  <si>
    <t xml:space="preserve">Volume date 46307 differs from quote date 46304. </t>
  </si>
  <si>
    <t>IBM refreshed: 11 of 11 requests succeeded. Source dates shown below.</t>
  </si>
  <si>
    <t>In the "Symbol" field, enter IBM and</t>
  </si>
  <si>
    <t>click the "Enter / Refresh" button</t>
  </si>
  <si>
    <t xml:space="preserve">YOU WILL BE PROMPTED </t>
  </si>
  <si>
    <t>to enter the temporary token (expires 10/19/26)</t>
  </si>
  <si>
    <t>A</t>
  </si>
  <si>
    <t>C</t>
  </si>
  <si>
    <t>B</t>
  </si>
  <si>
    <t>Raw: 30516.797871</t>
  </si>
  <si>
    <t>Raw: 228.05</t>
  </si>
  <si>
    <t>Raw: 0.92</t>
  </si>
  <si>
    <t>Raw: 0.405</t>
  </si>
  <si>
    <t>Raw: 09:11:25.780</t>
  </si>
  <si>
    <t>Raw: 228.71</t>
  </si>
  <si>
    <t>Raw: 09:13:11.165</t>
  </si>
  <si>
    <t>Need to show logo (poc, instructions for dev)</t>
  </si>
  <si>
    <t>Purpose:</t>
  </si>
  <si>
    <r>
      <t xml:space="preserve">This </t>
    </r>
    <r>
      <rPr>
        <b/>
        <sz val="11"/>
        <rFont val="Carlito"/>
      </rPr>
      <t>unsupported</t>
    </r>
    <r>
      <rPr>
        <sz val="11"/>
        <rFont val="Carlito"/>
      </rPr>
      <t xml:space="preserve"> prototype was created to give DEV insight into the business requirements for data (where to find it in the API, how it will be displayed - eg, charts).</t>
    </r>
  </si>
  <si>
    <t xml:space="preserve">It can also add value to the business by providing a low-effort way to spot check API (performance, data quality and consistency, etc.). </t>
  </si>
  <si>
    <t>How to Use:</t>
  </si>
  <si>
    <t>Go to the Research Dashboard tab -&gt;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</si>
</sst>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
    <numFmt numFmtId="165" formatCode="\$0.0000"/>
    <numFmt numFmtId="166" formatCode="\$0.00"/>
    <numFmt numFmtId="167" formatCode="\$0.00,,,&quot;B&quot;"/>
    <numFmt numFmtId="168" formatCode="yyyy\-mm\-dd\ hh:mm:ss"/>
  </numFmts>
  <fonts count="16">
    <font>
      <sz val="11"/>
      <name val="Carlito"/>
    </font>
    <font>
      <sz val="10"/>
      <color rgb="FF15324A"/>
      <name val="Arial"/>
      <family val="2"/>
    </font>
    <font>
      <b/>
      <sz val="18"/>
      <color rgb="FF15324A"/>
      <name val="Arial"/>
      <family val="2"/>
    </font>
    <font>
      <b/>
      <sz val="16"/>
      <color rgb="FF15324A"/>
      <name val="Arial"/>
      <family val="2"/>
    </font>
    <font>
      <b/>
      <sz val="12"/>
      <color rgb="FF15324A"/>
      <name val="Arial"/>
      <family val="2"/>
    </font>
    <font>
      <b/>
      <sz val="12"/>
      <color rgb="FFFFFFFF"/>
      <name val="Arial"/>
      <family val="2"/>
    </font>
    <font>
      <sz val="10"/>
      <color rgb="FF64748B"/>
      <name val="Arial"/>
      <family val="2"/>
    </font>
    <font>
      <b/>
      <sz val="20"/>
      <color rgb="FF15324A"/>
      <name val="Arial"/>
      <family val="2"/>
    </font>
    <font>
      <b/>
      <sz val="10"/>
      <color rgb="FF64748B"/>
      <name val="Arial"/>
      <family val="2"/>
    </font>
    <font>
      <b/>
      <sz val="30"/>
      <color rgb="FF15324A"/>
      <name val="Arial"/>
      <family val="2"/>
    </font>
    <font>
      <sz val="9"/>
      <color rgb="FF64748B"/>
      <name val="Arial"/>
      <family val="2"/>
    </font>
    <font>
      <sz val="9"/>
      <color rgb="FF15324A"/>
      <name val="Arial"/>
      <family val="2"/>
    </font>
    <font>
      <sz val="11"/>
      <color rgb="FF15324A"/>
      <name val="Arial"/>
      <family val="2"/>
    </font>
    <font>
      <sz val="10"/>
      <color rgb="FF754B11"/>
      <name val="Arial"/>
      <family val="2"/>
    </font>
    <font>
      <b/>
      <sz val="10"/>
      <color rgb="FFFFFFFF"/>
      <name val="Arial"/>
      <family val="2"/>
    </font>
    <font>
      <b/>
      <sz val="11"/>
      <name val="Carlito"/>
    </font>
  </fonts>
  <fills count="8">
    <fill>
      <patternFill patternType="none"/>
    </fill>
    <fill>
      <patternFill patternType="gray125"/>
    </fill>
    <fill>
      <patternFill patternType="solid">
        <fgColor rgb="FFEEF3F8"/>
      </patternFill>
    </fill>
    <fill>
      <patternFill patternType="solid">
        <fgColor rgb="FFFFF0BA"/>
      </patternFill>
    </fill>
    <fill>
      <patternFill patternType="solid">
        <fgColor rgb="FF15324A"/>
      </patternFill>
    </fill>
    <fill>
      <patternFill patternType="solid">
        <fgColor rgb="FFFFFFFF"/>
      </patternFill>
    </fill>
    <fill>
      <patternFill patternType="solid">
        <fgColor rgb="FFE5EDF5"/>
      </patternFill>
    </fill>
    <fill>
      <patternFill patternType="solid">
        <fgColor rgb="FFFFF0DB"/>
      </patternFill>
    </fill>
  </fills>
  <borders count="7">
    <border>
      <left/>
      <right/>
      <top/>
      <bottom/>
      <diagonal/>
    </border>
    <border>
      <left style="thin">
        <color rgb="FFC99D28"/>
      </left>
      <right/>
      <top style="thin">
        <color rgb="FFC99D28"/>
      </top>
      <bottom/>
      <diagonal/>
    </border>
    <border>
      <left/>
      <right/>
      <top style="thin">
        <color rgb="FFC99D28"/>
      </top>
      <bottom/>
      <diagonal/>
    </border>
    <border>
      <left/>
      <right style="thin">
        <color rgb="FFC99D28"/>
      </right>
      <top style="thin">
        <color rgb="FFC99D28"/>
      </top>
      <bottom/>
      <diagonal/>
    </border>
    <border>
      <left style="thin">
        <color rgb="FFC99D28"/>
      </left>
      <right/>
      <top/>
      <bottom style="thin">
        <color rgb="FFC99D28"/>
      </bottom>
      <diagonal/>
    </border>
    <border>
      <left/>
      <right/>
      <top/>
      <bottom style="thin">
        <color rgb="FFC99D28"/>
      </bottom>
      <diagonal/>
    </border>
    <border>
      <left/>
      <right style="thin">
        <color rgb="FFC99D28"/>
      </right>
      <top/>
      <bottom style="thin">
        <color rgb="FFC99D28"/>
      </bottom>
      <diagonal/>
    </border>
  </borders>
  <cellStyleXfs count="1">
    <xf numFmtId="0" fontId="0" fillId="0" borderId="0"/>
  </cellStyleXfs>
  <cellXfs count="58">
    <xf numFmtId="0" fontId="0" fillId="0" borderId="0" xfId="0"/>
    <xf numFmtId="0" fontId="1" fillId="0" borderId="0" xfId="0" applyFont="1"/>
    <xf numFmtId="0" fontId="1" fillId="0" borderId="0" xfId="0" applyFont="1" applyAlignment="1">
      <alignment vertical="center"/>
    </xf>
    <xf numFmtId="0" fontId="1" fillId="2" borderId="0" xfId="0" applyFont="1" applyFill="1" applyAlignment="1">
      <alignment vertical="center"/>
    </xf>
    <xf numFmtId="0" fontId="0" fillId="2" borderId="0" xfId="0" applyFill="1"/>
    <xf numFmtId="0" fontId="1" fillId="5" borderId="0" xfId="0" applyFont="1" applyFill="1" applyAlignment="1">
      <alignment vertical="center"/>
    </xf>
    <xf numFmtId="0" fontId="14" fillId="4" borderId="0" xfId="0" applyFont="1" applyFill="1" applyAlignment="1">
      <alignment vertical="center"/>
    </xf>
    <xf numFmtId="10" fontId="1" fillId="0" borderId="0" xfId="0" applyNumberFormat="1" applyFont="1" applyAlignment="1">
      <alignment vertical="center"/>
    </xf>
    <xf numFmtId="10" fontId="0" fillId="0" borderId="0" xfId="0" applyNumberFormat="1"/>
    <xf numFmtId="165" fontId="1" fillId="0" borderId="0" xfId="0" applyNumberFormat="1" applyFont="1" applyAlignment="1">
      <alignment vertical="center"/>
    </xf>
    <xf numFmtId="166" fontId="1" fillId="0" borderId="0" xfId="0" applyNumberFormat="1" applyFont="1" applyAlignment="1">
      <alignment vertical="center"/>
    </xf>
    <xf numFmtId="166" fontId="0" fillId="0" borderId="0" xfId="0" applyNumberFormat="1"/>
    <xf numFmtId="167" fontId="1" fillId="0" borderId="0" xfId="0" applyNumberFormat="1" applyFont="1" applyAlignment="1">
      <alignment vertical="center"/>
    </xf>
    <xf numFmtId="168" fontId="1" fillId="0" borderId="0" xfId="0" applyNumberFormat="1" applyFont="1" applyAlignment="1">
      <alignment vertical="center"/>
    </xf>
    <xf numFmtId="14" fontId="1" fillId="0" borderId="0" xfId="0" applyNumberFormat="1" applyFont="1" applyAlignment="1">
      <alignment vertical="center"/>
    </xf>
    <xf numFmtId="47" fontId="1" fillId="0" borderId="0" xfId="0" applyNumberFormat="1" applyFont="1" applyAlignment="1">
      <alignment vertical="center"/>
    </xf>
    <xf numFmtId="14" fontId="0" fillId="0" borderId="0" xfId="0" applyNumberFormat="1"/>
    <xf numFmtId="0" fontId="15" fillId="0" borderId="0" xfId="0" applyFont="1"/>
    <xf numFmtId="0" fontId="15" fillId="0" borderId="0" xfId="0" applyFont="1" applyAlignment="1">
      <alignment horizontal="center"/>
    </xf>
    <xf numFmtId="0" fontId="1" fillId="0" borderId="0" xfId="0" quotePrefix="1" applyFont="1" applyAlignment="1">
      <alignment vertical="center"/>
    </xf>
    <xf numFmtId="0" fontId="1" fillId="5" borderId="0" xfId="0" applyFont="1" applyFill="1" applyAlignment="1">
      <alignment vertical="center"/>
    </xf>
    <xf numFmtId="0" fontId="1" fillId="5" borderId="0" xfId="0" applyFont="1" applyFill="1" applyAlignment="1">
      <alignment horizontal="right" vertical="center"/>
    </xf>
    <xf numFmtId="0" fontId="6" fillId="5" borderId="0" xfId="0" applyFont="1" applyFill="1" applyAlignment="1">
      <alignment vertical="center"/>
    </xf>
    <xf numFmtId="0" fontId="1" fillId="5" borderId="0" xfId="0" applyFont="1" applyFill="1" applyAlignment="1">
      <alignment vertical="center" wrapText="1"/>
    </xf>
    <xf numFmtId="0" fontId="6" fillId="2" borderId="0" xfId="0" applyFont="1" applyFill="1" applyAlignment="1">
      <alignment vertical="center"/>
    </xf>
    <xf numFmtId="0" fontId="7" fillId="5" borderId="0" xfId="0" applyFont="1" applyFill="1" applyAlignment="1">
      <alignment vertical="center"/>
    </xf>
    <xf numFmtId="0" fontId="8" fillId="5" borderId="0" xfId="0" applyFont="1" applyFill="1" applyAlignment="1">
      <alignment vertical="center"/>
    </xf>
    <xf numFmtId="164" fontId="9" fillId="5" borderId="0" xfId="0" applyNumberFormat="1" applyFont="1" applyFill="1" applyAlignment="1">
      <alignment vertical="center"/>
    </xf>
    <xf numFmtId="0" fontId="9" fillId="5" borderId="0" xfId="0" applyFont="1" applyFill="1" applyAlignment="1">
      <alignment vertical="center"/>
    </xf>
    <xf numFmtId="0" fontId="10" fillId="5" borderId="0" xfId="0" applyFont="1" applyFill="1" applyAlignment="1">
      <alignment vertical="center" wrapText="1"/>
    </xf>
    <xf numFmtId="0" fontId="4" fillId="6" borderId="0" xfId="0" applyFont="1" applyFill="1" applyAlignment="1">
      <alignment vertical="center"/>
    </xf>
    <xf numFmtId="0" fontId="2" fillId="2" borderId="0" xfId="0" applyFont="1" applyFill="1" applyAlignment="1">
      <alignment vertical="center"/>
    </xf>
    <xf numFmtId="0" fontId="1" fillId="2" borderId="0" xfId="0" applyFont="1" applyFill="1" applyAlignment="1">
      <alignment vertical="center"/>
    </xf>
    <xf numFmtId="0" fontId="3" fillId="3" borderId="1" xfId="0" applyFont="1" applyFill="1" applyBorder="1" applyAlignment="1">
      <alignment vertical="center"/>
    </xf>
    <xf numFmtId="0" fontId="3" fillId="3" borderId="2" xfId="0" applyFont="1" applyFill="1" applyBorder="1" applyAlignment="1">
      <alignment vertical="center"/>
    </xf>
    <xf numFmtId="0" fontId="3" fillId="3" borderId="3" xfId="0" applyFont="1" applyFill="1" applyBorder="1" applyAlignment="1">
      <alignment vertical="center"/>
    </xf>
    <xf numFmtId="0" fontId="3" fillId="3" borderId="4" xfId="0" applyFont="1" applyFill="1" applyBorder="1" applyAlignment="1">
      <alignment vertical="center"/>
    </xf>
    <xf numFmtId="0" fontId="3" fillId="3" borderId="5" xfId="0" applyFont="1" applyFill="1" applyBorder="1" applyAlignment="1">
      <alignment vertical="center"/>
    </xf>
    <xf numFmtId="0" fontId="3" fillId="3" borderId="6" xfId="0" applyFont="1" applyFill="1" applyBorder="1" applyAlignment="1">
      <alignment vertical="center"/>
    </xf>
    <xf numFmtId="0" fontId="4" fillId="3" borderId="1" xfId="0" applyFont="1" applyFill="1" applyBorder="1" applyAlignment="1">
      <alignment vertical="center"/>
    </xf>
    <xf numFmtId="0" fontId="4" fillId="3" borderId="2" xfId="0" applyFont="1" applyFill="1" applyBorder="1" applyAlignment="1">
      <alignment vertical="center"/>
    </xf>
    <xf numFmtId="0" fontId="4" fillId="3" borderId="3" xfId="0" applyFont="1" applyFill="1" applyBorder="1" applyAlignment="1">
      <alignment vertical="center"/>
    </xf>
    <xf numFmtId="0" fontId="4" fillId="3" borderId="4" xfId="0" applyFont="1" applyFill="1" applyBorder="1" applyAlignment="1">
      <alignment vertical="center"/>
    </xf>
    <xf numFmtId="0" fontId="4" fillId="3" borderId="5" xfId="0" applyFont="1" applyFill="1" applyBorder="1" applyAlignment="1">
      <alignment vertical="center"/>
    </xf>
    <xf numFmtId="0" fontId="4" fillId="3" borderId="6" xfId="0" applyFont="1" applyFill="1" applyBorder="1" applyAlignment="1">
      <alignment vertical="center"/>
    </xf>
    <xf numFmtId="0" fontId="5" fillId="4" borderId="0" xfId="0" applyFont="1" applyFill="1" applyAlignment="1">
      <alignment horizontal="center" vertical="center"/>
    </xf>
    <xf numFmtId="10" fontId="1" fillId="5" borderId="0" xfId="0" applyNumberFormat="1" applyFont="1" applyFill="1" applyAlignment="1">
      <alignment vertical="center"/>
    </xf>
    <xf numFmtId="0" fontId="11" fillId="5" borderId="0" xfId="0" applyFont="1" applyFill="1" applyAlignment="1">
      <alignment vertical="center"/>
    </xf>
    <xf numFmtId="0" fontId="10" fillId="2" borderId="0" xfId="0" applyFont="1" applyFill="1" applyAlignment="1">
      <alignment vertical="center" wrapText="1"/>
    </xf>
    <xf numFmtId="0" fontId="10" fillId="2" borderId="0" xfId="0" applyFont="1" applyFill="1" applyAlignment="1">
      <alignment vertical="center"/>
    </xf>
    <xf numFmtId="0" fontId="6" fillId="2" borderId="0" xfId="0" applyFont="1" applyFill="1" applyAlignment="1">
      <alignment vertical="center" wrapText="1"/>
    </xf>
    <xf numFmtId="165" fontId="1" fillId="5" borderId="0" xfId="0" applyNumberFormat="1" applyFont="1" applyFill="1" applyAlignment="1">
      <alignment vertical="center"/>
    </xf>
    <xf numFmtId="0" fontId="1" fillId="2" borderId="0" xfId="0" applyFont="1" applyFill="1" applyAlignment="1">
      <alignment vertical="center" wrapText="1"/>
    </xf>
    <xf numFmtId="0" fontId="13" fillId="7" borderId="0" xfId="0" applyFont="1" applyFill="1" applyAlignment="1">
      <alignment vertical="top" wrapText="1"/>
    </xf>
    <xf numFmtId="0" fontId="10" fillId="0" borderId="0" xfId="0" applyFont="1" applyAlignment="1">
      <alignment vertical="center" wrapText="1"/>
    </xf>
    <xf numFmtId="0" fontId="12" fillId="5" borderId="0" xfId="0" applyFont="1" applyFill="1" applyAlignment="1">
      <alignment vertical="top" wrapText="1"/>
    </xf>
    <xf numFmtId="0" fontId="3" fillId="0" borderId="0" xfId="0" applyFont="1" applyAlignment="1">
      <alignment vertical="center"/>
    </xf>
    <xf numFmtId="0" fontId="1" fillId="0" borderId="0" xfId="0" applyFont="1" applyAlignment="1">
      <alignment vertical="center" wrapText="1"/>
    </xf>
  </cellXfs>
  <cellStyles count="1">
    <cellStyle name="Normal" xfId="0" builtinId="0"/>
  </cellStyles>
  <dxfs count="2">
    <dxf>
      <font>
        <color rgb="FF137A59"/>
      </font>
    </dxf>
    <dxf>
      <font>
        <color rgb="FFB42318"/>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a:lstStyle/>
          <a:p>
            <a:r>
              <a:rPr lang="en-US" sz="900">
                <a:latin typeface="Arial"/>
                <a:ea typeface="Arial"/>
                <a:cs typeface="Arial"/>
              </a:rPr>
              <a:t>Daily close (USD)</a:t>
            </a:r>
          </a:p>
        </c:rich>
      </c:tx>
      <c:overlay val="0"/>
    </c:title>
    <c:autoTitleDeleted val="0"/>
    <c:plotArea>
      <c:layout/>
      <c:lineChart>
        <c:grouping val="standard"/>
        <c:varyColors val="0"/>
        <c:ser>
          <c:idx val="0"/>
          <c:order val="0"/>
          <c:tx>
            <c:v>Displayed price / NAV</c:v>
          </c:tx>
          <c:spPr>
            <a:ln w="19050">
              <a:solidFill>
                <a:srgbClr val="2563EB"/>
              </a:solidFill>
              <a:prstDash val="solid"/>
            </a:ln>
          </c:spPr>
          <c:marker>
            <c:symbol val="none"/>
          </c:marker>
          <c:cat>
            <c:numRef>
              <c:f>History!$A$2:$A$251</c:f>
              <c:numCache>
                <c:formatCode>m/d/yyyy</c:formatCode>
                <c:ptCount val="250"/>
                <c:pt idx="0">
                  <c:v>45943</c:v>
                </c:pt>
                <c:pt idx="1">
                  <c:v>45944</c:v>
                </c:pt>
                <c:pt idx="2">
                  <c:v>45945</c:v>
                </c:pt>
                <c:pt idx="3">
                  <c:v>45946</c:v>
                </c:pt>
                <c:pt idx="4">
                  <c:v>45947</c:v>
                </c:pt>
                <c:pt idx="5">
                  <c:v>45950</c:v>
                </c:pt>
                <c:pt idx="6">
                  <c:v>45951</c:v>
                </c:pt>
                <c:pt idx="7">
                  <c:v>45952</c:v>
                </c:pt>
                <c:pt idx="8">
                  <c:v>45953</c:v>
                </c:pt>
                <c:pt idx="9">
                  <c:v>45954</c:v>
                </c:pt>
                <c:pt idx="10">
                  <c:v>45957</c:v>
                </c:pt>
                <c:pt idx="11">
                  <c:v>45958</c:v>
                </c:pt>
                <c:pt idx="12">
                  <c:v>45959</c:v>
                </c:pt>
                <c:pt idx="13">
                  <c:v>45960</c:v>
                </c:pt>
                <c:pt idx="14">
                  <c:v>45961</c:v>
                </c:pt>
                <c:pt idx="15">
                  <c:v>45964</c:v>
                </c:pt>
                <c:pt idx="16">
                  <c:v>45965</c:v>
                </c:pt>
                <c:pt idx="17">
                  <c:v>45966</c:v>
                </c:pt>
                <c:pt idx="18">
                  <c:v>45967</c:v>
                </c:pt>
                <c:pt idx="19">
                  <c:v>45968</c:v>
                </c:pt>
                <c:pt idx="20">
                  <c:v>45971</c:v>
                </c:pt>
                <c:pt idx="21">
                  <c:v>45972</c:v>
                </c:pt>
                <c:pt idx="22">
                  <c:v>45973</c:v>
                </c:pt>
                <c:pt idx="23">
                  <c:v>45974</c:v>
                </c:pt>
                <c:pt idx="24">
                  <c:v>45975</c:v>
                </c:pt>
                <c:pt idx="25">
                  <c:v>45978</c:v>
                </c:pt>
                <c:pt idx="26">
                  <c:v>45979</c:v>
                </c:pt>
                <c:pt idx="27">
                  <c:v>45980</c:v>
                </c:pt>
                <c:pt idx="28">
                  <c:v>45981</c:v>
                </c:pt>
                <c:pt idx="29">
                  <c:v>45982</c:v>
                </c:pt>
                <c:pt idx="30">
                  <c:v>45985</c:v>
                </c:pt>
                <c:pt idx="31">
                  <c:v>45986</c:v>
                </c:pt>
                <c:pt idx="32">
                  <c:v>45987</c:v>
                </c:pt>
                <c:pt idx="33">
                  <c:v>45989</c:v>
                </c:pt>
                <c:pt idx="34">
                  <c:v>45992</c:v>
                </c:pt>
                <c:pt idx="35">
                  <c:v>45993</c:v>
                </c:pt>
                <c:pt idx="36">
                  <c:v>45994</c:v>
                </c:pt>
                <c:pt idx="37">
                  <c:v>45995</c:v>
                </c:pt>
                <c:pt idx="38">
                  <c:v>45996</c:v>
                </c:pt>
                <c:pt idx="39">
                  <c:v>45999</c:v>
                </c:pt>
                <c:pt idx="40">
                  <c:v>46000</c:v>
                </c:pt>
                <c:pt idx="41">
                  <c:v>46001</c:v>
                </c:pt>
                <c:pt idx="42">
                  <c:v>46002</c:v>
                </c:pt>
                <c:pt idx="43">
                  <c:v>46003</c:v>
                </c:pt>
                <c:pt idx="44">
                  <c:v>46006</c:v>
                </c:pt>
                <c:pt idx="45">
                  <c:v>46007</c:v>
                </c:pt>
                <c:pt idx="46">
                  <c:v>46008</c:v>
                </c:pt>
                <c:pt idx="47">
                  <c:v>46009</c:v>
                </c:pt>
                <c:pt idx="48">
                  <c:v>46010</c:v>
                </c:pt>
                <c:pt idx="49">
                  <c:v>46013</c:v>
                </c:pt>
                <c:pt idx="50">
                  <c:v>46014</c:v>
                </c:pt>
                <c:pt idx="51">
                  <c:v>46015</c:v>
                </c:pt>
                <c:pt idx="52">
                  <c:v>46017</c:v>
                </c:pt>
                <c:pt idx="53">
                  <c:v>46020</c:v>
                </c:pt>
                <c:pt idx="54">
                  <c:v>46021</c:v>
                </c:pt>
                <c:pt idx="55">
                  <c:v>46022</c:v>
                </c:pt>
                <c:pt idx="56">
                  <c:v>46024</c:v>
                </c:pt>
                <c:pt idx="57">
                  <c:v>46027</c:v>
                </c:pt>
                <c:pt idx="58">
                  <c:v>46028</c:v>
                </c:pt>
                <c:pt idx="59">
                  <c:v>46029</c:v>
                </c:pt>
                <c:pt idx="60">
                  <c:v>46030</c:v>
                </c:pt>
                <c:pt idx="61">
                  <c:v>46031</c:v>
                </c:pt>
                <c:pt idx="62">
                  <c:v>46034</c:v>
                </c:pt>
                <c:pt idx="63">
                  <c:v>46035</c:v>
                </c:pt>
                <c:pt idx="64">
                  <c:v>46036</c:v>
                </c:pt>
                <c:pt idx="65">
                  <c:v>46037</c:v>
                </c:pt>
                <c:pt idx="66">
                  <c:v>46038</c:v>
                </c:pt>
                <c:pt idx="67">
                  <c:v>46042</c:v>
                </c:pt>
                <c:pt idx="68">
                  <c:v>46043</c:v>
                </c:pt>
                <c:pt idx="69">
                  <c:v>46044</c:v>
                </c:pt>
                <c:pt idx="70">
                  <c:v>46045</c:v>
                </c:pt>
                <c:pt idx="71">
                  <c:v>46048</c:v>
                </c:pt>
                <c:pt idx="72">
                  <c:v>46049</c:v>
                </c:pt>
                <c:pt idx="73">
                  <c:v>46050</c:v>
                </c:pt>
                <c:pt idx="74">
                  <c:v>46051</c:v>
                </c:pt>
                <c:pt idx="75">
                  <c:v>46052</c:v>
                </c:pt>
                <c:pt idx="76">
                  <c:v>46055</c:v>
                </c:pt>
                <c:pt idx="77">
                  <c:v>46056</c:v>
                </c:pt>
                <c:pt idx="78">
                  <c:v>46057</c:v>
                </c:pt>
                <c:pt idx="79">
                  <c:v>46058</c:v>
                </c:pt>
                <c:pt idx="80">
                  <c:v>46059</c:v>
                </c:pt>
                <c:pt idx="81">
                  <c:v>46062</c:v>
                </c:pt>
                <c:pt idx="82">
                  <c:v>46063</c:v>
                </c:pt>
                <c:pt idx="83">
                  <c:v>46064</c:v>
                </c:pt>
                <c:pt idx="84">
                  <c:v>46065</c:v>
                </c:pt>
                <c:pt idx="85">
                  <c:v>46066</c:v>
                </c:pt>
                <c:pt idx="86">
                  <c:v>46070</c:v>
                </c:pt>
                <c:pt idx="87">
                  <c:v>46071</c:v>
                </c:pt>
                <c:pt idx="88">
                  <c:v>46072</c:v>
                </c:pt>
                <c:pt idx="89">
                  <c:v>46073</c:v>
                </c:pt>
                <c:pt idx="90">
                  <c:v>46076</c:v>
                </c:pt>
                <c:pt idx="91">
                  <c:v>46077</c:v>
                </c:pt>
                <c:pt idx="92">
                  <c:v>46078</c:v>
                </c:pt>
                <c:pt idx="93">
                  <c:v>46079</c:v>
                </c:pt>
                <c:pt idx="94">
                  <c:v>46080</c:v>
                </c:pt>
                <c:pt idx="95">
                  <c:v>46083</c:v>
                </c:pt>
                <c:pt idx="96">
                  <c:v>46084</c:v>
                </c:pt>
                <c:pt idx="97">
                  <c:v>46085</c:v>
                </c:pt>
                <c:pt idx="98">
                  <c:v>46086</c:v>
                </c:pt>
                <c:pt idx="99">
                  <c:v>46087</c:v>
                </c:pt>
                <c:pt idx="100">
                  <c:v>46090</c:v>
                </c:pt>
                <c:pt idx="101">
                  <c:v>46091</c:v>
                </c:pt>
                <c:pt idx="102">
                  <c:v>46092</c:v>
                </c:pt>
                <c:pt idx="103">
                  <c:v>46093</c:v>
                </c:pt>
                <c:pt idx="104">
                  <c:v>46094</c:v>
                </c:pt>
                <c:pt idx="105">
                  <c:v>46097</c:v>
                </c:pt>
                <c:pt idx="106">
                  <c:v>46098</c:v>
                </c:pt>
                <c:pt idx="107">
                  <c:v>46099</c:v>
                </c:pt>
                <c:pt idx="108">
                  <c:v>46100</c:v>
                </c:pt>
                <c:pt idx="109">
                  <c:v>46101</c:v>
                </c:pt>
                <c:pt idx="110">
                  <c:v>46104</c:v>
                </c:pt>
                <c:pt idx="111">
                  <c:v>46105</c:v>
                </c:pt>
                <c:pt idx="112">
                  <c:v>46106</c:v>
                </c:pt>
                <c:pt idx="113">
                  <c:v>46107</c:v>
                </c:pt>
                <c:pt idx="114">
                  <c:v>46108</c:v>
                </c:pt>
                <c:pt idx="115">
                  <c:v>46111</c:v>
                </c:pt>
                <c:pt idx="116">
                  <c:v>46112</c:v>
                </c:pt>
                <c:pt idx="117">
                  <c:v>46113</c:v>
                </c:pt>
                <c:pt idx="118">
                  <c:v>46114</c:v>
                </c:pt>
                <c:pt idx="119">
                  <c:v>46118</c:v>
                </c:pt>
                <c:pt idx="120">
                  <c:v>46119</c:v>
                </c:pt>
                <c:pt idx="121">
                  <c:v>46120</c:v>
                </c:pt>
                <c:pt idx="122">
                  <c:v>46121</c:v>
                </c:pt>
                <c:pt idx="123">
                  <c:v>46122</c:v>
                </c:pt>
                <c:pt idx="124">
                  <c:v>46125</c:v>
                </c:pt>
                <c:pt idx="125">
                  <c:v>46126</c:v>
                </c:pt>
                <c:pt idx="126">
                  <c:v>46127</c:v>
                </c:pt>
                <c:pt idx="127">
                  <c:v>46128</c:v>
                </c:pt>
                <c:pt idx="128">
                  <c:v>46129</c:v>
                </c:pt>
                <c:pt idx="129">
                  <c:v>46132</c:v>
                </c:pt>
                <c:pt idx="130">
                  <c:v>46133</c:v>
                </c:pt>
                <c:pt idx="131">
                  <c:v>46134</c:v>
                </c:pt>
                <c:pt idx="132">
                  <c:v>46135</c:v>
                </c:pt>
                <c:pt idx="133">
                  <c:v>46136</c:v>
                </c:pt>
                <c:pt idx="134">
                  <c:v>46139</c:v>
                </c:pt>
                <c:pt idx="135">
                  <c:v>46140</c:v>
                </c:pt>
                <c:pt idx="136">
                  <c:v>46141</c:v>
                </c:pt>
                <c:pt idx="137">
                  <c:v>46142</c:v>
                </c:pt>
                <c:pt idx="138">
                  <c:v>46143</c:v>
                </c:pt>
                <c:pt idx="139">
                  <c:v>46146</c:v>
                </c:pt>
                <c:pt idx="140">
                  <c:v>46147</c:v>
                </c:pt>
                <c:pt idx="141">
                  <c:v>46148</c:v>
                </c:pt>
                <c:pt idx="142">
                  <c:v>46149</c:v>
                </c:pt>
                <c:pt idx="143">
                  <c:v>46150</c:v>
                </c:pt>
                <c:pt idx="144">
                  <c:v>46153</c:v>
                </c:pt>
                <c:pt idx="145">
                  <c:v>46154</c:v>
                </c:pt>
                <c:pt idx="146">
                  <c:v>46155</c:v>
                </c:pt>
                <c:pt idx="147">
                  <c:v>46156</c:v>
                </c:pt>
                <c:pt idx="148">
                  <c:v>46157</c:v>
                </c:pt>
                <c:pt idx="149">
                  <c:v>46160</c:v>
                </c:pt>
                <c:pt idx="150">
                  <c:v>46161</c:v>
                </c:pt>
                <c:pt idx="151">
                  <c:v>46162</c:v>
                </c:pt>
                <c:pt idx="152">
                  <c:v>46163</c:v>
                </c:pt>
                <c:pt idx="153">
                  <c:v>46164</c:v>
                </c:pt>
                <c:pt idx="154">
                  <c:v>46168</c:v>
                </c:pt>
                <c:pt idx="155">
                  <c:v>46169</c:v>
                </c:pt>
                <c:pt idx="156">
                  <c:v>46170</c:v>
                </c:pt>
                <c:pt idx="157">
                  <c:v>46171</c:v>
                </c:pt>
                <c:pt idx="158">
                  <c:v>46174</c:v>
                </c:pt>
                <c:pt idx="159">
                  <c:v>46175</c:v>
                </c:pt>
                <c:pt idx="160">
                  <c:v>46176</c:v>
                </c:pt>
                <c:pt idx="161">
                  <c:v>46177</c:v>
                </c:pt>
                <c:pt idx="162">
                  <c:v>46178</c:v>
                </c:pt>
                <c:pt idx="163">
                  <c:v>46181</c:v>
                </c:pt>
                <c:pt idx="164">
                  <c:v>46182</c:v>
                </c:pt>
                <c:pt idx="165">
                  <c:v>46183</c:v>
                </c:pt>
                <c:pt idx="166">
                  <c:v>46184</c:v>
                </c:pt>
                <c:pt idx="167">
                  <c:v>46185</c:v>
                </c:pt>
                <c:pt idx="168">
                  <c:v>46188</c:v>
                </c:pt>
                <c:pt idx="169">
                  <c:v>46189</c:v>
                </c:pt>
                <c:pt idx="170">
                  <c:v>46190</c:v>
                </c:pt>
                <c:pt idx="171">
                  <c:v>46191</c:v>
                </c:pt>
                <c:pt idx="172">
                  <c:v>46195</c:v>
                </c:pt>
                <c:pt idx="173">
                  <c:v>46196</c:v>
                </c:pt>
                <c:pt idx="174">
                  <c:v>46197</c:v>
                </c:pt>
                <c:pt idx="175">
                  <c:v>46198</c:v>
                </c:pt>
                <c:pt idx="176">
                  <c:v>46199</c:v>
                </c:pt>
                <c:pt idx="177">
                  <c:v>46202</c:v>
                </c:pt>
                <c:pt idx="178">
                  <c:v>46203</c:v>
                </c:pt>
                <c:pt idx="179">
                  <c:v>46204</c:v>
                </c:pt>
                <c:pt idx="180">
                  <c:v>46205</c:v>
                </c:pt>
                <c:pt idx="181">
                  <c:v>46209</c:v>
                </c:pt>
                <c:pt idx="182">
                  <c:v>46210</c:v>
                </c:pt>
                <c:pt idx="183">
                  <c:v>46211</c:v>
                </c:pt>
                <c:pt idx="184">
                  <c:v>46212</c:v>
                </c:pt>
                <c:pt idx="185">
                  <c:v>46213</c:v>
                </c:pt>
                <c:pt idx="186">
                  <c:v>46216</c:v>
                </c:pt>
                <c:pt idx="187">
                  <c:v>46217</c:v>
                </c:pt>
                <c:pt idx="188">
                  <c:v>46218</c:v>
                </c:pt>
                <c:pt idx="189">
                  <c:v>46219</c:v>
                </c:pt>
                <c:pt idx="190">
                  <c:v>46220</c:v>
                </c:pt>
                <c:pt idx="191">
                  <c:v>46223</c:v>
                </c:pt>
                <c:pt idx="192">
                  <c:v>46224</c:v>
                </c:pt>
                <c:pt idx="193">
                  <c:v>46225</c:v>
                </c:pt>
                <c:pt idx="194">
                  <c:v>46226</c:v>
                </c:pt>
                <c:pt idx="195">
                  <c:v>46227</c:v>
                </c:pt>
                <c:pt idx="196">
                  <c:v>46230</c:v>
                </c:pt>
                <c:pt idx="197">
                  <c:v>46231</c:v>
                </c:pt>
                <c:pt idx="198">
                  <c:v>46232</c:v>
                </c:pt>
                <c:pt idx="199">
                  <c:v>46233</c:v>
                </c:pt>
                <c:pt idx="200">
                  <c:v>46234</c:v>
                </c:pt>
                <c:pt idx="201">
                  <c:v>46237</c:v>
                </c:pt>
                <c:pt idx="202">
                  <c:v>46238</c:v>
                </c:pt>
                <c:pt idx="203">
                  <c:v>46239</c:v>
                </c:pt>
                <c:pt idx="204">
                  <c:v>46240</c:v>
                </c:pt>
                <c:pt idx="205">
                  <c:v>46241</c:v>
                </c:pt>
                <c:pt idx="206">
                  <c:v>46244</c:v>
                </c:pt>
                <c:pt idx="207">
                  <c:v>46245</c:v>
                </c:pt>
                <c:pt idx="208">
                  <c:v>46246</c:v>
                </c:pt>
                <c:pt idx="209">
                  <c:v>46247</c:v>
                </c:pt>
                <c:pt idx="210">
                  <c:v>46248</c:v>
                </c:pt>
                <c:pt idx="211">
                  <c:v>46251</c:v>
                </c:pt>
                <c:pt idx="212">
                  <c:v>46252</c:v>
                </c:pt>
                <c:pt idx="213">
                  <c:v>46253</c:v>
                </c:pt>
                <c:pt idx="214">
                  <c:v>46254</c:v>
                </c:pt>
                <c:pt idx="215">
                  <c:v>46255</c:v>
                </c:pt>
                <c:pt idx="216">
                  <c:v>46258</c:v>
                </c:pt>
                <c:pt idx="217">
                  <c:v>46259</c:v>
                </c:pt>
                <c:pt idx="218">
                  <c:v>46260</c:v>
                </c:pt>
                <c:pt idx="219">
                  <c:v>46261</c:v>
                </c:pt>
                <c:pt idx="220">
                  <c:v>46262</c:v>
                </c:pt>
                <c:pt idx="221">
                  <c:v>46265</c:v>
                </c:pt>
                <c:pt idx="222">
                  <c:v>46266</c:v>
                </c:pt>
                <c:pt idx="223">
                  <c:v>46267</c:v>
                </c:pt>
                <c:pt idx="224">
                  <c:v>46268</c:v>
                </c:pt>
                <c:pt idx="225">
                  <c:v>46269</c:v>
                </c:pt>
                <c:pt idx="226">
                  <c:v>46273</c:v>
                </c:pt>
                <c:pt idx="227">
                  <c:v>46274</c:v>
                </c:pt>
                <c:pt idx="228">
                  <c:v>46275</c:v>
                </c:pt>
                <c:pt idx="229">
                  <c:v>46276</c:v>
                </c:pt>
                <c:pt idx="230">
                  <c:v>46279</c:v>
                </c:pt>
                <c:pt idx="231">
                  <c:v>46280</c:v>
                </c:pt>
                <c:pt idx="232">
                  <c:v>46281</c:v>
                </c:pt>
                <c:pt idx="233">
                  <c:v>46282</c:v>
                </c:pt>
                <c:pt idx="234">
                  <c:v>46283</c:v>
                </c:pt>
                <c:pt idx="235">
                  <c:v>46286</c:v>
                </c:pt>
                <c:pt idx="236">
                  <c:v>46287</c:v>
                </c:pt>
                <c:pt idx="237">
                  <c:v>46288</c:v>
                </c:pt>
                <c:pt idx="238">
                  <c:v>46289</c:v>
                </c:pt>
                <c:pt idx="239">
                  <c:v>46290</c:v>
                </c:pt>
                <c:pt idx="240">
                  <c:v>46293</c:v>
                </c:pt>
                <c:pt idx="241">
                  <c:v>46294</c:v>
                </c:pt>
                <c:pt idx="242">
                  <c:v>46295</c:v>
                </c:pt>
                <c:pt idx="243">
                  <c:v>46296</c:v>
                </c:pt>
                <c:pt idx="244">
                  <c:v>46297</c:v>
                </c:pt>
                <c:pt idx="245">
                  <c:v>46300</c:v>
                </c:pt>
                <c:pt idx="246">
                  <c:v>46301</c:v>
                </c:pt>
                <c:pt idx="247">
                  <c:v>46302</c:v>
                </c:pt>
                <c:pt idx="248">
                  <c:v>46303</c:v>
                </c:pt>
                <c:pt idx="249">
                  <c:v>46304</c:v>
                </c:pt>
              </c:numCache>
            </c:numRef>
          </c:cat>
          <c:val>
            <c:numRef>
              <c:f>History!$F$2:$F$251</c:f>
              <c:numCache>
                <c:formatCode>General</c:formatCode>
                <c:ptCount val="250"/>
                <c:pt idx="0">
                  <c:v>277.22000000000003</c:v>
                </c:pt>
                <c:pt idx="1">
                  <c:v>276.14999999999998</c:v>
                </c:pt>
                <c:pt idx="2">
                  <c:v>280.75</c:v>
                </c:pt>
                <c:pt idx="3">
                  <c:v>275.97000000000003</c:v>
                </c:pt>
                <c:pt idx="4">
                  <c:v>281.27999999999997</c:v>
                </c:pt>
                <c:pt idx="5">
                  <c:v>283.64999999999998</c:v>
                </c:pt>
                <c:pt idx="6">
                  <c:v>282.05</c:v>
                </c:pt>
                <c:pt idx="7">
                  <c:v>287.51</c:v>
                </c:pt>
                <c:pt idx="8">
                  <c:v>285</c:v>
                </c:pt>
                <c:pt idx="9">
                  <c:v>307.45999999999998</c:v>
                </c:pt>
                <c:pt idx="10">
                  <c:v>313.08999999999997</c:v>
                </c:pt>
                <c:pt idx="11">
                  <c:v>312.57</c:v>
                </c:pt>
                <c:pt idx="12">
                  <c:v>308.20999999999998</c:v>
                </c:pt>
                <c:pt idx="13">
                  <c:v>310.06</c:v>
                </c:pt>
                <c:pt idx="14">
                  <c:v>307.41000000000003</c:v>
                </c:pt>
                <c:pt idx="15">
                  <c:v>304.73</c:v>
                </c:pt>
                <c:pt idx="16">
                  <c:v>300.85000000000002</c:v>
                </c:pt>
                <c:pt idx="17">
                  <c:v>306.77</c:v>
                </c:pt>
                <c:pt idx="18">
                  <c:v>312.42</c:v>
                </c:pt>
                <c:pt idx="19">
                  <c:v>306.38</c:v>
                </c:pt>
                <c:pt idx="20">
                  <c:v>309.13</c:v>
                </c:pt>
                <c:pt idx="21">
                  <c:v>313.72000000000003</c:v>
                </c:pt>
                <c:pt idx="22">
                  <c:v>314.98</c:v>
                </c:pt>
                <c:pt idx="23">
                  <c:v>304.86</c:v>
                </c:pt>
                <c:pt idx="24">
                  <c:v>305.69</c:v>
                </c:pt>
                <c:pt idx="25">
                  <c:v>297.17</c:v>
                </c:pt>
                <c:pt idx="26">
                  <c:v>289.95</c:v>
                </c:pt>
                <c:pt idx="27">
                  <c:v>288.52999999999997</c:v>
                </c:pt>
                <c:pt idx="28">
                  <c:v>290.39999999999998</c:v>
                </c:pt>
                <c:pt idx="29">
                  <c:v>297.44</c:v>
                </c:pt>
                <c:pt idx="30">
                  <c:v>304.12</c:v>
                </c:pt>
                <c:pt idx="31">
                  <c:v>304.48</c:v>
                </c:pt>
                <c:pt idx="32">
                  <c:v>303.20999999999998</c:v>
                </c:pt>
                <c:pt idx="33">
                  <c:v>308.58</c:v>
                </c:pt>
                <c:pt idx="34">
                  <c:v>305.67</c:v>
                </c:pt>
                <c:pt idx="35">
                  <c:v>301.77999999999997</c:v>
                </c:pt>
                <c:pt idx="36">
                  <c:v>302.62</c:v>
                </c:pt>
                <c:pt idx="37">
                  <c:v>307.99</c:v>
                </c:pt>
                <c:pt idx="38">
                  <c:v>307.94</c:v>
                </c:pt>
                <c:pt idx="39">
                  <c:v>309.18</c:v>
                </c:pt>
                <c:pt idx="40">
                  <c:v>310.48</c:v>
                </c:pt>
                <c:pt idx="41">
                  <c:v>312.67</c:v>
                </c:pt>
                <c:pt idx="42">
                  <c:v>310.74</c:v>
                </c:pt>
                <c:pt idx="43">
                  <c:v>309.24</c:v>
                </c:pt>
                <c:pt idx="44">
                  <c:v>308.66000000000003</c:v>
                </c:pt>
                <c:pt idx="45">
                  <c:v>303.18</c:v>
                </c:pt>
                <c:pt idx="46">
                  <c:v>303.32</c:v>
                </c:pt>
                <c:pt idx="47">
                  <c:v>300.45</c:v>
                </c:pt>
                <c:pt idx="48">
                  <c:v>300.98</c:v>
                </c:pt>
                <c:pt idx="49">
                  <c:v>302.79000000000002</c:v>
                </c:pt>
                <c:pt idx="50">
                  <c:v>303.77999999999997</c:v>
                </c:pt>
                <c:pt idx="51">
                  <c:v>304.56</c:v>
                </c:pt>
                <c:pt idx="52">
                  <c:v>305.08999999999997</c:v>
                </c:pt>
                <c:pt idx="53">
                  <c:v>305.74</c:v>
                </c:pt>
                <c:pt idx="54">
                  <c:v>302.05</c:v>
                </c:pt>
                <c:pt idx="55">
                  <c:v>296.20999999999998</c:v>
                </c:pt>
                <c:pt idx="56">
                  <c:v>291.5</c:v>
                </c:pt>
                <c:pt idx="57">
                  <c:v>294.97000000000003</c:v>
                </c:pt>
                <c:pt idx="58">
                  <c:v>302.47000000000003</c:v>
                </c:pt>
                <c:pt idx="59">
                  <c:v>296.73</c:v>
                </c:pt>
                <c:pt idx="60">
                  <c:v>302.72000000000003</c:v>
                </c:pt>
                <c:pt idx="61">
                  <c:v>304.22000000000003</c:v>
                </c:pt>
                <c:pt idx="62">
                  <c:v>312.18</c:v>
                </c:pt>
                <c:pt idx="63">
                  <c:v>303.16000000000003</c:v>
                </c:pt>
                <c:pt idx="64">
                  <c:v>309.02999999999997</c:v>
                </c:pt>
                <c:pt idx="65">
                  <c:v>297.95</c:v>
                </c:pt>
                <c:pt idx="66">
                  <c:v>305.67</c:v>
                </c:pt>
                <c:pt idx="67">
                  <c:v>291.35000000000002</c:v>
                </c:pt>
                <c:pt idx="68">
                  <c:v>297.54000000000002</c:v>
                </c:pt>
                <c:pt idx="69">
                  <c:v>294.67</c:v>
                </c:pt>
                <c:pt idx="70">
                  <c:v>292.44</c:v>
                </c:pt>
                <c:pt idx="71">
                  <c:v>296.33</c:v>
                </c:pt>
                <c:pt idx="72">
                  <c:v>293.86</c:v>
                </c:pt>
                <c:pt idx="73">
                  <c:v>294.16000000000003</c:v>
                </c:pt>
                <c:pt idx="74">
                  <c:v>309.24</c:v>
                </c:pt>
                <c:pt idx="75">
                  <c:v>306.7</c:v>
                </c:pt>
                <c:pt idx="76">
                  <c:v>314.73</c:v>
                </c:pt>
                <c:pt idx="77">
                  <c:v>294.31</c:v>
                </c:pt>
                <c:pt idx="78">
                  <c:v>289.05</c:v>
                </c:pt>
                <c:pt idx="79">
                  <c:v>289.89</c:v>
                </c:pt>
                <c:pt idx="80">
                  <c:v>298.93</c:v>
                </c:pt>
                <c:pt idx="81">
                  <c:v>296.33999999999997</c:v>
                </c:pt>
                <c:pt idx="82">
                  <c:v>291.76</c:v>
                </c:pt>
                <c:pt idx="83">
                  <c:v>272.81</c:v>
                </c:pt>
                <c:pt idx="84">
                  <c:v>259.52</c:v>
                </c:pt>
                <c:pt idx="85">
                  <c:v>262.38</c:v>
                </c:pt>
                <c:pt idx="86">
                  <c:v>258.31</c:v>
                </c:pt>
                <c:pt idx="87">
                  <c:v>260.79000000000002</c:v>
                </c:pt>
                <c:pt idx="88">
                  <c:v>256.27999999999997</c:v>
                </c:pt>
                <c:pt idx="89">
                  <c:v>257.16000000000003</c:v>
                </c:pt>
                <c:pt idx="90">
                  <c:v>223.35</c:v>
                </c:pt>
                <c:pt idx="91">
                  <c:v>229.32</c:v>
                </c:pt>
                <c:pt idx="92">
                  <c:v>237.54</c:v>
                </c:pt>
                <c:pt idx="93">
                  <c:v>242.01</c:v>
                </c:pt>
                <c:pt idx="94">
                  <c:v>240.21</c:v>
                </c:pt>
                <c:pt idx="95">
                  <c:v>239.37</c:v>
                </c:pt>
                <c:pt idx="96">
                  <c:v>245.28</c:v>
                </c:pt>
                <c:pt idx="97">
                  <c:v>250.06</c:v>
                </c:pt>
                <c:pt idx="98">
                  <c:v>256.55</c:v>
                </c:pt>
                <c:pt idx="99">
                  <c:v>258.85000000000002</c:v>
                </c:pt>
                <c:pt idx="100">
                  <c:v>253.33</c:v>
                </c:pt>
                <c:pt idx="101">
                  <c:v>250.2</c:v>
                </c:pt>
                <c:pt idx="102">
                  <c:v>248.87</c:v>
                </c:pt>
                <c:pt idx="103">
                  <c:v>247.68</c:v>
                </c:pt>
                <c:pt idx="104">
                  <c:v>246.28</c:v>
                </c:pt>
                <c:pt idx="105">
                  <c:v>249.25</c:v>
                </c:pt>
                <c:pt idx="106">
                  <c:v>256.11</c:v>
                </c:pt>
                <c:pt idx="107">
                  <c:v>251.6</c:v>
                </c:pt>
                <c:pt idx="108">
                  <c:v>250.37</c:v>
                </c:pt>
                <c:pt idx="109">
                  <c:v>241.77</c:v>
                </c:pt>
                <c:pt idx="110">
                  <c:v>248.44</c:v>
                </c:pt>
                <c:pt idx="111">
                  <c:v>240.59</c:v>
                </c:pt>
                <c:pt idx="112">
                  <c:v>241.39</c:v>
                </c:pt>
                <c:pt idx="113">
                  <c:v>241.67</c:v>
                </c:pt>
                <c:pt idx="114">
                  <c:v>236.34</c:v>
                </c:pt>
                <c:pt idx="115">
                  <c:v>237.25</c:v>
                </c:pt>
                <c:pt idx="116">
                  <c:v>242.39</c:v>
                </c:pt>
                <c:pt idx="117">
                  <c:v>243.14</c:v>
                </c:pt>
                <c:pt idx="118">
                  <c:v>248.16</c:v>
                </c:pt>
                <c:pt idx="119">
                  <c:v>246.74</c:v>
                </c:pt>
                <c:pt idx="120">
                  <c:v>245.07</c:v>
                </c:pt>
                <c:pt idx="121">
                  <c:v>241.74</c:v>
                </c:pt>
                <c:pt idx="122">
                  <c:v>237.18</c:v>
                </c:pt>
                <c:pt idx="123">
                  <c:v>230.76</c:v>
                </c:pt>
                <c:pt idx="124">
                  <c:v>237.82</c:v>
                </c:pt>
                <c:pt idx="125">
                  <c:v>240.27</c:v>
                </c:pt>
                <c:pt idx="126">
                  <c:v>244.8</c:v>
                </c:pt>
                <c:pt idx="127">
                  <c:v>251</c:v>
                </c:pt>
                <c:pt idx="128">
                  <c:v>253.47</c:v>
                </c:pt>
                <c:pt idx="129">
                  <c:v>253.71</c:v>
                </c:pt>
                <c:pt idx="130">
                  <c:v>255.68</c:v>
                </c:pt>
                <c:pt idx="131">
                  <c:v>251.86</c:v>
                </c:pt>
                <c:pt idx="132">
                  <c:v>231.08</c:v>
                </c:pt>
                <c:pt idx="133">
                  <c:v>231.98</c:v>
                </c:pt>
                <c:pt idx="134">
                  <c:v>228.05</c:v>
                </c:pt>
                <c:pt idx="135">
                  <c:v>233.04</c:v>
                </c:pt>
                <c:pt idx="136">
                  <c:v>227.1</c:v>
                </c:pt>
                <c:pt idx="137">
                  <c:v>230.98</c:v>
                </c:pt>
                <c:pt idx="138">
                  <c:v>232.2</c:v>
                </c:pt>
                <c:pt idx="139">
                  <c:v>229.48</c:v>
                </c:pt>
                <c:pt idx="140">
                  <c:v>229.03</c:v>
                </c:pt>
                <c:pt idx="141">
                  <c:v>225.74</c:v>
                </c:pt>
                <c:pt idx="142">
                  <c:v>231.31</c:v>
                </c:pt>
                <c:pt idx="143">
                  <c:v>229.76</c:v>
                </c:pt>
                <c:pt idx="144">
                  <c:v>223.55</c:v>
                </c:pt>
                <c:pt idx="145">
                  <c:v>219.22</c:v>
                </c:pt>
                <c:pt idx="146">
                  <c:v>214.64</c:v>
                </c:pt>
                <c:pt idx="147">
                  <c:v>218.37</c:v>
                </c:pt>
                <c:pt idx="148">
                  <c:v>219.3</c:v>
                </c:pt>
                <c:pt idx="149">
                  <c:v>222.75</c:v>
                </c:pt>
                <c:pt idx="150">
                  <c:v>222.33</c:v>
                </c:pt>
                <c:pt idx="151">
                  <c:v>225</c:v>
                </c:pt>
                <c:pt idx="152">
                  <c:v>252.97</c:v>
                </c:pt>
                <c:pt idx="153">
                  <c:v>253.84</c:v>
                </c:pt>
                <c:pt idx="154">
                  <c:v>250.69</c:v>
                </c:pt>
                <c:pt idx="155">
                  <c:v>255.2</c:v>
                </c:pt>
                <c:pt idx="156">
                  <c:v>264.22000000000003</c:v>
                </c:pt>
                <c:pt idx="157">
                  <c:v>297.8</c:v>
                </c:pt>
                <c:pt idx="158">
                  <c:v>320.42</c:v>
                </c:pt>
                <c:pt idx="159">
                  <c:v>329.23</c:v>
                </c:pt>
                <c:pt idx="160">
                  <c:v>305.63</c:v>
                </c:pt>
                <c:pt idx="161">
                  <c:v>301.77</c:v>
                </c:pt>
                <c:pt idx="162">
                  <c:v>284.83999999999997</c:v>
                </c:pt>
                <c:pt idx="163">
                  <c:v>280.82</c:v>
                </c:pt>
                <c:pt idx="164">
                  <c:v>277.49</c:v>
                </c:pt>
                <c:pt idx="165">
                  <c:v>272.36</c:v>
                </c:pt>
                <c:pt idx="166">
                  <c:v>274.85000000000002</c:v>
                </c:pt>
                <c:pt idx="167">
                  <c:v>272.24</c:v>
                </c:pt>
                <c:pt idx="168">
                  <c:v>268.70999999999998</c:v>
                </c:pt>
                <c:pt idx="169">
                  <c:v>270.81</c:v>
                </c:pt>
                <c:pt idx="170">
                  <c:v>262.35000000000002</c:v>
                </c:pt>
                <c:pt idx="171">
                  <c:v>249.1</c:v>
                </c:pt>
                <c:pt idx="172">
                  <c:v>252.22</c:v>
                </c:pt>
                <c:pt idx="173">
                  <c:v>264.94</c:v>
                </c:pt>
                <c:pt idx="174">
                  <c:v>262.95999999999998</c:v>
                </c:pt>
                <c:pt idx="175">
                  <c:v>258.27</c:v>
                </c:pt>
                <c:pt idx="176">
                  <c:v>271.63</c:v>
                </c:pt>
                <c:pt idx="177">
                  <c:v>278</c:v>
                </c:pt>
                <c:pt idx="178">
                  <c:v>281.20999999999998</c:v>
                </c:pt>
                <c:pt idx="179">
                  <c:v>286.25</c:v>
                </c:pt>
                <c:pt idx="180">
                  <c:v>289.52</c:v>
                </c:pt>
                <c:pt idx="181">
                  <c:v>299.52</c:v>
                </c:pt>
                <c:pt idx="182">
                  <c:v>306.13</c:v>
                </c:pt>
                <c:pt idx="183">
                  <c:v>302.05</c:v>
                </c:pt>
                <c:pt idx="184">
                  <c:v>295.3</c:v>
                </c:pt>
                <c:pt idx="185">
                  <c:v>287.56</c:v>
                </c:pt>
                <c:pt idx="186">
                  <c:v>290.23</c:v>
                </c:pt>
                <c:pt idx="187">
                  <c:v>217.07</c:v>
                </c:pt>
                <c:pt idx="188">
                  <c:v>211.2</c:v>
                </c:pt>
                <c:pt idx="189">
                  <c:v>219.05</c:v>
                </c:pt>
                <c:pt idx="190">
                  <c:v>212.67</c:v>
                </c:pt>
                <c:pt idx="191">
                  <c:v>213</c:v>
                </c:pt>
                <c:pt idx="192">
                  <c:v>210.5</c:v>
                </c:pt>
                <c:pt idx="193">
                  <c:v>205.77</c:v>
                </c:pt>
                <c:pt idx="194">
                  <c:v>206.65</c:v>
                </c:pt>
                <c:pt idx="195">
                  <c:v>214.19</c:v>
                </c:pt>
                <c:pt idx="196">
                  <c:v>216.28</c:v>
                </c:pt>
                <c:pt idx="197">
                  <c:v>227.55</c:v>
                </c:pt>
                <c:pt idx="198">
                  <c:v>226.44</c:v>
                </c:pt>
                <c:pt idx="199">
                  <c:v>221.74</c:v>
                </c:pt>
                <c:pt idx="200">
                  <c:v>223.65</c:v>
                </c:pt>
                <c:pt idx="201">
                  <c:v>226.31</c:v>
                </c:pt>
                <c:pt idx="202">
                  <c:v>235.15</c:v>
                </c:pt>
                <c:pt idx="203">
                  <c:v>235.92</c:v>
                </c:pt>
                <c:pt idx="204">
                  <c:v>233.43</c:v>
                </c:pt>
                <c:pt idx="205">
                  <c:v>237.28</c:v>
                </c:pt>
                <c:pt idx="206">
                  <c:v>236.31</c:v>
                </c:pt>
                <c:pt idx="207">
                  <c:v>238.42</c:v>
                </c:pt>
                <c:pt idx="208">
                  <c:v>235.98</c:v>
                </c:pt>
                <c:pt idx="209">
                  <c:v>237.14</c:v>
                </c:pt>
                <c:pt idx="210">
                  <c:v>234.32</c:v>
                </c:pt>
                <c:pt idx="211">
                  <c:v>228.85</c:v>
                </c:pt>
                <c:pt idx="212">
                  <c:v>232.67</c:v>
                </c:pt>
                <c:pt idx="213">
                  <c:v>237.16</c:v>
                </c:pt>
                <c:pt idx="214">
                  <c:v>233.69</c:v>
                </c:pt>
                <c:pt idx="215">
                  <c:v>235.68</c:v>
                </c:pt>
                <c:pt idx="216">
                  <c:v>231.04</c:v>
                </c:pt>
                <c:pt idx="217">
                  <c:v>234.19</c:v>
                </c:pt>
                <c:pt idx="218">
                  <c:v>229.87</c:v>
                </c:pt>
                <c:pt idx="219">
                  <c:v>238.79</c:v>
                </c:pt>
                <c:pt idx="220">
                  <c:v>235.59</c:v>
                </c:pt>
                <c:pt idx="221">
                  <c:v>233.87</c:v>
                </c:pt>
                <c:pt idx="222">
                  <c:v>231.4</c:v>
                </c:pt>
                <c:pt idx="223">
                  <c:v>231.7</c:v>
                </c:pt>
                <c:pt idx="224">
                  <c:v>234.71</c:v>
                </c:pt>
                <c:pt idx="225">
                  <c:v>234.89</c:v>
                </c:pt>
                <c:pt idx="226">
                  <c:v>232.09</c:v>
                </c:pt>
                <c:pt idx="227">
                  <c:v>239.94</c:v>
                </c:pt>
                <c:pt idx="228">
                  <c:v>234.02</c:v>
                </c:pt>
                <c:pt idx="229">
                  <c:v>243.29</c:v>
                </c:pt>
                <c:pt idx="230">
                  <c:v>249.09</c:v>
                </c:pt>
                <c:pt idx="231">
                  <c:v>248.37</c:v>
                </c:pt>
                <c:pt idx="232">
                  <c:v>237.49</c:v>
                </c:pt>
                <c:pt idx="233">
                  <c:v>237.75</c:v>
                </c:pt>
                <c:pt idx="234">
                  <c:v>229.55</c:v>
                </c:pt>
                <c:pt idx="235">
                  <c:v>231.93</c:v>
                </c:pt>
                <c:pt idx="236">
                  <c:v>231.38</c:v>
                </c:pt>
                <c:pt idx="237">
                  <c:v>232.76</c:v>
                </c:pt>
                <c:pt idx="238">
                  <c:v>227.06</c:v>
                </c:pt>
                <c:pt idx="239">
                  <c:v>225.51</c:v>
                </c:pt>
                <c:pt idx="240">
                  <c:v>220.67</c:v>
                </c:pt>
                <c:pt idx="241">
                  <c:v>219.99</c:v>
                </c:pt>
                <c:pt idx="242">
                  <c:v>219.93</c:v>
                </c:pt>
                <c:pt idx="243">
                  <c:v>225.62</c:v>
                </c:pt>
                <c:pt idx="244">
                  <c:v>222.64</c:v>
                </c:pt>
                <c:pt idx="245">
                  <c:v>221.58</c:v>
                </c:pt>
                <c:pt idx="246">
                  <c:v>221.29</c:v>
                </c:pt>
                <c:pt idx="247">
                  <c:v>220.51</c:v>
                </c:pt>
                <c:pt idx="248">
                  <c:v>226.61</c:v>
                </c:pt>
                <c:pt idx="249">
                  <c:v>227.13</c:v>
                </c:pt>
              </c:numCache>
            </c:numRef>
          </c:val>
          <c:smooth val="0"/>
          <c:extLst>
            <c:ext xmlns:c16="http://schemas.microsoft.com/office/drawing/2014/chart" uri="{C3380CC4-5D6E-409C-BE32-E72D297353CC}">
              <c16:uniqueId val="{00000000-1A5C-44AA-9CB3-378123546240}"/>
            </c:ext>
          </c:extLst>
        </c:ser>
        <c:dLbls>
          <c:showLegendKey val="0"/>
          <c:showVal val="0"/>
          <c:showCatName val="0"/>
          <c:showSerName val="0"/>
          <c:showPercent val="0"/>
          <c:showBubbleSize val="0"/>
        </c:dLbls>
        <c:smooth val="0"/>
        <c:axId val="48650112"/>
        <c:axId val="48672768"/>
      </c:lineChart>
      <c:dateAx>
        <c:axId val="48650112"/>
        <c:scaling>
          <c:orientation val="minMax"/>
        </c:scaling>
        <c:delete val="0"/>
        <c:axPos val="b"/>
        <c:majorGridlines>
          <c:spPr>
            <a:ln w="9525">
              <a:solidFill>
                <a:srgbClr val="CCCCCC"/>
              </a:solidFill>
              <a:prstDash val="dash"/>
            </a:ln>
          </c:spPr>
        </c:majorGridlines>
        <c:numFmt formatCode="m/d/yyyy" sourceLinked="1"/>
        <c:majorTickMark val="none"/>
        <c:minorTickMark val="none"/>
        <c:tickLblPos val="nextTo"/>
        <c:txPr>
          <a:bodyPr anchorCtr="1"/>
          <a:lstStyle/>
          <a:p>
            <a:pPr>
              <a:defRPr sz="675">
                <a:latin typeface="Arial"/>
                <a:ea typeface="Arial"/>
                <a:cs typeface="Arial"/>
              </a:defRPr>
            </a:pPr>
            <a:endParaRPr lang="en-US"/>
          </a:p>
        </c:txPr>
        <c:crossAx val="48672768"/>
        <c:crosses val="autoZero"/>
        <c:auto val="1"/>
        <c:lblOffset val="100"/>
        <c:baseTimeUnit val="days"/>
        <c:majorUnit val="60"/>
      </c:dateAx>
      <c:valAx>
        <c:axId val="48672768"/>
        <c:scaling>
          <c:orientation val="minMax"/>
        </c:scaling>
        <c:delete val="0"/>
        <c:axPos val="l"/>
        <c:majorGridlines>
          <c:spPr>
            <a:ln w="9525">
              <a:solidFill>
                <a:srgbClr val="CCCCCC"/>
              </a:solidFill>
              <a:prstDash val="dash"/>
            </a:ln>
          </c:spPr>
        </c:majorGridlines>
        <c:numFmt formatCode="\$0.00" sourceLinked="0"/>
        <c:majorTickMark val="none"/>
        <c:minorTickMark val="none"/>
        <c:tickLblPos val="nextTo"/>
        <c:txPr>
          <a:bodyPr anchorCtr="1"/>
          <a:lstStyle/>
          <a:p>
            <a:pPr>
              <a:defRPr sz="675">
                <a:latin typeface="Arial"/>
                <a:ea typeface="Arial"/>
                <a:cs typeface="Arial"/>
              </a:defRPr>
            </a:pPr>
            <a:endParaRPr lang="en-US"/>
          </a:p>
        </c:txPr>
        <c:crossAx val="48650112"/>
        <c:crosses val="autoZero"/>
        <c:crossBetween val="between"/>
      </c:valAx>
    </c:plotArea>
    <c:plotVisOnly val="1"/>
    <c:dispBlanksAs val="zero"/>
    <c:showDLblsOverMax val="1"/>
  </c:chart>
  <c:spPr>
    <a:ln w="9525">
      <a:solidFill>
        <a:srgbClr val="D9D9D9"/>
      </a:solidFill>
      <a:prstDash val="solid"/>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866775</xdr:colOff>
      <xdr:row>20</xdr:row>
      <xdr:rowOff>47625</xdr:rowOff>
    </xdr:from>
    <xdr:to>
      <xdr:col>12</xdr:col>
      <xdr:colOff>111586</xdr:colOff>
      <xdr:row>29</xdr:row>
      <xdr:rowOff>0</xdr:rowOff>
    </xdr:to>
    <xdr:pic>
      <xdr:nvPicPr>
        <xdr:cNvPr id="3" name="Picture 2">
          <a:extLst>
            <a:ext uri="{FF2B5EF4-FFF2-40B4-BE49-F238E27FC236}">
              <a16:creationId xmlns:a16="http://schemas.microsoft.com/office/drawing/2014/main" id="{424D271A-E604-C95E-3EE8-EFCBD5A6E669}"/>
            </a:ext>
          </a:extLst>
        </xdr:cNvPr>
        <xdr:cNvPicPr>
          <a:picLocks noChangeAspect="1"/>
        </xdr:cNvPicPr>
      </xdr:nvPicPr>
      <xdr:blipFill>
        <a:blip xmlns:r="http://schemas.openxmlformats.org/officeDocument/2006/relationships" r:embed="rId1"/>
        <a:stretch>
          <a:fillRect/>
        </a:stretch>
      </xdr:blipFill>
      <xdr:spPr>
        <a:xfrm>
          <a:off x="3733800" y="3686175"/>
          <a:ext cx="6902911" cy="2152650"/>
        </a:xfrm>
        <a:prstGeom prst="rect">
          <a:avLst/>
        </a:prstGeom>
      </xdr:spPr>
    </xdr:pic>
    <xdr:clientData/>
  </xdr:twoCellAnchor>
  <xdr:twoCellAnchor editAs="oneCell">
    <xdr:from>
      <xdr:col>4</xdr:col>
      <xdr:colOff>266701</xdr:colOff>
      <xdr:row>7</xdr:row>
      <xdr:rowOff>66675</xdr:rowOff>
    </xdr:from>
    <xdr:to>
      <xdr:col>5</xdr:col>
      <xdr:colOff>247651</xdr:colOff>
      <xdr:row>18</xdr:row>
      <xdr:rowOff>158928</xdr:rowOff>
    </xdr:to>
    <xdr:pic>
      <xdr:nvPicPr>
        <xdr:cNvPr id="4" name="Picture 3">
          <a:extLst>
            <a:ext uri="{FF2B5EF4-FFF2-40B4-BE49-F238E27FC236}">
              <a16:creationId xmlns:a16="http://schemas.microsoft.com/office/drawing/2014/main" id="{802667C7-745B-349D-F33A-B1B8F67AA268}"/>
            </a:ext>
          </a:extLst>
        </xdr:cNvPr>
        <xdr:cNvPicPr>
          <a:picLocks noChangeAspect="1"/>
        </xdr:cNvPicPr>
      </xdr:nvPicPr>
      <xdr:blipFill>
        <a:blip xmlns:r="http://schemas.openxmlformats.org/officeDocument/2006/relationships" r:embed="rId2"/>
        <a:stretch>
          <a:fillRect/>
        </a:stretch>
      </xdr:blipFill>
      <xdr:spPr>
        <a:xfrm>
          <a:off x="3819526" y="1714500"/>
          <a:ext cx="2838450" cy="216870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0</xdr:colOff>
      <xdr:row>11</xdr:row>
      <xdr:rowOff>0</xdr:rowOff>
    </xdr:from>
    <xdr:to>
      <xdr:col>16</xdr:col>
      <xdr:colOff>0</xdr:colOff>
      <xdr:row>29</xdr:row>
      <xdr:rowOff>0</xdr:rowOff>
    </xdr:to>
    <xdr:graphicFrame macro="">
      <xdr:nvGraphicFramePr>
        <xdr:cNvPr id="2" name="Chart">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3</xdr:row>
      <xdr:rowOff>0</xdr:rowOff>
    </xdr:from>
    <xdr:to>
      <xdr:col>16</xdr:col>
      <xdr:colOff>0</xdr:colOff>
      <xdr:row>5</xdr:row>
      <xdr:rowOff>0</xdr:rowOff>
    </xdr:to>
    <xdr:sp macro="[0]!RefreshResearchDashboard" textlink="">
      <xdr:nvSpPr>
        <xdr:cNvPr id="1001" name="EnterRefreshButton">
          <a:extLst>
            <a:ext uri="{FF2B5EF4-FFF2-40B4-BE49-F238E27FC236}">
              <a16:creationId xmlns:a16="http://schemas.microsoft.com/office/drawing/2014/main" id="{00000000-0008-0000-0000-0000E9030000}"/>
            </a:ext>
          </a:extLst>
        </xdr:cNvPr>
        <xdr:cNvSpPr/>
      </xdr:nvSpPr>
      <xdr:spPr>
        <a:xfrm>
          <a:off x="0" y="0"/>
          <a:ext cx="3095625" cy="419100"/>
        </a:xfrm>
        <a:prstGeom prst="roundRect">
          <a:avLst/>
        </a:prstGeom>
        <a:solidFill>
          <a:srgbClr val="15324A"/>
        </a:solidFill>
        <a:ln>
          <a:noFill/>
        </a:ln>
      </xdr:spPr>
      <xdr:txBody>
        <a:bodyPr anchor="ctr"/>
        <a:lstStyle/>
        <a:p>
          <a:pPr algn="ctr"/>
          <a:r>
            <a:rPr lang="en-US" sz="1200" b="1">
              <a:solidFill>
                <a:srgbClr val="FFFFFF"/>
              </a:solidFill>
              <a:latin typeface="Arial"/>
            </a:rPr>
            <a:t>Enter / Refresh</a:t>
          </a:r>
          <a:endParaRPr lang="en-US"/>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Light"/>
        <a:ea typeface="Calibri Light"/>
        <a:cs typeface="Calibri Light"/>
      </a:majorFont>
      <a:minorFont>
        <a:latin typeface="Calibri"/>
        <a:ea typeface="Calibri"/>
        <a:cs typeface="Calibri"/>
      </a:minorFont>
    </a:fontScheme>
    <a:fmtScheme name="ChatGPT">
      <a:fillStyleLst>
        <a:solidFill>
          <a:schemeClr val="phClr"/>
        </a:solidFill>
        <a:gradFill>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D8B407-D7B9-4CA7-A683-1C01F3899107}">
  <sheetPr>
    <tabColor rgb="FFFF0000"/>
  </sheetPr>
  <dimension ref="A1:C38"/>
  <sheetViews>
    <sheetView tabSelected="1" workbookViewId="0"/>
  </sheetViews>
  <sheetFormatPr defaultRowHeight="14.25"/>
  <cols>
    <col min="3" max="3" width="12.625" customWidth="1"/>
    <col min="4" max="4" width="16" customWidth="1"/>
    <col min="5" max="5" width="37.5" customWidth="1"/>
  </cols>
  <sheetData>
    <row r="1" spans="1:2" ht="15">
      <c r="A1" s="17" t="s">
        <v>550</v>
      </c>
    </row>
    <row r="3" spans="1:2" ht="15">
      <c r="A3" s="17" t="s">
        <v>659</v>
      </c>
    </row>
    <row r="4" spans="1:2" ht="24" customHeight="1">
      <c r="A4" t="s">
        <v>660</v>
      </c>
    </row>
    <row r="5" spans="1:2" ht="24" customHeight="1">
      <c r="A5" t="s">
        <v>661</v>
      </c>
    </row>
    <row r="7" spans="1:2" ht="15">
      <c r="A7" s="17" t="s">
        <v>662</v>
      </c>
    </row>
    <row r="8" spans="1:2" ht="21" customHeight="1">
      <c r="A8">
        <v>1</v>
      </c>
      <c r="B8" t="s">
        <v>663</v>
      </c>
    </row>
    <row r="21" spans="1:3" ht="23.25" customHeight="1">
      <c r="A21">
        <v>2</v>
      </c>
      <c r="B21" s="18" t="s">
        <v>648</v>
      </c>
      <c r="C21" t="s">
        <v>644</v>
      </c>
    </row>
    <row r="22" spans="1:3" ht="23.25" customHeight="1">
      <c r="B22" s="18" t="s">
        <v>650</v>
      </c>
      <c r="C22" t="s">
        <v>645</v>
      </c>
    </row>
    <row r="23" spans="1:3" ht="23.25" customHeight="1">
      <c r="B23" s="18" t="s">
        <v>649</v>
      </c>
      <c r="C23" t="s">
        <v>646</v>
      </c>
    </row>
    <row r="24" spans="1:3" ht="23.25" customHeight="1">
      <c r="C24" t="s">
        <v>647</v>
      </c>
    </row>
    <row r="25" spans="1:3" ht="23.25" customHeight="1">
      <c r="C25" t="s">
        <v>549</v>
      </c>
    </row>
    <row r="38" spans="1:1">
      <c r="A38">
        <v>3</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15324A"/>
  </sheetPr>
  <dimension ref="A1:Q120"/>
  <sheetViews>
    <sheetView showGridLines="0" zoomScale="55" zoomScaleNormal="55" workbookViewId="0">
      <selection activeCell="B6" sqref="B6:P6"/>
    </sheetView>
  </sheetViews>
  <sheetFormatPr defaultRowHeight="14.25"/>
  <cols>
    <col min="1" max="1" width="2.25" customWidth="1"/>
    <col min="2" max="8" width="7.25" customWidth="1"/>
    <col min="9" max="9" width="2.25" customWidth="1"/>
    <col min="10" max="16" width="7.25" customWidth="1"/>
    <col min="17" max="17" width="2.25" customWidth="1"/>
  </cols>
  <sheetData>
    <row r="1" spans="1:17" ht="21.95" customHeight="1">
      <c r="A1" s="3"/>
      <c r="B1" s="3"/>
      <c r="C1" s="3"/>
      <c r="D1" s="3"/>
      <c r="E1" s="3"/>
      <c r="F1" s="3"/>
      <c r="G1" s="3"/>
      <c r="H1" s="3"/>
      <c r="I1" s="3"/>
      <c r="J1" s="3"/>
      <c r="K1" s="3"/>
      <c r="L1" s="3"/>
      <c r="M1" s="3"/>
      <c r="N1" s="3"/>
      <c r="O1" s="3"/>
      <c r="P1" s="3"/>
      <c r="Q1" s="4"/>
    </row>
    <row r="2" spans="1:17" ht="21.95" customHeight="1">
      <c r="A2" s="3"/>
      <c r="B2" s="31" t="s">
        <v>0</v>
      </c>
      <c r="C2" s="31"/>
      <c r="D2" s="31"/>
      <c r="E2" s="31"/>
      <c r="F2" s="31"/>
      <c r="G2" s="31"/>
      <c r="H2" s="31"/>
      <c r="I2" s="31"/>
      <c r="J2" s="31"/>
      <c r="K2" s="31"/>
      <c r="L2" s="31"/>
      <c r="M2" s="31"/>
      <c r="N2" s="31"/>
      <c r="O2" s="31"/>
      <c r="P2" s="31"/>
      <c r="Q2" s="4"/>
    </row>
    <row r="3" spans="1:17" ht="21.95" customHeight="1">
      <c r="A3" s="3"/>
      <c r="B3" s="32" t="s">
        <v>1</v>
      </c>
      <c r="C3" s="32"/>
      <c r="D3" s="32"/>
      <c r="E3" s="32"/>
      <c r="F3" s="3"/>
      <c r="G3" s="32" t="s">
        <v>2</v>
      </c>
      <c r="H3" s="32"/>
      <c r="I3" s="32"/>
      <c r="J3" s="32"/>
      <c r="K3" s="3"/>
      <c r="L3" s="3"/>
      <c r="M3" s="3"/>
      <c r="N3" s="3"/>
      <c r="O3" s="3"/>
      <c r="P3" s="3"/>
      <c r="Q3" s="4"/>
    </row>
    <row r="4" spans="1:17" ht="21.95" customHeight="1">
      <c r="A4" s="3"/>
      <c r="B4" s="33" t="s">
        <v>551</v>
      </c>
      <c r="C4" s="34"/>
      <c r="D4" s="34"/>
      <c r="E4" s="35"/>
      <c r="F4" s="3"/>
      <c r="G4" s="39" t="s">
        <v>3</v>
      </c>
      <c r="H4" s="40"/>
      <c r="I4" s="40"/>
      <c r="J4" s="41"/>
      <c r="K4" s="3"/>
      <c r="L4" s="45" t="s">
        <v>4</v>
      </c>
      <c r="M4" s="45"/>
      <c r="N4" s="45"/>
      <c r="O4" s="45"/>
      <c r="P4" s="45"/>
      <c r="Q4" s="4"/>
    </row>
    <row r="5" spans="1:17" ht="21.95" customHeight="1">
      <c r="A5" s="3"/>
      <c r="B5" s="36"/>
      <c r="C5" s="37"/>
      <c r="D5" s="37"/>
      <c r="E5" s="38"/>
      <c r="F5" s="3"/>
      <c r="G5" s="42"/>
      <c r="H5" s="43"/>
      <c r="I5" s="43"/>
      <c r="J5" s="44"/>
      <c r="K5" s="3"/>
      <c r="L5" s="45"/>
      <c r="M5" s="45"/>
      <c r="N5" s="45"/>
      <c r="O5" s="45"/>
      <c r="P5" s="45"/>
      <c r="Q5" s="4"/>
    </row>
    <row r="6" spans="1:17" ht="21.95" customHeight="1">
      <c r="A6" s="3"/>
      <c r="B6" s="24" t="s">
        <v>643</v>
      </c>
      <c r="C6" s="24"/>
      <c r="D6" s="24"/>
      <c r="E6" s="24"/>
      <c r="F6" s="24"/>
      <c r="G6" s="24"/>
      <c r="H6" s="24"/>
      <c r="I6" s="24"/>
      <c r="J6" s="24"/>
      <c r="K6" s="24"/>
      <c r="L6" s="24"/>
      <c r="M6" s="24"/>
      <c r="N6" s="24"/>
      <c r="O6" s="24"/>
      <c r="P6" s="24"/>
      <c r="Q6" s="4"/>
    </row>
    <row r="7" spans="1:17" ht="21.95" customHeight="1">
      <c r="A7" s="3"/>
      <c r="B7" s="3"/>
      <c r="C7" s="3"/>
      <c r="D7" s="3"/>
      <c r="E7" s="3"/>
      <c r="F7" s="3"/>
      <c r="G7" s="3"/>
      <c r="H7" s="3"/>
      <c r="I7" s="3"/>
      <c r="J7" s="3"/>
      <c r="K7" s="3"/>
      <c r="L7" s="3"/>
      <c r="M7" s="3"/>
      <c r="N7" s="3"/>
      <c r="O7" s="3"/>
      <c r="P7" s="3"/>
      <c r="Q7" s="4"/>
    </row>
    <row r="8" spans="1:17" ht="21.95" customHeight="1">
      <c r="A8" s="3"/>
      <c r="B8" s="25" t="str">
        <f>IF(Data!$H$2,Data!$B$2,"Refresh required")</f>
        <v>International Business Machines Corp.</v>
      </c>
      <c r="C8" s="25"/>
      <c r="D8" s="25"/>
      <c r="E8" s="25"/>
      <c r="F8" s="25"/>
      <c r="G8" s="25"/>
      <c r="H8" s="25"/>
      <c r="I8" s="25"/>
      <c r="J8" s="25"/>
      <c r="K8" s="25"/>
      <c r="L8" s="25"/>
      <c r="M8" s="25"/>
      <c r="N8" s="25"/>
      <c r="O8" s="25"/>
      <c r="P8" s="25"/>
      <c r="Q8" s="4"/>
    </row>
    <row r="9" spans="1:17" ht="21.95" customHeight="1">
      <c r="A9" s="3"/>
      <c r="B9" s="25"/>
      <c r="C9" s="25"/>
      <c r="D9" s="25"/>
      <c r="E9" s="25"/>
      <c r="F9" s="25"/>
      <c r="G9" s="25"/>
      <c r="H9" s="25"/>
      <c r="I9" s="25"/>
      <c r="J9" s="25"/>
      <c r="K9" s="25"/>
      <c r="L9" s="25"/>
      <c r="M9" s="25"/>
      <c r="N9" s="25"/>
      <c r="O9" s="25"/>
      <c r="P9" s="25"/>
      <c r="Q9" s="4"/>
    </row>
    <row r="10" spans="1:17" ht="21.95" customHeight="1">
      <c r="A10" s="3"/>
      <c r="B10" s="24" t="str">
        <f>IF(Data!$H$2,Data!$B$88,"Refresh required")&amp;"  ·  "&amp;IF(Data!$H$2,Data!$B$89,"Refresh required")&amp;"  ·  "&amp;IF(Data!$B$4="XNYS","NYSE",IF(Data!$B$4="ARCX","NYSE Arca",IF($G$4="Mutual Fund","NAV fund",IF(Data!$H$2,Data!$B$4,"Refresh required"))))&amp;"  ·  "&amp;IF(Data!$H$2,Data!$B$3,"Refresh required")</f>
        <v>IBM  ·  Stock  ·  NYSE  ·  USD</v>
      </c>
      <c r="C10" s="24"/>
      <c r="D10" s="24"/>
      <c r="E10" s="24"/>
      <c r="F10" s="24"/>
      <c r="G10" s="24"/>
      <c r="H10" s="24"/>
      <c r="I10" s="24"/>
      <c r="J10" s="24"/>
      <c r="K10" s="24"/>
      <c r="L10" s="24"/>
      <c r="M10" s="24"/>
      <c r="N10" s="24"/>
      <c r="O10" s="24"/>
      <c r="P10" s="24"/>
      <c r="Q10" s="4"/>
    </row>
    <row r="11" spans="1:17" ht="21.95" customHeight="1">
      <c r="A11" s="3"/>
      <c r="B11" s="3"/>
      <c r="C11" s="3"/>
      <c r="D11" s="3"/>
      <c r="E11" s="3"/>
      <c r="F11" s="3"/>
      <c r="G11" s="3"/>
      <c r="H11" s="3"/>
      <c r="I11" s="3"/>
      <c r="J11" s="3"/>
      <c r="K11" s="3"/>
      <c r="L11" s="3"/>
      <c r="M11" s="3"/>
      <c r="N11" s="3"/>
      <c r="O11" s="3"/>
      <c r="P11" s="3"/>
      <c r="Q11" s="4"/>
    </row>
    <row r="12" spans="1:17" ht="21.95" customHeight="1">
      <c r="A12" s="3"/>
      <c r="B12" s="26" t="str">
        <f>IF(Data!$H$2,Data!$B$97,"Refresh required")</f>
        <v>Last regular-session observation</v>
      </c>
      <c r="C12" s="26"/>
      <c r="D12" s="26"/>
      <c r="E12" s="26"/>
      <c r="F12" s="26"/>
      <c r="G12" s="26"/>
      <c r="H12" s="26"/>
      <c r="I12" s="3"/>
      <c r="J12" s="5"/>
      <c r="K12" s="5"/>
      <c r="L12" s="5"/>
      <c r="M12" s="5"/>
      <c r="N12" s="5"/>
      <c r="O12" s="5"/>
      <c r="P12" s="5"/>
      <c r="Q12" s="4"/>
    </row>
    <row r="13" spans="1:17" ht="21.95" customHeight="1">
      <c r="A13" s="3"/>
      <c r="B13" s="27">
        <f>IF(Data!$H$2,Data!$B$5,"Refresh required")</f>
        <v>227.13</v>
      </c>
      <c r="C13" s="28"/>
      <c r="D13" s="28"/>
      <c r="E13" s="28"/>
      <c r="F13" s="28"/>
      <c r="G13" s="28"/>
      <c r="H13" s="28"/>
      <c r="I13" s="3"/>
      <c r="J13" s="5"/>
      <c r="K13" s="5"/>
      <c r="L13" s="5"/>
      <c r="M13" s="5"/>
      <c r="N13" s="5"/>
      <c r="O13" s="5"/>
      <c r="P13" s="5"/>
      <c r="Q13" s="4"/>
    </row>
    <row r="14" spans="1:17" ht="21.95" customHeight="1">
      <c r="A14" s="3"/>
      <c r="B14" s="28"/>
      <c r="C14" s="28"/>
      <c r="D14" s="28"/>
      <c r="E14" s="28"/>
      <c r="F14" s="28"/>
      <c r="G14" s="28"/>
      <c r="H14" s="28"/>
      <c r="I14" s="3"/>
      <c r="J14" s="5"/>
      <c r="K14" s="5"/>
      <c r="L14" s="5"/>
      <c r="M14" s="5"/>
      <c r="N14" s="5"/>
      <c r="O14" s="5"/>
      <c r="P14" s="5"/>
      <c r="Q14" s="4"/>
    </row>
    <row r="15" spans="1:17" ht="21.95" customHeight="1">
      <c r="A15" s="3"/>
      <c r="B15" s="28"/>
      <c r="C15" s="28"/>
      <c r="D15" s="28"/>
      <c r="E15" s="28"/>
      <c r="F15" s="28"/>
      <c r="G15" s="28"/>
      <c r="H15" s="28"/>
      <c r="I15" s="3"/>
      <c r="J15" s="5"/>
      <c r="K15" s="5"/>
      <c r="L15" s="5"/>
      <c r="M15" s="5"/>
      <c r="N15" s="5"/>
      <c r="O15" s="5"/>
      <c r="P15" s="5"/>
      <c r="Q15" s="4"/>
    </row>
    <row r="16" spans="1:17" ht="21.95" customHeight="1">
      <c r="A16" s="3"/>
      <c r="B16" s="20" t="str">
        <f>IF(ISNUMBER(IF(Data!$H$2,Data!$B$7,"Refresh required")),TEXT(IF(Data!$H$2,Data!$B$7,"Refresh required"),"+$0.00;-$0.00; $0.00"),IF(Data!$H$2,Data!$B$7,"Refresh required"))&amp;"  ("&amp;IF(ISNUMBER(IF(Data!$H$2,Data!$B$8,"Refresh required")),TEXT(IF(Data!$H$2,Data!$B$8,"Refresh required"),"+0.00%;-0.00%;0.00%"),IF(Data!$H$2,Data!$B$8,"Refresh required"))&amp;")"</f>
        <v>+$0.52  (+0.23%)</v>
      </c>
      <c r="C16" s="20"/>
      <c r="D16" s="20"/>
      <c r="E16" s="20"/>
      <c r="F16" s="20"/>
      <c r="G16" s="20"/>
      <c r="H16" s="20"/>
      <c r="I16" s="3"/>
      <c r="J16" s="5"/>
      <c r="K16" s="5"/>
      <c r="L16" s="5"/>
      <c r="M16" s="5"/>
      <c r="N16" s="5"/>
      <c r="O16" s="5"/>
      <c r="P16" s="5"/>
      <c r="Q16" s="4"/>
    </row>
    <row r="17" spans="1:17" ht="21.95" customHeight="1">
      <c r="A17" s="3"/>
      <c r="B17" s="5"/>
      <c r="C17" s="5"/>
      <c r="D17" s="5"/>
      <c r="E17" s="5"/>
      <c r="F17" s="5"/>
      <c r="G17" s="5"/>
      <c r="H17" s="5"/>
      <c r="I17" s="3"/>
      <c r="J17" s="5"/>
      <c r="K17" s="5"/>
      <c r="L17" s="5"/>
      <c r="M17" s="5"/>
      <c r="N17" s="5"/>
      <c r="O17" s="5"/>
      <c r="P17" s="5"/>
      <c r="Q17" s="4"/>
    </row>
    <row r="18" spans="1:17" ht="21.95" customHeight="1">
      <c r="A18" s="3"/>
      <c r="B18" s="22" t="str">
        <f>"As of "&amp;IF(Data!$H$2,Data!$B$9,"Refresh required")&amp;IF($G$4="Mutual Fund",""," · "&amp;LEFT(IF(Data!$H$2,Data!$B$10,"Refresh required"),5)&amp;" (UTC"&amp;IF(ISNUMBER(IF(Data!$H$2,Data!$B$11,"Refresh required")),TEXT(IF(Data!$H$2,Data!$B$11,"Refresh required"),"+0;-0;0"),IF(Data!$H$2,Data!$B$11,"Refresh required"))&amp;")")</f>
        <v>As of 46304 · 0.666 (UTC-4)</v>
      </c>
      <c r="C18" s="22"/>
      <c r="D18" s="22"/>
      <c r="E18" s="22"/>
      <c r="F18" s="22"/>
      <c r="G18" s="22"/>
      <c r="H18" s="22"/>
      <c r="I18" s="3"/>
      <c r="J18" s="5"/>
      <c r="K18" s="5"/>
      <c r="L18" s="5"/>
      <c r="M18" s="5"/>
      <c r="N18" s="5"/>
      <c r="O18" s="5"/>
      <c r="P18" s="5"/>
      <c r="Q18" s="4"/>
    </row>
    <row r="19" spans="1:17" ht="21.95" customHeight="1">
      <c r="A19" s="3"/>
      <c r="B19" s="23" t="str">
        <f>IF($G$4="Mutual Fund","NAV is an end-of-day value.",IF(Data!$H$2,Data!$B$35,"Refresh required"))</f>
        <v>Delay times are 15 mins for New York Stock Exchange, Inc..</v>
      </c>
      <c r="C19" s="23"/>
      <c r="D19" s="23"/>
      <c r="E19" s="23"/>
      <c r="F19" s="23"/>
      <c r="G19" s="23"/>
      <c r="H19" s="23"/>
      <c r="I19" s="3"/>
      <c r="J19" s="5"/>
      <c r="K19" s="5"/>
      <c r="L19" s="5"/>
      <c r="M19" s="5"/>
      <c r="N19" s="5"/>
      <c r="O19" s="5"/>
      <c r="P19" s="5"/>
      <c r="Q19" s="4"/>
    </row>
    <row r="20" spans="1:17" ht="21.95" customHeight="1">
      <c r="A20" s="3"/>
      <c r="B20" s="23"/>
      <c r="C20" s="23"/>
      <c r="D20" s="23"/>
      <c r="E20" s="23"/>
      <c r="F20" s="23"/>
      <c r="G20" s="23"/>
      <c r="H20" s="23"/>
      <c r="I20" s="3"/>
      <c r="J20" s="5"/>
      <c r="K20" s="5"/>
      <c r="L20" s="5"/>
      <c r="M20" s="5"/>
      <c r="N20" s="5"/>
      <c r="O20" s="5"/>
      <c r="P20" s="5"/>
      <c r="Q20" s="4"/>
    </row>
    <row r="21" spans="1:17" ht="21.95" customHeight="1">
      <c r="A21" s="3"/>
      <c r="B21" s="5"/>
      <c r="C21" s="5"/>
      <c r="D21" s="5"/>
      <c r="E21" s="5"/>
      <c r="F21" s="5"/>
      <c r="G21" s="5"/>
      <c r="H21" s="5"/>
      <c r="I21" s="3"/>
      <c r="J21" s="5"/>
      <c r="K21" s="5"/>
      <c r="L21" s="5"/>
      <c r="M21" s="5"/>
      <c r="N21" s="5"/>
      <c r="O21" s="5"/>
      <c r="P21" s="5"/>
      <c r="Q21" s="4"/>
    </row>
    <row r="22" spans="1:17" ht="21.95" customHeight="1">
      <c r="A22" s="3"/>
      <c r="B22" s="20" t="str">
        <f>IF($G$4="Mutual Fund","Previous NAV: ","Previous close: ")&amp;IF(ISNUMBER(IF(Data!$H$2,Data!$B$12,"Refresh required")),TEXT(IF(Data!$H$2,Data!$B$12,"Refresh required"),"$0.00"),IF(Data!$H$2,Data!$B$12,"Refresh required"))</f>
        <v>Previous close: $226.61</v>
      </c>
      <c r="C22" s="20"/>
      <c r="D22" s="20"/>
      <c r="E22" s="20"/>
      <c r="F22" s="20"/>
      <c r="G22" s="20"/>
      <c r="H22" s="20"/>
      <c r="I22" s="3"/>
      <c r="J22" s="5"/>
      <c r="K22" s="5"/>
      <c r="L22" s="5"/>
      <c r="M22" s="5"/>
      <c r="N22" s="5"/>
      <c r="O22" s="5"/>
      <c r="P22" s="5"/>
      <c r="Q22" s="4"/>
    </row>
    <row r="23" spans="1:17" ht="21.95" customHeight="1">
      <c r="A23" s="3"/>
      <c r="B23" s="23" t="str">
        <f>IF($G$4="Mutual Fund","",IF(Data!$H$2,Data!$B$32,"Refresh required")&amp;": "&amp;IF(ISNUMBER(IF(Data!$H$2,Data!$B$29,"Refresh required")),TEXT(IF(Data!$H$2,Data!$B$29,"Refresh required"),"$0.0000"),IF(Data!$H$2,Data!$B$29,"Refresh required"))&amp;"  "&amp;IF(ISNUMBER(IF(Data!$H$2,Data!$B$31,"Refresh required")),TEXT(IF(Data!$H$2,Data!$B$31,"Refresh required"),"+0.000%;-0.000%;0.000%"),IF(Data!$H$2,Data!$B$31,"Refresh required"))&amp;" · "&amp;IF(Data!$H$2,Data!$B$33,"Refresh required")&amp;" "&amp;IF(Data!$H$2,Data!$B$34,"Refresh required"))</f>
        <v>PreMarket: $228.0500  +0.405% · 46307 0.382937268518519</v>
      </c>
      <c r="C23" s="23"/>
      <c r="D23" s="23"/>
      <c r="E23" s="23"/>
      <c r="F23" s="23"/>
      <c r="G23" s="23"/>
      <c r="H23" s="23"/>
      <c r="I23" s="3"/>
      <c r="J23" s="5"/>
      <c r="K23" s="5"/>
      <c r="L23" s="5"/>
      <c r="M23" s="5"/>
      <c r="N23" s="5"/>
      <c r="O23" s="5"/>
      <c r="P23" s="5"/>
      <c r="Q23" s="4"/>
    </row>
    <row r="24" spans="1:17" ht="21.95" customHeight="1">
      <c r="A24" s="3"/>
      <c r="B24" s="23"/>
      <c r="C24" s="23"/>
      <c r="D24" s="23"/>
      <c r="E24" s="23"/>
      <c r="F24" s="23"/>
      <c r="G24" s="23"/>
      <c r="H24" s="23"/>
      <c r="I24" s="3"/>
      <c r="J24" s="5"/>
      <c r="K24" s="5"/>
      <c r="L24" s="5"/>
      <c r="M24" s="5"/>
      <c r="N24" s="5"/>
      <c r="O24" s="5"/>
      <c r="P24" s="5"/>
      <c r="Q24" s="4"/>
    </row>
    <row r="25" spans="1:17" ht="21.95" customHeight="1">
      <c r="A25" s="3"/>
      <c r="B25" s="5"/>
      <c r="C25" s="5"/>
      <c r="D25" s="5"/>
      <c r="E25" s="5"/>
      <c r="F25" s="5"/>
      <c r="G25" s="5"/>
      <c r="H25" s="5"/>
      <c r="I25" s="3"/>
      <c r="J25" s="5"/>
      <c r="K25" s="5"/>
      <c r="L25" s="5"/>
      <c r="M25" s="5"/>
      <c r="N25" s="5"/>
      <c r="O25" s="5"/>
      <c r="P25" s="5"/>
      <c r="Q25" s="4"/>
    </row>
    <row r="26" spans="1:17" ht="21.95" customHeight="1">
      <c r="A26" s="3"/>
      <c r="B26" s="23" t="str">
        <f>IF($G$4="Mutual Fund","Fund share class: "&amp;IF(Data!$H$2,Data!$B$55,"Refresh required"),"Bid "&amp;IF(ISNUMBER(IF(Data!$H$2,Data!$B$21,"Refresh required")),TEXT(IF(Data!$H$2,Data!$B$21,"Refresh required"),"$0.00"),IF(Data!$H$2,Data!$B$21,"Refresh required"))&amp;" × "&amp;IF(ISNUMBER(IF(Data!$H$2,Data!$B$23,"Refresh required")),TEXT(IF(Data!$H$2,Data!$B$23,"Refresh required"),"0"),IF(Data!$H$2,Data!$B$23,"Refresh required"))&amp;"   Ask "&amp;IF(ISNUMBER(IF(Data!$H$2,Data!$B$22,"Refresh required")),TEXT(IF(Data!$H$2,Data!$B$22,"Refresh required"),"$0.00"),IF(Data!$H$2,Data!$B$22,"Refresh required"))&amp;" × "&amp;IF(ISNUMBER(IF(Data!$H$2,Data!$B$24,"Refresh required")),TEXT(IF(Data!$H$2,Data!$B$24,"Refresh required"),"0"),IF(Data!$H$2,Data!$B$24,"Refresh required")))</f>
        <v>Bid $228.00 × 600   Ask $228.71 × 100</v>
      </c>
      <c r="C26" s="23"/>
      <c r="D26" s="23"/>
      <c r="E26" s="23"/>
      <c r="F26" s="23"/>
      <c r="G26" s="23"/>
      <c r="H26" s="23"/>
      <c r="I26" s="3"/>
      <c r="J26" s="5"/>
      <c r="K26" s="5"/>
      <c r="L26" s="5"/>
      <c r="M26" s="5"/>
      <c r="N26" s="5"/>
      <c r="O26" s="5"/>
      <c r="P26" s="5"/>
      <c r="Q26" s="4"/>
    </row>
    <row r="27" spans="1:17" ht="21.95" customHeight="1">
      <c r="A27" s="3"/>
      <c r="B27" s="23"/>
      <c r="C27" s="23"/>
      <c r="D27" s="23"/>
      <c r="E27" s="23"/>
      <c r="F27" s="23"/>
      <c r="G27" s="23"/>
      <c r="H27" s="23"/>
      <c r="I27" s="3"/>
      <c r="J27" s="5"/>
      <c r="K27" s="5"/>
      <c r="L27" s="5"/>
      <c r="M27" s="5"/>
      <c r="N27" s="5"/>
      <c r="O27" s="5"/>
      <c r="P27" s="5"/>
      <c r="Q27" s="4"/>
    </row>
    <row r="28" spans="1:17" ht="21.95" customHeight="1">
      <c r="A28" s="3"/>
      <c r="B28" s="29" t="str">
        <f>IF($G$4="Mutual Fund","", "Bid/ask observation: "&amp;IF(Data!$H$2,Data!$B$25,"Refresh required")&amp;" "&amp;IF(Data!$H$2,Data!$B$26,"Refresh required"))</f>
        <v>Bid/ask observation: 46307 0.384157002314815</v>
      </c>
      <c r="C28" s="29"/>
      <c r="D28" s="29"/>
      <c r="E28" s="29"/>
      <c r="F28" s="29"/>
      <c r="G28" s="29"/>
      <c r="H28" s="29"/>
      <c r="I28" s="3"/>
      <c r="J28" s="5"/>
      <c r="K28" s="5"/>
      <c r="L28" s="5"/>
      <c r="M28" s="5"/>
      <c r="N28" s="5"/>
      <c r="O28" s="5"/>
      <c r="P28" s="5"/>
      <c r="Q28" s="4"/>
    </row>
    <row r="29" spans="1:17" ht="21.95" customHeight="1">
      <c r="A29" s="3"/>
      <c r="B29" s="29"/>
      <c r="C29" s="29"/>
      <c r="D29" s="29"/>
      <c r="E29" s="29"/>
      <c r="F29" s="29"/>
      <c r="G29" s="29"/>
      <c r="H29" s="29"/>
      <c r="I29" s="3"/>
      <c r="J29" s="5"/>
      <c r="K29" s="5"/>
      <c r="L29" s="5"/>
      <c r="M29" s="5"/>
      <c r="N29" s="5"/>
      <c r="O29" s="5"/>
      <c r="P29" s="5"/>
      <c r="Q29" s="4"/>
    </row>
    <row r="30" spans="1:17" ht="21.95" customHeight="1">
      <c r="A30" s="3"/>
      <c r="B30" s="3"/>
      <c r="C30" s="3"/>
      <c r="D30" s="3"/>
      <c r="E30" s="3"/>
      <c r="F30" s="3"/>
      <c r="G30" s="3"/>
      <c r="H30" s="3"/>
      <c r="I30" s="3"/>
      <c r="J30" s="3"/>
      <c r="K30" s="3"/>
      <c r="L30" s="3"/>
      <c r="M30" s="3"/>
      <c r="N30" s="3"/>
      <c r="O30" s="3"/>
      <c r="P30" s="3"/>
      <c r="Q30" s="4"/>
    </row>
    <row r="31" spans="1:17" ht="27" customHeight="1">
      <c r="A31" s="3"/>
      <c r="B31" s="30" t="s">
        <v>5</v>
      </c>
      <c r="C31" s="30"/>
      <c r="D31" s="30"/>
      <c r="E31" s="30"/>
      <c r="F31" s="30"/>
      <c r="G31" s="30"/>
      <c r="H31" s="30"/>
      <c r="I31" s="3"/>
      <c r="J31" s="30" t="s">
        <v>6</v>
      </c>
      <c r="K31" s="30"/>
      <c r="L31" s="30"/>
      <c r="M31" s="30"/>
      <c r="N31" s="30"/>
      <c r="O31" s="30"/>
      <c r="P31" s="30"/>
      <c r="Q31" s="4"/>
    </row>
    <row r="32" spans="1:17" ht="21.95" customHeight="1">
      <c r="A32" s="3"/>
      <c r="B32" s="3"/>
      <c r="C32" s="3"/>
      <c r="D32" s="3"/>
      <c r="E32" s="3"/>
      <c r="F32" s="3"/>
      <c r="G32" s="3"/>
      <c r="H32" s="3"/>
      <c r="I32" s="3"/>
      <c r="J32" s="3"/>
      <c r="K32" s="3"/>
      <c r="L32" s="3"/>
      <c r="M32" s="3"/>
      <c r="N32" s="3"/>
      <c r="O32" s="3"/>
      <c r="P32" s="3"/>
      <c r="Q32" s="4"/>
    </row>
    <row r="33" spans="1:17" ht="21.95" customHeight="1">
      <c r="A33" s="3"/>
      <c r="B33" s="20" t="str">
        <f>IF($G$4="Stock","Market capitalization","Fund net assets")</f>
        <v>Market capitalization</v>
      </c>
      <c r="C33" s="20"/>
      <c r="D33" s="20"/>
      <c r="E33" s="20"/>
      <c r="F33" s="21" t="str">
        <f>IF($G$4="Stock",IF(ISNUMBER(IF(Data!$H$2,Data!$B$44,"Refresh required")),TEXT(IF(Data!$H$2,Data!$B$44,"Refresh required"),"$0.00,,,""B"""),IF(Data!$H$2,Data!$B$44,"Refresh required")),IF(ISNUMBER(IF(Data!$H$2,Data!$B$44,"Refresh required")),TEXT(IF(Data!$H$2,Data!$B$44,"Refresh required"),"$0.00,,,""B"""),IF(Data!$H$2,Data!$B$44,"Refresh required")))</f>
        <v>$213.99B</v>
      </c>
      <c r="G33" s="21"/>
      <c r="H33" s="21"/>
      <c r="I33" s="3"/>
      <c r="J33" s="20" t="s">
        <v>7</v>
      </c>
      <c r="K33" s="20"/>
      <c r="L33" s="20"/>
      <c r="M33" s="20" t="s">
        <v>8</v>
      </c>
      <c r="N33" s="20"/>
      <c r="O33" s="20" t="s">
        <v>9</v>
      </c>
      <c r="P33" s="20"/>
      <c r="Q33" s="4"/>
    </row>
    <row r="34" spans="1:17" ht="21.95" customHeight="1">
      <c r="A34" s="3"/>
      <c r="B34" s="20" t="str">
        <f>IF($G$4="Stock","P/E ratio","Net expense ratio")</f>
        <v>P/E ratio</v>
      </c>
      <c r="C34" s="20"/>
      <c r="D34" s="20"/>
      <c r="E34" s="20"/>
      <c r="F34" s="21" t="str">
        <f>IF($G$4="Stock",IF(ISNUMBER(IF(Data!$H$2,Data!$B$45,"Refresh required")),TEXT(IF(Data!$H$2,Data!$B$45,"Refresh required"),"0.00"),IF(Data!$H$2,Data!$B$45,"Refresh required")),IF(ISNUMBER(IF(Data!$H$2,Data!$B$58,"Refresh required")),TEXT(IF(Data!$H$2,Data!$B$58,"Refresh required"),"0.00%"),IF(Data!$H$2,Data!$B$58,"Refresh required")))</f>
        <v>20.16</v>
      </c>
      <c r="G34" s="21"/>
      <c r="H34" s="21"/>
      <c r="I34" s="3"/>
      <c r="J34" s="20" t="str">
        <f>IF(Data!$H$2,IF(Performance!A2="","",Performance!A2),"")</f>
        <v>Available history</v>
      </c>
      <c r="K34" s="20"/>
      <c r="L34" s="20"/>
      <c r="M34" s="46">
        <f>IF(Data!$H$2,IF(Performance!A2="","",Performance!B2),"")</f>
        <v>-0.18068681913281881</v>
      </c>
      <c r="N34" s="46"/>
      <c r="O34" s="47">
        <f>IF(Data!$H$2,IF(Performance!A2="","",Performance!D2),"")</f>
        <v>46304</v>
      </c>
      <c r="P34" s="47"/>
      <c r="Q34" s="4"/>
    </row>
    <row r="35" spans="1:17" ht="21.95" customHeight="1">
      <c r="A35" s="3"/>
      <c r="B35" s="20" t="str">
        <f>IF($G$4="Stock","EPS (TTM)","Gross expense ratio")</f>
        <v>EPS (TTM)</v>
      </c>
      <c r="C35" s="20"/>
      <c r="D35" s="20"/>
      <c r="E35" s="20"/>
      <c r="F35" s="21" t="str">
        <f>IF($G$4="Stock",IF(ISNUMBER(IF(Data!$H$2,Data!$B$46,"Refresh required")),TEXT(IF(Data!$H$2,Data!$B$46,"Refresh required"),"0.00"),IF(Data!$H$2,Data!$B$46,"Refresh required")),IF(ISNUMBER(IF(Data!$H$2,Data!$B$57,"Refresh required")),TEXT(IF(Data!$H$2,Data!$B$57,"Refresh required"),"0.00%"),IF(Data!$H$2,Data!$B$57,"Refresh required")))</f>
        <v>11.27</v>
      </c>
      <c r="G35" s="21"/>
      <c r="H35" s="21"/>
      <c r="I35" s="3"/>
      <c r="J35" s="20" t="str">
        <f>IF(Data!$H$2,IF(Performance!A3="","",Performance!A3),"")</f>
        <v/>
      </c>
      <c r="K35" s="20"/>
      <c r="L35" s="20"/>
      <c r="M35" s="46" t="str">
        <f>IF(Data!$H$2,IF(Performance!A3="","",Performance!B3),"")</f>
        <v/>
      </c>
      <c r="N35" s="46"/>
      <c r="O35" s="47" t="str">
        <f>IF(Data!$H$2,IF(Performance!A3="","",Performance!D3),"")</f>
        <v/>
      </c>
      <c r="P35" s="47"/>
      <c r="Q35" s="4"/>
    </row>
    <row r="36" spans="1:17" ht="21.95" customHeight="1">
      <c r="A36" s="3"/>
      <c r="B36" s="20" t="str">
        <f>IF($G$4="Stock","Dividend yield (TTM)","Distribution yield (TTM)")</f>
        <v>Dividend yield (TTM)</v>
      </c>
      <c r="C36" s="20"/>
      <c r="D36" s="20"/>
      <c r="E36" s="20"/>
      <c r="F36" s="21" t="str">
        <f>IF($G$4="Stock",IF(ISNUMBER(IF(Data!$H$2,Data!$B$48,"Refresh required")),TEXT(IF(Data!$H$2,Data!$B$48,"Refresh required"),"0.00%"),IF(Data!$H$2,Data!$B$48,"Refresh required")),IF(ISNUMBER(IF(Data!$H$2,Data!$B$48,"Refresh required")),TEXT(IF(Data!$H$2,Data!$B$48,"Refresh required"),"0.00%"),IF(Data!$H$2,Data!$B$48,"Refresh required")))</f>
        <v>2.97%</v>
      </c>
      <c r="G36" s="21"/>
      <c r="H36" s="21"/>
      <c r="I36" s="3"/>
      <c r="J36" s="20" t="str">
        <f>IF(Data!$H$2,IF(Performance!A4="","",Performance!A4),"")</f>
        <v/>
      </c>
      <c r="K36" s="20"/>
      <c r="L36" s="20"/>
      <c r="M36" s="46" t="str">
        <f>IF(Data!$H$2,IF(Performance!A4="","",Performance!B4),"")</f>
        <v/>
      </c>
      <c r="N36" s="46"/>
      <c r="O36" s="47" t="str">
        <f>IF(Data!$H$2,IF(Performance!A4="","",Performance!D4),"")</f>
        <v/>
      </c>
      <c r="P36" s="47"/>
      <c r="Q36" s="4"/>
    </row>
    <row r="37" spans="1:17" ht="21.95" customHeight="1">
      <c r="A37" s="3"/>
      <c r="B37" s="20" t="str">
        <f>IF($G$4="Mutual Fund","Minimum investment","Shares outstanding")</f>
        <v>Shares outstanding</v>
      </c>
      <c r="C37" s="20"/>
      <c r="D37" s="20"/>
      <c r="E37" s="20"/>
      <c r="F37" s="21" t="str">
        <f>IF($G$4="Mutual Fund",IF(ISNUMBER(Data!$B$62),IF(ISNUMBER(IF(Data!$H$2,Data!$B$62,"Refresh required")),TEXT(IF(Data!$H$2,Data!$B$62,"Refresh required"),"#,##0.00"),IF(Data!$H$2,Data!$B$62,"Refresh required"))&amp;IF(Data!$B$63="USD"," USD"," (currency unverified)"),"Unavailable"),IF(ISNUMBER(IF(Data!$H$2,Data!$B$49,"Refresh required")),TEXT(IF(Data!$H$2,Data!$B$49,"Refresh required"),"0.00,,""M"""),IF(Data!$H$2,Data!$B$49,"Refresh required")))</f>
        <v>942.13M</v>
      </c>
      <c r="G37" s="21"/>
      <c r="H37" s="21"/>
      <c r="I37" s="3"/>
      <c r="J37" s="20" t="str">
        <f>IF(Data!$H$2,IF(Performance!A5="","",Performance!A5),"")</f>
        <v/>
      </c>
      <c r="K37" s="20"/>
      <c r="L37" s="20"/>
      <c r="M37" s="46" t="str">
        <f>IF(Data!$H$2,IF(Performance!A5="","",Performance!B5),"")</f>
        <v/>
      </c>
      <c r="N37" s="46"/>
      <c r="O37" s="47" t="str">
        <f>IF(Data!$H$2,IF(Performance!A5="","",Performance!D5),"")</f>
        <v/>
      </c>
      <c r="P37" s="47"/>
      <c r="Q37" s="4"/>
    </row>
    <row r="38" spans="1:17" ht="21.95" customHeight="1">
      <c r="A38" s="3"/>
      <c r="B38" s="20" t="str">
        <f>IF($G$4="ETF","Reported volume",IF($G$4="Stock","Avg. daily volume (52 weeks)","Portfolio turnover"))</f>
        <v>Avg. daily volume (52 weeks)</v>
      </c>
      <c r="C38" s="20"/>
      <c r="D38" s="20"/>
      <c r="E38" s="20"/>
      <c r="F38" s="21" t="str">
        <f>IF($G$4="ETF",IF(ISNUMBER(IF(Data!$H$2,Data!$B$19,"Refresh required")),TEXT(IF(Data!$H$2,Data!$B$19,"Refresh required"),"#,##0.00"),IF(Data!$H$2,Data!$B$19,"Refresh required")),IF($G$4="Stock",IF(ISNUMBER(IF(Data!$H$2,Data!$B$50,"Refresh required")),TEXT(IF(Data!$H$2,Data!$B$50,"Refresh required"),"0.00,,""M"""),IF(Data!$H$2,Data!$B$50,"Refresh required")),IF(ISNUMBER(IF(Data!$H$2,Data!$B$61,"Refresh required")),TEXT(IF(Data!$H$2,Data!$B$61,"Refresh required"),"0.00%"),IF(Data!$H$2,Data!$B$61,"Refresh required"))))</f>
        <v>6.94M</v>
      </c>
      <c r="G38" s="21"/>
      <c r="H38" s="21"/>
      <c r="I38" s="3"/>
      <c r="J38" s="20" t="str">
        <f>IF(Data!$H$2,IF(Performance!A6="","",Performance!A6),"")</f>
        <v/>
      </c>
      <c r="K38" s="20"/>
      <c r="L38" s="20"/>
      <c r="M38" s="46" t="str">
        <f>IF(Data!$H$2,IF(Performance!A6="","",Performance!B6),"")</f>
        <v/>
      </c>
      <c r="N38" s="46"/>
      <c r="O38" s="47" t="str">
        <f>IF(Data!$H$2,IF(Performance!A6="","",Performance!D6),"")</f>
        <v/>
      </c>
      <c r="P38" s="47"/>
      <c r="Q38" s="4"/>
    </row>
    <row r="39" spans="1:17" ht="21.95" customHeight="1">
      <c r="A39" s="3"/>
      <c r="B39" s="20" t="str">
        <f>IF($G$4="Stock","Beta (36 months)","Beta (3 years)")</f>
        <v>Beta (36 months)</v>
      </c>
      <c r="C39" s="20"/>
      <c r="D39" s="20"/>
      <c r="E39" s="20"/>
      <c r="F39" s="21" t="str">
        <f>IF($G$4="Stock",IF(ISNUMBER(IF(Data!$H$2,Data!$B$51,"Refresh required")),TEXT(IF(Data!$H$2,Data!$B$51,"Refresh required"),"0.0000"),IF(Data!$H$2,Data!$B$51,"Refresh required")),IF(ISNUMBER(IF(Data!$H$2,Data!$B$51,"Refresh required")),TEXT(IF(Data!$H$2,Data!$B$51,"Refresh required"),"0.0000"),IF(Data!$H$2,Data!$B$51,"Refresh required")))</f>
        <v>0.7694</v>
      </c>
      <c r="G39" s="21"/>
      <c r="H39" s="21"/>
      <c r="I39" s="3"/>
      <c r="J39" s="20" t="str">
        <f>IF(Data!$H$2,IF(Performance!A7="","",Performance!A7),"")</f>
        <v/>
      </c>
      <c r="K39" s="20"/>
      <c r="L39" s="20"/>
      <c r="M39" s="46" t="str">
        <f>IF(Data!$H$2,IF(Performance!A7="","",Performance!B7),"")</f>
        <v/>
      </c>
      <c r="N39" s="46"/>
      <c r="O39" s="47" t="str">
        <f>IF(Data!$H$2,IF(Performance!A7="","",Performance!D7),"")</f>
        <v/>
      </c>
      <c r="P39" s="47"/>
      <c r="Q39" s="4"/>
    </row>
    <row r="40" spans="1:17" ht="21.95" customHeight="1">
      <c r="A40" s="3"/>
      <c r="B40" s="20" t="str">
        <f>IF($G$4="Stock","Sector","Vendor category")</f>
        <v>Sector</v>
      </c>
      <c r="C40" s="20"/>
      <c r="D40" s="20"/>
      <c r="E40" s="20"/>
      <c r="F40" s="21" t="str">
        <f>IF($G$4="Stock",IF(Data!$H$2,Data!$B$42,"Refresh required"),IF(Data!$H$2,Data!$B$43,"Refresh required"))</f>
        <v>Technology Services</v>
      </c>
      <c r="G40" s="21"/>
      <c r="H40" s="21"/>
      <c r="I40" s="3"/>
      <c r="J40" s="3"/>
      <c r="K40" s="3"/>
      <c r="L40" s="3"/>
      <c r="M40" s="3"/>
      <c r="N40" s="3"/>
      <c r="O40" s="3"/>
      <c r="P40" s="3"/>
      <c r="Q40" s="4"/>
    </row>
    <row r="41" spans="1:17" ht="21.95" customHeight="1">
      <c r="A41" s="3"/>
      <c r="B41" s="20" t="str">
        <f>IF($G$4="Stock","Headquarters","Sponsor")</f>
        <v>Headquarters</v>
      </c>
      <c r="C41" s="20"/>
      <c r="D41" s="20"/>
      <c r="E41" s="20"/>
      <c r="F41" s="21" t="str">
        <f>IF($G$4="Stock",IF(Data!$H$2,Data!$B$39,"Refresh required"),IF(Data!$H$2,Data!$B$53,"Refresh required"))</f>
        <v>Armonk</v>
      </c>
      <c r="G41" s="21"/>
      <c r="H41" s="21"/>
      <c r="I41" s="3"/>
      <c r="J41" s="48" t="str">
        <f>IF($G$4="Stock","Price changes exclude dividends. Available history is not a standardized one-year return.","Fund total returns: periods longer than one year are annualized. See Performance for basis and dates.")</f>
        <v>Price changes exclude dividends. Available history is not a standardized one-year return.</v>
      </c>
      <c r="K41" s="48"/>
      <c r="L41" s="48"/>
      <c r="M41" s="48"/>
      <c r="N41" s="48"/>
      <c r="O41" s="48"/>
      <c r="P41" s="48"/>
      <c r="Q41" s="4"/>
    </row>
    <row r="42" spans="1:17" ht="21.95" customHeight="1">
      <c r="A42" s="3"/>
      <c r="B42" s="20" t="str">
        <f>IF($G$4="Stock","Website","Benchmark")</f>
        <v>Website</v>
      </c>
      <c r="C42" s="20"/>
      <c r="D42" s="20"/>
      <c r="E42" s="20"/>
      <c r="F42" s="21" t="str">
        <f>IF($G$4="Stock","See Data for website",IF(Data!$H$2,Data!$B$59,"Refresh required"))</f>
        <v>See Data for website</v>
      </c>
      <c r="G42" s="21"/>
      <c r="H42" s="21"/>
      <c r="I42" s="3"/>
      <c r="J42" s="48"/>
      <c r="K42" s="48"/>
      <c r="L42" s="48"/>
      <c r="M42" s="48"/>
      <c r="N42" s="48"/>
      <c r="O42" s="48"/>
      <c r="P42" s="48"/>
      <c r="Q42" s="4"/>
    </row>
    <row r="43" spans="1:17" ht="21.95" customHeight="1">
      <c r="A43" s="3"/>
      <c r="B43" s="20" t="str">
        <f>IF($G$4="Stock","Price-to-book","Share-class inception")</f>
        <v>Price-to-book</v>
      </c>
      <c r="C43" s="20"/>
      <c r="D43" s="20"/>
      <c r="E43" s="20"/>
      <c r="F43" s="21" t="str">
        <f>IF($G$4="Stock",IF(ISNUMBER(IF(Data!$H$2,Data!$B$52,"Refresh required")),TEXT(IF(Data!$H$2,Data!$B$52,"Refresh required"),"0.00"),IF(Data!$H$2,Data!$B$52,"Refresh required")),IF(ISNUMBER(IF(Data!$H$2,Data!$B$56,"Refresh required")),TEXT(IF(Data!$H$2,Data!$B$56,"Refresh required"),"mmm d, yyyy"),IF(Data!$H$2,Data!$B$56,"Refresh required")))</f>
        <v>6.21</v>
      </c>
      <c r="G43" s="21"/>
      <c r="H43" s="21"/>
      <c r="I43" s="3"/>
      <c r="J43" s="3"/>
      <c r="K43" s="3"/>
      <c r="L43" s="3"/>
      <c r="M43" s="3"/>
      <c r="N43" s="3"/>
      <c r="O43" s="3"/>
      <c r="P43" s="3"/>
      <c r="Q43" s="4"/>
    </row>
    <row r="44" spans="1:17" ht="27" customHeight="1">
      <c r="A44" s="3"/>
      <c r="B44" s="3"/>
      <c r="C44" s="3"/>
      <c r="D44" s="3"/>
      <c r="E44" s="3"/>
      <c r="F44" s="3"/>
      <c r="G44" s="3"/>
      <c r="H44" s="3"/>
      <c r="I44" s="3"/>
      <c r="J44" s="30" t="str">
        <f>IF($G$4="Stock","Trading statistics","Risk and valuation")</f>
        <v>Trading statistics</v>
      </c>
      <c r="K44" s="30"/>
      <c r="L44" s="30"/>
      <c r="M44" s="30"/>
      <c r="N44" s="30"/>
      <c r="O44" s="30"/>
      <c r="P44" s="30"/>
      <c r="Q44" s="4"/>
    </row>
    <row r="45" spans="1:17" ht="27" customHeight="1">
      <c r="A45" s="3"/>
      <c r="B45" s="30" t="s">
        <v>10</v>
      </c>
      <c r="C45" s="30"/>
      <c r="D45" s="30"/>
      <c r="E45" s="30"/>
      <c r="F45" s="30"/>
      <c r="G45" s="30"/>
      <c r="H45" s="30"/>
      <c r="I45" s="3"/>
      <c r="J45" s="3"/>
      <c r="K45" s="3"/>
      <c r="L45" s="3"/>
      <c r="M45" s="3"/>
      <c r="N45" s="3"/>
      <c r="O45" s="3"/>
      <c r="P45" s="3"/>
      <c r="Q45" s="4"/>
    </row>
    <row r="46" spans="1:17" ht="21.95" customHeight="1">
      <c r="A46" s="3"/>
      <c r="B46" s="49" t="str">
        <f>IF($G$4="Stock","ETFs holding this stock · exposure dates not supplied","Top holdings · "&amp;IF(Data!$H$2,Data!$B$91,"Refresh required"))</f>
        <v>ETFs holding this stock · exposure dates not supplied</v>
      </c>
      <c r="C46" s="49"/>
      <c r="D46" s="49"/>
      <c r="E46" s="49"/>
      <c r="F46" s="49"/>
      <c r="G46" s="49"/>
      <c r="H46" s="49"/>
      <c r="I46" s="3"/>
      <c r="J46" s="20" t="str">
        <f>IF($G$4="Stock","52-week high","Standard deviation (3 years)")</f>
        <v>52-week high</v>
      </c>
      <c r="K46" s="20"/>
      <c r="L46" s="20"/>
      <c r="M46" s="20"/>
      <c r="N46" s="21" t="str">
        <f>IF(Data!$H$2,IF($G$4="Stock",IF(ISNUMBER(IF(Data!$H$2,Data!$B$17,"Refresh required")),TEXT(IF(Data!$H$2,Data!$B$17,"Refresh required"),"$0.00"),IF(Data!$H$2,Data!$B$17,"Refresh required")),IF(ISNUMBER(IF(Data!$H$2,Data!$B$71,"Refresh required")),TEXT(IF(Data!$H$2,Data!$B$71,"Refresh required"),"0.00%"),IF(Data!$H$2,Data!$B$71,"Refresh required"))),"Refresh required")</f>
        <v>$332.46</v>
      </c>
      <c r="O46" s="21"/>
      <c r="P46" s="21"/>
      <c r="Q46" s="4"/>
    </row>
    <row r="47" spans="1:17" ht="21.95" customHeight="1">
      <c r="A47" s="3"/>
      <c r="B47" s="3"/>
      <c r="C47" s="3"/>
      <c r="D47" s="3"/>
      <c r="E47" s="3"/>
      <c r="F47" s="3"/>
      <c r="G47" s="3"/>
      <c r="H47" s="3"/>
      <c r="I47" s="3"/>
      <c r="J47" s="20" t="str">
        <f>IF($G$4="Stock","52-week low","Sharpe ratio (3 years)")</f>
        <v>52-week low</v>
      </c>
      <c r="K47" s="20"/>
      <c r="L47" s="20"/>
      <c r="M47" s="20"/>
      <c r="N47" s="21" t="str">
        <f>IF(Data!$H$2,IF($G$4="Stock",IF(ISNUMBER(IF(Data!$H$2,Data!$B$18,"Refresh required")),TEXT(IF(Data!$H$2,Data!$B$18,"Refresh required"),"$0.00"),IF(Data!$H$2,Data!$B$18,"Refresh required")),IF(ISNUMBER(IF(Data!$H$2,Data!$B$72,"Refresh required")),TEXT(IF(Data!$H$2,Data!$B$72,"Refresh required"),"0.0000"),IF(Data!$H$2,Data!$B$72,"Refresh required"))),"Refresh required")</f>
        <v>$199.19</v>
      </c>
      <c r="O47" s="21"/>
      <c r="P47" s="21"/>
      <c r="Q47" s="4"/>
    </row>
    <row r="48" spans="1:17" ht="21.95" customHeight="1">
      <c r="A48" s="3"/>
      <c r="B48" s="20" t="s">
        <v>11</v>
      </c>
      <c r="C48" s="20"/>
      <c r="D48" s="20" t="s">
        <v>12</v>
      </c>
      <c r="E48" s="20"/>
      <c r="F48" s="20"/>
      <c r="G48" s="20" t="s">
        <v>13</v>
      </c>
      <c r="H48" s="20"/>
      <c r="I48" s="3"/>
      <c r="J48" s="20" t="str">
        <f>IF($G$4="Stock","Open","R² (3 years)")</f>
        <v>Open</v>
      </c>
      <c r="K48" s="20"/>
      <c r="L48" s="20"/>
      <c r="M48" s="20"/>
      <c r="N48" s="21" t="str">
        <f>IF(Data!$H$2,IF($G$4="Stock",IF(ISNUMBER(IF(Data!$H$2,Data!$B$14,"Refresh required")),TEXT(IF(Data!$H$2,Data!$B$14,"Refresh required"),"$0.00"),IF(Data!$H$2,Data!$B$14,"Refresh required")),IF(ISNUMBER(IF(Data!$H$2,Data!$B$70,"Refresh required")),TEXT(IF(Data!$H$2,Data!$B$70,"Refresh required"),"0.00%"),IF(Data!$H$2,Data!$B$70,"Refresh required"))),"Refresh required")</f>
        <v>$225.87</v>
      </c>
      <c r="O48" s="21"/>
      <c r="P48" s="21"/>
      <c r="Q48" s="4"/>
    </row>
    <row r="49" spans="1:17" ht="21.95" customHeight="1">
      <c r="A49" s="3"/>
      <c r="B49" s="20" t="str">
        <f>IF(Data!$H$2,IF(Holdings!A2="","",Holdings!A2),"")</f>
        <v>TDIV</v>
      </c>
      <c r="C49" s="20"/>
      <c r="D49" s="47" t="str">
        <f>IF(Data!$H$2,IF(Holdings!A2="","",Holdings!B2),"")</f>
        <v>First Trust Exchange-Traded Fund VI - First Trust ETF VI First Trust NASDAQ Technology Dividend Index Fund</v>
      </c>
      <c r="E49" s="47"/>
      <c r="F49" s="47"/>
      <c r="G49" s="46">
        <f>IF(Data!$H$2,IF(Holdings!A2="","",Holdings!C2),"")</f>
        <v>7.8069490000000005E-2</v>
      </c>
      <c r="H49" s="20"/>
      <c r="I49" s="3"/>
      <c r="J49" s="20" t="str">
        <f>IF($G$4="Stock","Day high","30-day SEC yield")</f>
        <v>Day high</v>
      </c>
      <c r="K49" s="20"/>
      <c r="L49" s="20"/>
      <c r="M49" s="20"/>
      <c r="N49" s="21" t="str">
        <f>IF(Data!$H$2,IF($G$4="Stock",IF(ISNUMBER(IF(Data!$H$2,Data!$B$15,"Refresh required")),TEXT(IF(Data!$H$2,Data!$B$15,"Refresh required"),"$0.00"),IF(Data!$H$2,Data!$B$15,"Refresh required")),IF(ISNUMBER(IF(Data!$H$2,Data!$B$67,"Refresh required")),TEXT(IF(Data!$H$2,Data!$B$67,"Refresh required"),"0.00%"),IF(Data!$H$2,Data!$B$67,"Refresh required"))),"Refresh required")</f>
        <v>$228.76</v>
      </c>
      <c r="O49" s="21"/>
      <c r="P49" s="21"/>
      <c r="Q49" s="4"/>
    </row>
    <row r="50" spans="1:17" ht="21.95" customHeight="1">
      <c r="A50" s="3"/>
      <c r="B50" s="20" t="str">
        <f>IF(Data!$H$2,IF(Holdings!A3="","",Holdings!A3),"")</f>
        <v>TDVI</v>
      </c>
      <c r="C50" s="20"/>
      <c r="D50" s="47" t="str">
        <f>IF(Data!$H$2,IF(Holdings!A3="","",Holdings!B3),"")</f>
        <v>First Trust Exchange-Traded Fund IV - FT Vest Technology Dividend Target Income ETF</v>
      </c>
      <c r="E50" s="47"/>
      <c r="F50" s="47"/>
      <c r="G50" s="46">
        <f>IF(Data!$H$2,IF(Holdings!A3="","",Holdings!C3),"")</f>
        <v>7.8020560000000003E-2</v>
      </c>
      <c r="H50" s="20"/>
      <c r="I50" s="3"/>
      <c r="J50" s="20" t="str">
        <f>IF($G$4="Stock","Day low","NAV / price-to-book")</f>
        <v>Day low</v>
      </c>
      <c r="K50" s="20"/>
      <c r="L50" s="20"/>
      <c r="M50" s="20"/>
      <c r="N50" s="21" t="str">
        <f>IF(Data!$H$2,IF($G$4="Stock",IF(ISNUMBER(IF(Data!$H$2,Data!$B$16,"Refresh required")),TEXT(IF(Data!$H$2,Data!$B$16,"Refresh required"),"$0.00"),IF(Data!$H$2,Data!$B$16,"Refresh required")),IF(ISNUMBER(IF(Data!$H$2,Data!$B$73,"Refresh required")),TEXT(IF(Data!$H$2,Data!$B$73,"Refresh required"),"$0.00"),IF(Data!$H$2,Data!$B$73,"Refresh required"))),"Refresh required")</f>
        <v>$224.05</v>
      </c>
      <c r="O50" s="21"/>
      <c r="P50" s="21"/>
      <c r="Q50" s="4"/>
    </row>
    <row r="51" spans="1:17" ht="21.95" customHeight="1">
      <c r="A51" s="3"/>
      <c r="B51" s="20" t="str">
        <f>IF(Data!$H$2,IF(Holdings!A4="","",Holdings!A4),"")</f>
        <v>DJD</v>
      </c>
      <c r="C51" s="20"/>
      <c r="D51" s="47" t="str">
        <f>IF(Data!$H$2,IF(Holdings!A4="","",Holdings!B4),"")</f>
        <v>Invesco Exchange-Traded Fund Trust - Invesco Dow Jones Industrial Average Dividend ETF</v>
      </c>
      <c r="E51" s="47"/>
      <c r="F51" s="47"/>
      <c r="G51" s="46">
        <f>IF(Data!$H$2,IF(Holdings!A4="","",Holdings!C4),"")</f>
        <v>5.7253780000000004E-2</v>
      </c>
      <c r="H51" s="20"/>
      <c r="I51" s="3"/>
      <c r="J51" s="20" t="str">
        <f>IF($G$4="Stock","Reported volume",IF($G$4="Mutual Fund","Effective duration (years)","NAV premium / discount"))</f>
        <v>Reported volume</v>
      </c>
      <c r="K51" s="20"/>
      <c r="L51" s="20"/>
      <c r="M51" s="20"/>
      <c r="N51" s="21" t="str">
        <f>IF(Data!$H$2,IF($G$4="Stock",IF(ISNUMBER(IF(Data!$H$2,Data!$B$19,"Refresh required")),TEXT(IF(Data!$H$2,Data!$B$19,"Refresh required"),"#,##0.00"),IF(Data!$H$2,Data!$B$19,"Refresh required")),IF($G$4="Mutual Fund",IF(ISNUMBER(IF(Data!$H$2,Data!$B$68,"Refresh required")),TEXT(IF(Data!$H$2,Data!$B$68,"Refresh required"),"0.00"),IF(Data!$H$2,Data!$B$68,"Refresh required")),IF(AND($G$4="ETF",ISNUMBER(Data!$B$5),ISNUMBER(Data!$B$73),Data!$B$9=Data!$D$73),TEXT(Data!$B$5/Data!$B$73-1,"0.00%"),"Unavailable"))),"Refresh required")</f>
        <v>30,516.80</v>
      </c>
      <c r="O51" s="21"/>
      <c r="P51" s="21"/>
      <c r="Q51" s="4"/>
    </row>
    <row r="52" spans="1:17" ht="21.95" customHeight="1">
      <c r="A52" s="3"/>
      <c r="B52" s="20" t="str">
        <f>IF(Data!$H$2,IF(Holdings!A5="","",Holdings!A5),"")</f>
        <v>WQTM</v>
      </c>
      <c r="C52" s="20"/>
      <c r="D52" s="47" t="str">
        <f>IF(Data!$H$2,IF(Holdings!A5="","",Holdings!B5),"")</f>
        <v>WisdomTree Trust - WisdomTree Quantum Computing Fund</v>
      </c>
      <c r="E52" s="47"/>
      <c r="F52" s="47"/>
      <c r="G52" s="46">
        <f>IF(Data!$H$2,IF(Holdings!A5="","",Holdings!C5),"")</f>
        <v>5.289423E-2</v>
      </c>
      <c r="H52" s="20"/>
      <c r="I52" s="3"/>
      <c r="J52" s="3"/>
      <c r="K52" s="3"/>
      <c r="L52" s="3"/>
      <c r="M52" s="3"/>
      <c r="N52" s="3"/>
      <c r="O52" s="3"/>
      <c r="P52" s="3"/>
      <c r="Q52" s="4"/>
    </row>
    <row r="53" spans="1:17" ht="21.95" customHeight="1">
      <c r="A53" s="3"/>
      <c r="B53" s="20" t="str">
        <f>IF(Data!$H$2,IF(Holdings!A6="","",Holdings!A6),"")</f>
        <v>SPDG</v>
      </c>
      <c r="C53" s="20"/>
      <c r="D53" s="47" t="str">
        <f>IF(Data!$H$2,IF(Holdings!A6="","",Holdings!B6),"")</f>
        <v>SPDR Series Trust - State Street SPDR Portfolio S&amp;P Sector Neutral Dividend ETF</v>
      </c>
      <c r="E53" s="47"/>
      <c r="F53" s="47"/>
      <c r="G53" s="46">
        <f>IF(Data!$H$2,IF(Holdings!A6="","",Holdings!C6),"")</f>
        <v>5.1878630000000002E-2</v>
      </c>
      <c r="H53" s="20"/>
      <c r="I53" s="3"/>
      <c r="J53" s="3"/>
      <c r="K53" s="3"/>
      <c r="L53" s="3"/>
      <c r="M53" s="3"/>
      <c r="N53" s="3"/>
      <c r="O53" s="3"/>
      <c r="P53" s="3"/>
      <c r="Q53" s="4"/>
    </row>
    <row r="54" spans="1:17" ht="27" customHeight="1">
      <c r="A54" s="3"/>
      <c r="B54" s="20" t="str">
        <f>IF(Data!$H$2,IF(Holdings!A7="","",Holdings!A7),"")</f>
        <v>DIVB</v>
      </c>
      <c r="C54" s="20"/>
      <c r="D54" s="47" t="str">
        <f>IF(Data!$H$2,IF(Holdings!A7="","",Holdings!B7),"")</f>
        <v>iShares Trust - iShares Core Dividend ETF</v>
      </c>
      <c r="E54" s="47"/>
      <c r="F54" s="47"/>
      <c r="G54" s="46">
        <f>IF(Data!$H$2,IF(Holdings!A7="","",Holdings!C7),"")</f>
        <v>4.9173799999999997E-2</v>
      </c>
      <c r="H54" s="20"/>
      <c r="I54" s="3"/>
      <c r="J54" s="30" t="s">
        <v>14</v>
      </c>
      <c r="K54" s="30"/>
      <c r="L54" s="30"/>
      <c r="M54" s="30"/>
      <c r="N54" s="30"/>
      <c r="O54" s="30"/>
      <c r="P54" s="30"/>
      <c r="Q54" s="4"/>
    </row>
    <row r="55" spans="1:17" ht="21.95" customHeight="1">
      <c r="A55" s="3"/>
      <c r="B55" s="20" t="str">
        <f>IF(Data!$H$2,IF(Holdings!A8="","",Holdings!A8),"")</f>
        <v>CQTM</v>
      </c>
      <c r="C55" s="20"/>
      <c r="D55" s="47" t="str">
        <f>IF(Data!$H$2,IF(Holdings!A8="","",Holdings!B8),"")</f>
        <v>Corgi ETF Trust I. - Corgi Quantum Computing ETF</v>
      </c>
      <c r="E55" s="47"/>
      <c r="F55" s="47"/>
      <c r="G55" s="46">
        <f>IF(Data!$H$2,IF(Holdings!A8="","",Holdings!C8),"")</f>
        <v>4.8899999999999999E-2</v>
      </c>
      <c r="H55" s="20"/>
      <c r="I55" s="3"/>
      <c r="J55" s="50" t="str">
        <f>IF($G$4="Stock","Next earnings: "&amp;IF(Data!$H$2,Data!$B$79,"Refresh required")&amp;" · "&amp;IF(Data!$H$2,Data!$B$80,"Refresh required")&amp;" · "&amp;IF(Data!$H$2,Data!$B$81,"Refresh required"),"Portfolio managers · "&amp;IF(Data!$H$2,Data!$B$94,"Refresh required"))</f>
        <v>Next earnings: 46316 · AfterMarket · Verified</v>
      </c>
      <c r="K55" s="50"/>
      <c r="L55" s="50"/>
      <c r="M55" s="50"/>
      <c r="N55" s="50"/>
      <c r="O55" s="50"/>
      <c r="P55" s="50"/>
      <c r="Q55" s="4"/>
    </row>
    <row r="56" spans="1:17" ht="21.95" customHeight="1">
      <c r="A56" s="3"/>
      <c r="B56" s="20" t="str">
        <f>IF(Data!$H$2,IF(Holdings!A9="","",Holdings!A9),"")</f>
        <v>PTNT</v>
      </c>
      <c r="C56" s="20"/>
      <c r="D56" s="47" t="str">
        <f>IF(Data!$H$2,IF(Holdings!A9="","",Holdings!B9),"")</f>
        <v>Corgi ETF Trust I. - Corgi IP Licensing &amp; Royalties ETF</v>
      </c>
      <c r="E56" s="47"/>
      <c r="F56" s="47"/>
      <c r="G56" s="46">
        <f>IF(Data!$H$2,IF(Holdings!A9="","",Holdings!C9),"")</f>
        <v>4.7899999999999998E-2</v>
      </c>
      <c r="H56" s="20"/>
      <c r="I56" s="3"/>
      <c r="J56" s="50"/>
      <c r="K56" s="50"/>
      <c r="L56" s="50"/>
      <c r="M56" s="50"/>
      <c r="N56" s="50"/>
      <c r="O56" s="50"/>
      <c r="P56" s="50"/>
      <c r="Q56" s="4"/>
    </row>
    <row r="57" spans="1:17" ht="21.95" customHeight="1">
      <c r="A57" s="3"/>
      <c r="B57" s="20" t="str">
        <f>IF(Data!$H$2,IF(Holdings!A10="","",Holdings!A10),"")</f>
        <v>KNGZ</v>
      </c>
      <c r="C57" s="20"/>
      <c r="D57" s="47" t="str">
        <f>IF(Data!$H$2,IF(Holdings!A10="","",Holdings!B10),"")</f>
        <v>First Trust Exchange-Traded Fund VI - First Trust S&amp;P 500 Diversified Dividend Aristocrats ETF</v>
      </c>
      <c r="E57" s="47"/>
      <c r="F57" s="47"/>
      <c r="G57" s="46">
        <f>IF(Data!$H$2,IF(Holdings!A10="","",Holdings!C10),"")</f>
        <v>4.3058039999999999E-2</v>
      </c>
      <c r="H57" s="20"/>
      <c r="I57" s="3"/>
      <c r="J57" s="3"/>
      <c r="K57" s="3"/>
      <c r="L57" s="3"/>
      <c r="M57" s="3"/>
      <c r="N57" s="3"/>
      <c r="O57" s="3"/>
      <c r="P57" s="3"/>
      <c r="Q57" s="4"/>
    </row>
    <row r="58" spans="1:17" ht="21.95" customHeight="1">
      <c r="A58" s="3"/>
      <c r="B58" s="20" t="str">
        <f>IF(Data!$H$2,IF(Holdings!A11="","",Holdings!A11),"")</f>
        <v>GPTY</v>
      </c>
      <c r="C58" s="20"/>
      <c r="D58" s="47" t="str">
        <f>IF(Data!$H$2,IF(Holdings!A11="","",Holdings!B11),"")</f>
        <v>Tidal Trust II - YieldMax AI &amp; Tech Portfolio Option Income ETF</v>
      </c>
      <c r="E58" s="47"/>
      <c r="F58" s="47"/>
      <c r="G58" s="46">
        <f>IF(Data!$H$2,IF(Holdings!A11="","",Holdings!C11),"")</f>
        <v>4.1399999999999999E-2</v>
      </c>
      <c r="H58" s="20"/>
      <c r="I58" s="3"/>
      <c r="J58" s="47" t="str">
        <f>IF(Data!$H$2,IF($G$4="Stock",IF(Earnings!A2="","",Earnings!A2&amp;" "&amp;Earnings!B2),IF(Management!A2="","",Management!A2)),"")</f>
        <v>2025Q3 Actual EPS</v>
      </c>
      <c r="K58" s="47"/>
      <c r="L58" s="47"/>
      <c r="M58" s="47" t="str">
        <f>IF(Data!$H$2,IF($G$4="Stock",IF(Earnings!A2="","",TEXT(Earnings!C2,"$0.00")&amp;IF(ISNUMBER(Earnings!G2)," · Sales "&amp;TEXT(Earnings!G2,"$0.00,,,""B"""),"")),IF(Management!A2="","","Since "&amp;Management!B2)),"")</f>
        <v>$2.65</v>
      </c>
      <c r="N58" s="47"/>
      <c r="O58" s="47"/>
      <c r="P58" s="47"/>
      <c r="Q58" s="4"/>
    </row>
    <row r="59" spans="1:17" ht="21.95" customHeight="1">
      <c r="A59" s="3"/>
      <c r="B59" s="3"/>
      <c r="C59" s="3"/>
      <c r="D59" s="3"/>
      <c r="E59" s="3"/>
      <c r="F59" s="3"/>
      <c r="G59" s="3"/>
      <c r="H59" s="3"/>
      <c r="I59" s="3"/>
      <c r="J59" s="47" t="str">
        <f>IF(Data!$H$2,IF($G$4="Stock",IF(Earnings!A3="","",Earnings!A3&amp;" "&amp;Earnings!B3),IF(Management!A3="","",Management!A3)),"")</f>
        <v>2025Q4 Actual EPS</v>
      </c>
      <c r="K59" s="47"/>
      <c r="L59" s="47"/>
      <c r="M59" s="47" t="str">
        <f>IF(Data!$H$2,IF($G$4="Stock",IF(Earnings!A3="","",TEXT(Earnings!C3,"$0.00")&amp;IF(ISNUMBER(Earnings!G3)," · Sales "&amp;TEXT(Earnings!G3,"$0.00,,,""B"""),"")),IF(Management!A3="","","Since "&amp;Management!B3)),"")</f>
        <v>$4.52</v>
      </c>
      <c r="N59" s="47"/>
      <c r="O59" s="47"/>
      <c r="P59" s="47"/>
      <c r="Q59" s="4"/>
    </row>
    <row r="60" spans="1:17" ht="21.95" customHeight="1">
      <c r="A60" s="3"/>
      <c r="B60" s="48" t="str">
        <f>IF($G$4="ETF","The dashboard shows the largest positions in the first returned page. Full pagination is not implemented.",IF($G$4="Stock","Exposure relationships are not peer recommendations.","Names and classifications are shown as supplied; inspect unusual descriptions."))</f>
        <v>Exposure relationships are not peer recommendations.</v>
      </c>
      <c r="C60" s="48"/>
      <c r="D60" s="48"/>
      <c r="E60" s="48"/>
      <c r="F60" s="48"/>
      <c r="G60" s="48"/>
      <c r="H60" s="48"/>
      <c r="I60" s="3"/>
      <c r="J60" s="47" t="str">
        <f>IF(Data!$H$2,IF($G$4="Stock",IF(Earnings!A4="","",Earnings!A4&amp;" "&amp;Earnings!B4),IF(Management!A4="","",Management!A4)),"")</f>
        <v>2026Q1 Actual EPS</v>
      </c>
      <c r="K60" s="47"/>
      <c r="L60" s="47"/>
      <c r="M60" s="47" t="str">
        <f>IF(Data!$H$2,IF($G$4="Stock",IF(Earnings!A4="","",TEXT(Earnings!C4,"$0.00")&amp;IF(ISNUMBER(Earnings!G4)," · Sales "&amp;TEXT(Earnings!G4,"$0.00,,,""B"""),"")),IF(Management!A4="","","Since "&amp;Management!B4)),"")</f>
        <v>$1.91</v>
      </c>
      <c r="N60" s="47"/>
      <c r="O60" s="47"/>
      <c r="P60" s="47"/>
      <c r="Q60" s="4"/>
    </row>
    <row r="61" spans="1:17" ht="21.95" customHeight="1">
      <c r="A61" s="3"/>
      <c r="B61" s="48"/>
      <c r="C61" s="48"/>
      <c r="D61" s="48"/>
      <c r="E61" s="48"/>
      <c r="F61" s="48"/>
      <c r="G61" s="48"/>
      <c r="H61" s="48"/>
      <c r="I61" s="3"/>
      <c r="J61" s="47" t="str">
        <f>IF(Data!$H$2,IF($G$4="Stock",IF(Earnings!A5="","",Earnings!A5&amp;" "&amp;Earnings!B5),IF(Management!A5="","",Management!A5)),"")</f>
        <v>2026Q2 Actual EPS</v>
      </c>
      <c r="K61" s="47"/>
      <c r="L61" s="47"/>
      <c r="M61" s="47" t="str">
        <f>IF(Data!$H$2,IF($G$4="Stock",IF(Earnings!A5="","",TEXT(Earnings!C5,"$0.00")&amp;IF(ISNUMBER(Earnings!G5)," · Sales "&amp;TEXT(Earnings!G5,"$0.00,,,""B"""),"")),IF(Management!A5="","","Since "&amp;Management!B5)),"")</f>
        <v>$2.93</v>
      </c>
      <c r="N61" s="47"/>
      <c r="O61" s="47"/>
      <c r="P61" s="47"/>
      <c r="Q61" s="4"/>
    </row>
    <row r="62" spans="1:17" ht="21.95" customHeight="1">
      <c r="A62" s="3"/>
      <c r="B62" s="3"/>
      <c r="C62" s="3"/>
      <c r="D62" s="3"/>
      <c r="E62" s="3"/>
      <c r="F62" s="3"/>
      <c r="G62" s="3"/>
      <c r="H62" s="3"/>
      <c r="I62" s="3"/>
      <c r="J62" s="47" t="str">
        <f>IF(Data!$H$2,IF($G$4="Stock",IF(Earnings!A6="","",Earnings!A6&amp;" "&amp;Earnings!B6),IF(Management!A6="","",Management!A6)),"")</f>
        <v>2026Q3 Consensus EPS</v>
      </c>
      <c r="K62" s="47"/>
      <c r="L62" s="47"/>
      <c r="M62" s="47" t="str">
        <f>IF(Data!$H$2,IF($G$4="Stock",IF(Earnings!A6="","",TEXT(Earnings!C6,"$0.00")&amp;IF(ISNUMBER(Earnings!G6)," · Sales "&amp;TEXT(Earnings!G6,"$0.00,,,""B"""),"")),IF(Management!A6="","","Since "&amp;Management!B6)),"")</f>
        <v>$2.86 · Sales $16.82B</v>
      </c>
      <c r="N62" s="47"/>
      <c r="O62" s="47"/>
      <c r="P62" s="47"/>
      <c r="Q62" s="4"/>
    </row>
    <row r="63" spans="1:17" ht="21.95" customHeight="1">
      <c r="A63" s="3"/>
      <c r="B63" s="3"/>
      <c r="C63" s="3"/>
      <c r="D63" s="3"/>
      <c r="E63" s="3"/>
      <c r="F63" s="3"/>
      <c r="G63" s="3"/>
      <c r="H63" s="3"/>
      <c r="I63" s="3"/>
      <c r="J63" s="47" t="str">
        <f>IF(Data!$H$2,IF($G$4="Stock",IF(Earnings!A7="","",Earnings!A7&amp;" "&amp;Earnings!B7),IF(Management!A7="","",Management!A7)),"")</f>
        <v>2026Q4 Consensus EPS</v>
      </c>
      <c r="K63" s="47"/>
      <c r="L63" s="47"/>
      <c r="M63" s="47" t="str">
        <f>IF(Data!$H$2,IF($G$4="Stock",IF(Earnings!A7="","",TEXT(Earnings!C7,"$0.00")&amp;IF(ISNUMBER(Earnings!G7)," · Sales "&amp;TEXT(Earnings!G7,"$0.00,,,""B"""),"")),IF(Management!A7="","","Since "&amp;Management!B7)),"")</f>
        <v>$4.62 · Sales $20.47B</v>
      </c>
      <c r="N63" s="47"/>
      <c r="O63" s="47"/>
      <c r="P63" s="47"/>
      <c r="Q63" s="4"/>
    </row>
    <row r="64" spans="1:17" ht="27" customHeight="1">
      <c r="A64" s="3"/>
      <c r="B64" s="30" t="s">
        <v>15</v>
      </c>
      <c r="C64" s="30"/>
      <c r="D64" s="30"/>
      <c r="E64" s="30"/>
      <c r="F64" s="30"/>
      <c r="G64" s="30"/>
      <c r="H64" s="30"/>
      <c r="I64" s="3"/>
      <c r="J64" s="47" t="str">
        <f>IF(Data!$H$2,IF($G$4="Stock",IF(Earnings!A8="","",Earnings!A8&amp;" "&amp;Earnings!B8),IF(Management!A8="","",Management!A8)),"")</f>
        <v>2027Q1 Consensus EPS</v>
      </c>
      <c r="K64" s="47"/>
      <c r="L64" s="47"/>
      <c r="M64" s="47" t="str">
        <f>IF(Data!$H$2,IF($G$4="Stock",IF(Earnings!A8="","",TEXT(Earnings!C8,"$0.00")&amp;IF(ISNUMBER(Earnings!G8)," · Sales "&amp;TEXT(Earnings!G8,"$0.00,,,""B"""),"")),IF(Management!A8="","","Since "&amp;Management!B8)),"")</f>
        <v>$2.16 · Sales $16.51B</v>
      </c>
      <c r="N64" s="47"/>
      <c r="O64" s="47"/>
      <c r="P64" s="47"/>
      <c r="Q64" s="4"/>
    </row>
    <row r="65" spans="1:17" ht="21.95" customHeight="1">
      <c r="A65" s="3"/>
      <c r="B65" s="3"/>
      <c r="C65" s="3"/>
      <c r="D65" s="3"/>
      <c r="E65" s="3"/>
      <c r="F65" s="3"/>
      <c r="G65" s="3"/>
      <c r="H65" s="3"/>
      <c r="I65" s="3"/>
      <c r="J65" s="47" t="str">
        <f>IF(Data!$H$2,IF($G$4="Stock",IF(Earnings!A9="","",Earnings!A9&amp;" "&amp;Earnings!B9),IF(Management!A9="","",Management!A9)),"")</f>
        <v>2027Q2 Consensus EPS</v>
      </c>
      <c r="K65" s="47"/>
      <c r="L65" s="47"/>
      <c r="M65" s="47" t="str">
        <f>IF(Data!$H$2,IF($G$4="Stock",IF(Earnings!A9="","",TEXT(Earnings!C9,"$0.00")&amp;IF(ISNUMBER(Earnings!G9)," · Sales "&amp;TEXT(Earnings!G9,"$0.00,,,""B"""),"")),IF(Management!A9="","","Since "&amp;Management!B9)),"")</f>
        <v>$3.10 · Sales $17.84B</v>
      </c>
      <c r="N65" s="47"/>
      <c r="O65" s="47"/>
      <c r="P65" s="47"/>
      <c r="Q65" s="4"/>
    </row>
    <row r="66" spans="1:17" ht="21.95" customHeight="1">
      <c r="A66" s="3"/>
      <c r="B66" s="20" t="s">
        <v>16</v>
      </c>
      <c r="C66" s="20"/>
      <c r="D66" s="20" t="s">
        <v>17</v>
      </c>
      <c r="E66" s="20"/>
      <c r="F66" s="20" t="s">
        <v>18</v>
      </c>
      <c r="G66" s="20"/>
      <c r="H66" s="20"/>
      <c r="I66" s="3"/>
      <c r="J66" s="3"/>
      <c r="K66" s="3"/>
      <c r="L66" s="3"/>
      <c r="M66" s="3"/>
      <c r="N66" s="3"/>
      <c r="O66" s="3"/>
      <c r="P66" s="3"/>
      <c r="Q66" s="4"/>
    </row>
    <row r="67" spans="1:17" ht="21.95" customHeight="1">
      <c r="A67" s="3"/>
      <c r="B67" s="20">
        <f>IF(Data!$H$2,IF(Income!A2="","",Income!A2),"")</f>
        <v>46244</v>
      </c>
      <c r="C67" s="20"/>
      <c r="D67" s="51">
        <f>IF(Data!$H$2,IF(Income!A2="","",Income!B2),"")</f>
        <v>1.69</v>
      </c>
      <c r="E67" s="20"/>
      <c r="F67" s="20">
        <f>IF(Data!$H$2,IF(Income!A2="","",Income!C2),"")</f>
        <v>46275</v>
      </c>
      <c r="G67" s="20"/>
      <c r="H67" s="20"/>
      <c r="I67" s="3"/>
      <c r="J67" s="50" t="str">
        <f>IF($G$4="Stock","Analyst consensus: "&amp;IF(Data!$H$2,Data!$B$87,"Refresh required")&amp;" · mean target "&amp;IF(ISNUMBER(IF(Data!$H$2,Data!$B$83,"Refresh required")),TEXT(IF(Data!$H$2,Data!$B$83,"Refresh required"),"$0.00"),IF(Data!$H$2,Data!$B$83,"Refresh required"))&amp;" ("&amp;IF(ISNUMBER(IF(Data!$H$2,Data!$B$86,"Refresh required")),TEXT(IF(Data!$H$2,Data!$B$86,"Refresh required"),"0"),IF(Data!$H$2,Data!$B$86,"Refresh required"))&amp;" estimates)","Manager tenure dates are vendor-supplied. Biography details are on Management.")</f>
        <v>Analyst consensus: Overweight · mean target $240.52 (21 estimates)</v>
      </c>
      <c r="K67" s="50"/>
      <c r="L67" s="50"/>
      <c r="M67" s="50"/>
      <c r="N67" s="50"/>
      <c r="O67" s="50"/>
      <c r="P67" s="50"/>
      <c r="Q67" s="4"/>
    </row>
    <row r="68" spans="1:17" ht="21.95" customHeight="1">
      <c r="A68" s="3"/>
      <c r="B68" s="20">
        <f>IF(Data!$H$2,IF(Income!A3="","",Income!A3),"")</f>
        <v>46150</v>
      </c>
      <c r="C68" s="20"/>
      <c r="D68" s="51">
        <f>IF(Data!$H$2,IF(Income!A3="","",Income!B3),"")</f>
        <v>1.69</v>
      </c>
      <c r="E68" s="20"/>
      <c r="F68" s="20">
        <f>IF(Data!$H$2,IF(Income!A3="","",Income!C3),"")</f>
        <v>46183</v>
      </c>
      <c r="G68" s="20"/>
      <c r="H68" s="20"/>
      <c r="I68" s="3"/>
      <c r="J68" s="50"/>
      <c r="K68" s="50"/>
      <c r="L68" s="50"/>
      <c r="M68" s="50"/>
      <c r="N68" s="50"/>
      <c r="O68" s="50"/>
      <c r="P68" s="50"/>
      <c r="Q68" s="4"/>
    </row>
    <row r="69" spans="1:17" ht="21.95" customHeight="1">
      <c r="A69" s="3"/>
      <c r="B69" s="20">
        <f>IF(Data!$H$2,IF(Income!A4="","",Income!A4),"")</f>
        <v>46063</v>
      </c>
      <c r="C69" s="20"/>
      <c r="D69" s="51">
        <f>IF(Data!$H$2,IF(Income!A4="","",Income!B4),"")</f>
        <v>1.68</v>
      </c>
      <c r="E69" s="20"/>
      <c r="F69" s="20">
        <f>IF(Data!$H$2,IF(Income!A4="","",Income!C4),"")</f>
        <v>46091</v>
      </c>
      <c r="G69" s="20"/>
      <c r="H69" s="20"/>
      <c r="I69" s="3"/>
      <c r="J69" s="3"/>
      <c r="K69" s="3"/>
      <c r="L69" s="3"/>
      <c r="M69" s="3"/>
      <c r="N69" s="3"/>
      <c r="O69" s="3"/>
      <c r="P69" s="3"/>
      <c r="Q69" s="4"/>
    </row>
    <row r="70" spans="1:17" ht="21.95" customHeight="1">
      <c r="A70" s="3"/>
      <c r="B70" s="20">
        <f>IF(Data!$H$2,IF(Income!A5="","",Income!A5),"")</f>
        <v>45971</v>
      </c>
      <c r="C70" s="20"/>
      <c r="D70" s="51">
        <f>IF(Data!$H$2,IF(Income!A5="","",Income!B5),"")</f>
        <v>1.68</v>
      </c>
      <c r="E70" s="20"/>
      <c r="F70" s="20">
        <f>IF(Data!$H$2,IF(Income!A5="","",Income!C5),"")</f>
        <v>46001</v>
      </c>
      <c r="G70" s="20"/>
      <c r="H70" s="20"/>
      <c r="I70" s="3"/>
      <c r="J70" s="3"/>
      <c r="K70" s="3"/>
      <c r="L70" s="3"/>
      <c r="M70" s="3"/>
      <c r="N70" s="3"/>
      <c r="O70" s="3"/>
      <c r="P70" s="3"/>
      <c r="Q70" s="4"/>
    </row>
    <row r="71" spans="1:17" ht="27" customHeight="1">
      <c r="A71" s="3"/>
      <c r="B71" s="3"/>
      <c r="C71" s="3"/>
      <c r="D71" s="3"/>
      <c r="E71" s="3"/>
      <c r="F71" s="3"/>
      <c r="G71" s="3"/>
      <c r="H71" s="3"/>
      <c r="I71" s="3"/>
      <c r="J71" s="30" t="s">
        <v>19</v>
      </c>
      <c r="K71" s="30"/>
      <c r="L71" s="30"/>
      <c r="M71" s="30"/>
      <c r="N71" s="30"/>
      <c r="O71" s="30"/>
      <c r="P71" s="30"/>
      <c r="Q71" s="4"/>
    </row>
    <row r="72" spans="1:17" ht="21.95" customHeight="1">
      <c r="A72" s="3"/>
      <c r="B72" s="48" t="str">
        <f>"Declared and record dates are on Income. No future payment is inferred from past frequency."</f>
        <v>Declared and record dates are on Income. No future payment is inferred from past frequency.</v>
      </c>
      <c r="C72" s="48"/>
      <c r="D72" s="48"/>
      <c r="E72" s="48"/>
      <c r="F72" s="48"/>
      <c r="G72" s="48"/>
      <c r="H72" s="48"/>
      <c r="I72" s="3"/>
      <c r="J72" s="3"/>
      <c r="K72" s="3"/>
      <c r="L72" s="3"/>
      <c r="M72" s="3"/>
      <c r="N72" s="3"/>
      <c r="O72" s="3"/>
      <c r="P72" s="3"/>
      <c r="Q72" s="4"/>
    </row>
    <row r="73" spans="1:17" ht="21.95" customHeight="1">
      <c r="A73" s="3"/>
      <c r="B73" s="48"/>
      <c r="C73" s="48"/>
      <c r="D73" s="48"/>
      <c r="E73" s="48"/>
      <c r="F73" s="48"/>
      <c r="G73" s="48"/>
      <c r="H73" s="48"/>
      <c r="I73" s="3"/>
      <c r="J73" s="32" t="s">
        <v>20</v>
      </c>
      <c r="K73" s="32"/>
      <c r="L73" s="32"/>
      <c r="M73" s="32"/>
      <c r="N73" s="52" t="str">
        <f>IF(Data!$H$2,Data!$B$101,"Refresh required")</f>
        <v>Not verified / licensed feed required</v>
      </c>
      <c r="O73" s="52"/>
      <c r="P73" s="52"/>
      <c r="Q73" s="4"/>
    </row>
    <row r="74" spans="1:17" ht="21.95" customHeight="1">
      <c r="A74" s="3"/>
      <c r="B74" s="3"/>
      <c r="C74" s="3"/>
      <c r="D74" s="3"/>
      <c r="E74" s="3"/>
      <c r="F74" s="3"/>
      <c r="G74" s="3"/>
      <c r="H74" s="3"/>
      <c r="I74" s="3"/>
      <c r="J74" s="3"/>
      <c r="K74" s="3"/>
      <c r="L74" s="3"/>
      <c r="M74" s="3"/>
      <c r="N74" s="52"/>
      <c r="O74" s="52"/>
      <c r="P74" s="52"/>
      <c r="Q74" s="4"/>
    </row>
    <row r="75" spans="1:17" ht="21.95" customHeight="1">
      <c r="A75" s="3"/>
      <c r="B75" s="3"/>
      <c r="C75" s="3"/>
      <c r="D75" s="3"/>
      <c r="E75" s="3"/>
      <c r="F75" s="3"/>
      <c r="G75" s="3"/>
      <c r="H75" s="3"/>
      <c r="I75" s="3"/>
      <c r="J75" s="3"/>
      <c r="K75" s="3"/>
      <c r="L75" s="3"/>
      <c r="M75" s="3"/>
      <c r="N75" s="3"/>
      <c r="O75" s="3"/>
      <c r="P75" s="3"/>
      <c r="Q75" s="4"/>
    </row>
    <row r="76" spans="1:17" ht="21.95" customHeight="1">
      <c r="A76" s="3"/>
      <c r="B76" s="3"/>
      <c r="C76" s="3"/>
      <c r="D76" s="3"/>
      <c r="E76" s="3"/>
      <c r="F76" s="3"/>
      <c r="G76" s="3"/>
      <c r="H76" s="3"/>
      <c r="I76" s="3"/>
      <c r="J76" s="32" t="s">
        <v>21</v>
      </c>
      <c r="K76" s="32"/>
      <c r="L76" s="32"/>
      <c r="M76" s="32"/>
      <c r="N76" s="52" t="str">
        <f>IF(Data!$H$2,Data!$B$102,"Refresh required")</f>
        <v>Not verified / licensed feed required</v>
      </c>
      <c r="O76" s="52"/>
      <c r="P76" s="52"/>
      <c r="Q76" s="4"/>
    </row>
    <row r="77" spans="1:17" ht="21.95" customHeight="1">
      <c r="A77" s="3"/>
      <c r="B77" s="3"/>
      <c r="C77" s="3"/>
      <c r="D77" s="3"/>
      <c r="E77" s="3"/>
      <c r="F77" s="3"/>
      <c r="G77" s="3"/>
      <c r="H77" s="3"/>
      <c r="I77" s="3"/>
      <c r="J77" s="3"/>
      <c r="K77" s="3"/>
      <c r="L77" s="3"/>
      <c r="M77" s="3"/>
      <c r="N77" s="52"/>
      <c r="O77" s="52"/>
      <c r="P77" s="52"/>
      <c r="Q77" s="4"/>
    </row>
    <row r="78" spans="1:17" ht="21.95" customHeight="1">
      <c r="A78" s="3"/>
      <c r="B78" s="3"/>
      <c r="C78" s="3"/>
      <c r="D78" s="3"/>
      <c r="E78" s="3"/>
      <c r="F78" s="3"/>
      <c r="G78" s="3"/>
      <c r="H78" s="3"/>
      <c r="I78" s="3"/>
      <c r="J78" s="3"/>
      <c r="K78" s="3"/>
      <c r="L78" s="3"/>
      <c r="M78" s="3"/>
      <c r="N78" s="3"/>
      <c r="O78" s="3"/>
      <c r="P78" s="3"/>
      <c r="Q78" s="4"/>
    </row>
    <row r="79" spans="1:17" ht="27" customHeight="1">
      <c r="A79" s="3"/>
      <c r="B79" s="30" t="s">
        <v>22</v>
      </c>
      <c r="C79" s="30"/>
      <c r="D79" s="30"/>
      <c r="E79" s="30"/>
      <c r="F79" s="30"/>
      <c r="G79" s="30"/>
      <c r="H79" s="30"/>
      <c r="I79" s="30"/>
      <c r="J79" s="30"/>
      <c r="K79" s="30"/>
      <c r="L79" s="30"/>
      <c r="M79" s="30"/>
      <c r="N79" s="30"/>
      <c r="O79" s="30"/>
      <c r="P79" s="30"/>
      <c r="Q79" s="4"/>
    </row>
    <row r="80" spans="1:17" ht="21.95" customHeight="1">
      <c r="A80" s="3"/>
      <c r="B80" s="3"/>
      <c r="C80" s="3"/>
      <c r="D80" s="3"/>
      <c r="E80" s="3"/>
      <c r="F80" s="3"/>
      <c r="G80" s="3"/>
      <c r="H80" s="3"/>
      <c r="I80" s="3"/>
      <c r="J80" s="3"/>
      <c r="K80" s="3"/>
      <c r="L80" s="3"/>
      <c r="M80" s="3"/>
      <c r="N80" s="3"/>
      <c r="O80" s="3"/>
      <c r="P80" s="3"/>
      <c r="Q80" s="4"/>
    </row>
    <row r="81" spans="1:17" ht="21.95" customHeight="1">
      <c r="A81" s="3"/>
      <c r="B81" s="55" t="str">
        <f>IF($G$4="Stock",LEFT(IF(Data!$H$2,Data!$B$36,"Refresh required"),IFERROR(SEARCH(". It ",IF(Data!$H$2,Data!$B$36,"Refresh required"))+1,IFERROR(SEARCH(". The company",IF(Data!$H$2,Data!$B$36,"Refresh required"))+1,500))),LEFT(IF(Data!$H$2,Data!$B$36,"Refresh required"),1100))</f>
        <v xml:space="preserve">International Business Machines Corp. is an information technology company, which engages in the provision of integrated solutions that leverage information technology and knowledge of business processes. </v>
      </c>
      <c r="C81" s="55"/>
      <c r="D81" s="55"/>
      <c r="E81" s="55"/>
      <c r="F81" s="55"/>
      <c r="G81" s="55"/>
      <c r="H81" s="55"/>
      <c r="I81" s="55"/>
      <c r="J81" s="55"/>
      <c r="K81" s="55"/>
      <c r="L81" s="55"/>
      <c r="M81" s="55"/>
      <c r="N81" s="55"/>
      <c r="O81" s="55"/>
      <c r="P81" s="55"/>
      <c r="Q81" s="4"/>
    </row>
    <row r="82" spans="1:17" ht="21.95" customHeight="1">
      <c r="A82" s="3"/>
      <c r="B82" s="55"/>
      <c r="C82" s="55"/>
      <c r="D82" s="55"/>
      <c r="E82" s="55"/>
      <c r="F82" s="55"/>
      <c r="G82" s="55"/>
      <c r="H82" s="55"/>
      <c r="I82" s="55"/>
      <c r="J82" s="55"/>
      <c r="K82" s="55"/>
      <c r="L82" s="55"/>
      <c r="M82" s="55"/>
      <c r="N82" s="55"/>
      <c r="O82" s="55"/>
      <c r="P82" s="55"/>
      <c r="Q82" s="4"/>
    </row>
    <row r="83" spans="1:17" ht="21.95" customHeight="1">
      <c r="A83" s="3"/>
      <c r="B83" s="55"/>
      <c r="C83" s="55"/>
      <c r="D83" s="55"/>
      <c r="E83" s="55"/>
      <c r="F83" s="55"/>
      <c r="G83" s="55"/>
      <c r="H83" s="55"/>
      <c r="I83" s="55"/>
      <c r="J83" s="55"/>
      <c r="K83" s="55"/>
      <c r="L83" s="55"/>
      <c r="M83" s="55"/>
      <c r="N83" s="55"/>
      <c r="O83" s="55"/>
      <c r="P83" s="55"/>
      <c r="Q83" s="4"/>
    </row>
    <row r="84" spans="1:17" ht="21.95" customHeight="1">
      <c r="A84" s="3"/>
      <c r="B84" s="55"/>
      <c r="C84" s="55"/>
      <c r="D84" s="55"/>
      <c r="E84" s="55"/>
      <c r="F84" s="55"/>
      <c r="G84" s="55"/>
      <c r="H84" s="55"/>
      <c r="I84" s="55"/>
      <c r="J84" s="55"/>
      <c r="K84" s="55"/>
      <c r="L84" s="55"/>
      <c r="M84" s="55"/>
      <c r="N84" s="55"/>
      <c r="O84" s="55"/>
      <c r="P84" s="55"/>
      <c r="Q84" s="4"/>
    </row>
    <row r="85" spans="1:17" ht="21.95" customHeight="1">
      <c r="A85" s="3"/>
      <c r="B85" s="55"/>
      <c r="C85" s="55"/>
      <c r="D85" s="55"/>
      <c r="E85" s="55"/>
      <c r="F85" s="55"/>
      <c r="G85" s="55"/>
      <c r="H85" s="55"/>
      <c r="I85" s="55"/>
      <c r="J85" s="55"/>
      <c r="K85" s="55"/>
      <c r="L85" s="55"/>
      <c r="M85" s="55"/>
      <c r="N85" s="55"/>
      <c r="O85" s="55"/>
      <c r="P85" s="55"/>
      <c r="Q85" s="4"/>
    </row>
    <row r="86" spans="1:17" ht="21.95" customHeight="1">
      <c r="A86" s="3"/>
      <c r="B86" s="55"/>
      <c r="C86" s="55"/>
      <c r="D86" s="55"/>
      <c r="E86" s="55"/>
      <c r="F86" s="55"/>
      <c r="G86" s="55"/>
      <c r="H86" s="55"/>
      <c r="I86" s="55"/>
      <c r="J86" s="55"/>
      <c r="K86" s="55"/>
      <c r="L86" s="55"/>
      <c r="M86" s="55"/>
      <c r="N86" s="55"/>
      <c r="O86" s="55"/>
      <c r="P86" s="55"/>
      <c r="Q86" s="4"/>
    </row>
    <row r="87" spans="1:17" ht="21.95" customHeight="1">
      <c r="A87" s="3"/>
      <c r="B87" s="3"/>
      <c r="C87" s="3"/>
      <c r="D87" s="3"/>
      <c r="E87" s="3"/>
      <c r="F87" s="3"/>
      <c r="G87" s="3"/>
      <c r="H87" s="3"/>
      <c r="I87" s="3"/>
      <c r="J87" s="3"/>
      <c r="K87" s="3"/>
      <c r="L87" s="3"/>
      <c r="M87" s="3"/>
      <c r="N87" s="3"/>
      <c r="O87" s="3"/>
      <c r="P87" s="3"/>
      <c r="Q87" s="4"/>
    </row>
    <row r="88" spans="1:17" ht="21.95" customHeight="1">
      <c r="A88" s="3"/>
      <c r="B88" s="50" t="str">
        <f>IF($G$4="Stock","CEO: "&amp;IF(Data!$H$2,Data!$B$37,"Refresh required")&amp;" · Employees: "&amp;IF(ISNUMBER(IF(Data!$H$2,Data!$B$38,"Refresh required")),TEXT(IF(Data!$H$2,Data!$B$38,"Refresh required"),"#,##0"),IF(Data!$H$2,Data!$B$38,"Refresh required")),"Strategy: "&amp;LEFT(IF(Data!$H$2,Data!$B$54,"Refresh required"),450))</f>
        <v>CEO: Arvind Krishna, PhD · Employees: 286,800</v>
      </c>
      <c r="C88" s="50"/>
      <c r="D88" s="50"/>
      <c r="E88" s="50"/>
      <c r="F88" s="50"/>
      <c r="G88" s="50"/>
      <c r="H88" s="50"/>
      <c r="I88" s="50"/>
      <c r="J88" s="50"/>
      <c r="K88" s="50"/>
      <c r="L88" s="50"/>
      <c r="M88" s="50"/>
      <c r="N88" s="50"/>
      <c r="O88" s="50"/>
      <c r="P88" s="50"/>
      <c r="Q88" s="4"/>
    </row>
    <row r="89" spans="1:17" ht="21.95" customHeight="1">
      <c r="A89" s="3"/>
      <c r="B89" s="50"/>
      <c r="C89" s="50"/>
      <c r="D89" s="50"/>
      <c r="E89" s="50"/>
      <c r="F89" s="50"/>
      <c r="G89" s="50"/>
      <c r="H89" s="50"/>
      <c r="I89" s="50"/>
      <c r="J89" s="50"/>
      <c r="K89" s="50"/>
      <c r="L89" s="50"/>
      <c r="M89" s="50"/>
      <c r="N89" s="50"/>
      <c r="O89" s="50"/>
      <c r="P89" s="50"/>
      <c r="Q89" s="4"/>
    </row>
    <row r="90" spans="1:17" ht="21.95" customHeight="1">
      <c r="A90" s="3"/>
      <c r="B90" s="3"/>
      <c r="C90" s="3"/>
      <c r="D90" s="3"/>
      <c r="E90" s="3"/>
      <c r="F90" s="3"/>
      <c r="G90" s="3"/>
      <c r="H90" s="3"/>
      <c r="I90" s="3"/>
      <c r="J90" s="3"/>
      <c r="K90" s="3"/>
      <c r="L90" s="3"/>
      <c r="M90" s="3"/>
      <c r="N90" s="3"/>
      <c r="O90" s="3"/>
      <c r="P90" s="3"/>
      <c r="Q90" s="4"/>
    </row>
    <row r="91" spans="1:17" ht="27" customHeight="1">
      <c r="A91" s="3"/>
      <c r="B91" s="30" t="s">
        <v>23</v>
      </c>
      <c r="C91" s="30"/>
      <c r="D91" s="30"/>
      <c r="E91" s="30"/>
      <c r="F91" s="30"/>
      <c r="G91" s="30"/>
      <c r="H91" s="30"/>
      <c r="I91" s="30"/>
      <c r="J91" s="30"/>
      <c r="K91" s="30"/>
      <c r="L91" s="30"/>
      <c r="M91" s="30"/>
      <c r="N91" s="30"/>
      <c r="O91" s="30"/>
      <c r="P91" s="30"/>
      <c r="Q91" s="4"/>
    </row>
    <row r="92" spans="1:17" ht="21.95" customHeight="1">
      <c r="A92" s="3"/>
      <c r="B92" s="3"/>
      <c r="C92" s="3"/>
      <c r="D92" s="3"/>
      <c r="E92" s="3"/>
      <c r="F92" s="3"/>
      <c r="G92" s="3"/>
      <c r="H92" s="3"/>
      <c r="I92" s="3"/>
      <c r="J92" s="3"/>
      <c r="K92" s="3"/>
      <c r="L92" s="3"/>
      <c r="M92" s="3"/>
      <c r="N92" s="3"/>
      <c r="O92" s="3"/>
      <c r="P92" s="3"/>
      <c r="Q92" s="4"/>
    </row>
    <row r="93" spans="1:17" ht="21.95" customHeight="1">
      <c r="A93" s="3"/>
      <c r="B93" s="23" t="str">
        <f>IF(Data!$H$2,IF(News!A2="",IF(0=0,"No headlines returned. See Requests for coverage status.",""),News!A2),"")</f>
        <v>Wall Street's Most Accurate Analysts Give Their Take On 3 Tech Stocks Delivering High-Dividend Yields</v>
      </c>
      <c r="C93" s="23"/>
      <c r="D93" s="23"/>
      <c r="E93" s="23"/>
      <c r="F93" s="23"/>
      <c r="G93" s="23"/>
      <c r="H93" s="23"/>
      <c r="I93" s="23"/>
      <c r="J93" s="23"/>
      <c r="K93" s="23"/>
      <c r="L93" s="23"/>
      <c r="M93" s="23"/>
      <c r="N93" s="23"/>
      <c r="O93" s="23"/>
      <c r="P93" s="23"/>
      <c r="Q93" s="4"/>
    </row>
    <row r="94" spans="1:17" ht="21.95" customHeight="1">
      <c r="A94" s="3"/>
      <c r="B94" s="23"/>
      <c r="C94" s="23"/>
      <c r="D94" s="23"/>
      <c r="E94" s="23"/>
      <c r="F94" s="23"/>
      <c r="G94" s="23"/>
      <c r="H94" s="23"/>
      <c r="I94" s="23"/>
      <c r="J94" s="23"/>
      <c r="K94" s="23"/>
      <c r="L94" s="23"/>
      <c r="M94" s="23"/>
      <c r="N94" s="23"/>
      <c r="O94" s="23"/>
      <c r="P94" s="23"/>
      <c r="Q94" s="4"/>
    </row>
    <row r="95" spans="1:17" ht="21.95" customHeight="1">
      <c r="A95" s="3"/>
      <c r="B95" s="23" t="str">
        <f>IF(Data!$H$2,IF(News!A3="",IF(1=0,"No headlines returned. See Requests for coverage status.",""),News!A3),"")</f>
        <v>Analysts Offer Insights on Technology Companies: TSMC (TSM), Manhattan Associates (MANH) and International Business Machines (IBM)</v>
      </c>
      <c r="C95" s="23"/>
      <c r="D95" s="23"/>
      <c r="E95" s="23"/>
      <c r="F95" s="23"/>
      <c r="G95" s="23"/>
      <c r="H95" s="23"/>
      <c r="I95" s="23"/>
      <c r="J95" s="23"/>
      <c r="K95" s="23"/>
      <c r="L95" s="23"/>
      <c r="M95" s="23"/>
      <c r="N95" s="23"/>
      <c r="O95" s="23"/>
      <c r="P95" s="23"/>
      <c r="Q95" s="4"/>
    </row>
    <row r="96" spans="1:17" ht="21.95" customHeight="1">
      <c r="A96" s="3"/>
      <c r="B96" s="23"/>
      <c r="C96" s="23"/>
      <c r="D96" s="23"/>
      <c r="E96" s="23"/>
      <c r="F96" s="23"/>
      <c r="G96" s="23"/>
      <c r="H96" s="23"/>
      <c r="I96" s="23"/>
      <c r="J96" s="23"/>
      <c r="K96" s="23"/>
      <c r="L96" s="23"/>
      <c r="M96" s="23"/>
      <c r="N96" s="23"/>
      <c r="O96" s="23"/>
      <c r="P96" s="23"/>
      <c r="Q96" s="4"/>
    </row>
    <row r="97" spans="1:17" ht="21.95" customHeight="1">
      <c r="A97" s="3"/>
      <c r="B97" s="23" t="str">
        <f>IF(Data!$H$2,IF(News!A4="",IF(2=0,"No headlines returned. See Requests for coverage status.",""),News!A4),"")</f>
        <v>Celebrating the brilliant pragmatism of TCP/IP, the wiring of the world</v>
      </c>
      <c r="C97" s="23"/>
      <c r="D97" s="23"/>
      <c r="E97" s="23"/>
      <c r="F97" s="23"/>
      <c r="G97" s="23"/>
      <c r="H97" s="23"/>
      <c r="I97" s="23"/>
      <c r="J97" s="23"/>
      <c r="K97" s="23"/>
      <c r="L97" s="23"/>
      <c r="M97" s="23"/>
      <c r="N97" s="23"/>
      <c r="O97" s="23"/>
      <c r="P97" s="23"/>
      <c r="Q97" s="4"/>
    </row>
    <row r="98" spans="1:17" ht="21.95" customHeight="1">
      <c r="A98" s="3"/>
      <c r="B98" s="23"/>
      <c r="C98" s="23"/>
      <c r="D98" s="23"/>
      <c r="E98" s="23"/>
      <c r="F98" s="23"/>
      <c r="G98" s="23"/>
      <c r="H98" s="23"/>
      <c r="I98" s="23"/>
      <c r="J98" s="23"/>
      <c r="K98" s="23"/>
      <c r="L98" s="23"/>
      <c r="M98" s="23"/>
      <c r="N98" s="23"/>
      <c r="O98" s="23"/>
      <c r="P98" s="23"/>
      <c r="Q98" s="4"/>
    </row>
    <row r="99" spans="1:17" ht="21.95" customHeight="1">
      <c r="A99" s="3"/>
      <c r="B99" s="23" t="str">
        <f>IF(Data!$H$2,IF(News!A5="",IF(3=0,"No headlines returned. See Requests for coverage status.",""),News!A5),"")</f>
        <v>Did CMO Hire Just Shift Salesforce's (CRM) Investment Narrative?</v>
      </c>
      <c r="C99" s="23"/>
      <c r="D99" s="23"/>
      <c r="E99" s="23"/>
      <c r="F99" s="23"/>
      <c r="G99" s="23"/>
      <c r="H99" s="23"/>
      <c r="I99" s="23"/>
      <c r="J99" s="23"/>
      <c r="K99" s="23"/>
      <c r="L99" s="23"/>
      <c r="M99" s="23"/>
      <c r="N99" s="23"/>
      <c r="O99" s="23"/>
      <c r="P99" s="23"/>
      <c r="Q99" s="4"/>
    </row>
    <row r="100" spans="1:17" ht="21.95" customHeight="1">
      <c r="A100" s="3"/>
      <c r="B100" s="23"/>
      <c r="C100" s="23"/>
      <c r="D100" s="23"/>
      <c r="E100" s="23"/>
      <c r="F100" s="23"/>
      <c r="G100" s="23"/>
      <c r="H100" s="23"/>
      <c r="I100" s="23"/>
      <c r="J100" s="23"/>
      <c r="K100" s="23"/>
      <c r="L100" s="23"/>
      <c r="M100" s="23"/>
      <c r="N100" s="23"/>
      <c r="O100" s="23"/>
      <c r="P100" s="23"/>
      <c r="Q100" s="4"/>
    </row>
    <row r="101" spans="1:17" ht="21.95" customHeight="1">
      <c r="A101" s="3"/>
      <c r="B101" s="23" t="str">
        <f>IF(Data!$H$2,IF(News!A6="",IF(4=0,"No headlines returned. See Requests for coverage status.",""),News!A6),"")</f>
        <v>AI Giants Drop NDAs in Data Center Talks as Backlash Threatens Buildout</v>
      </c>
      <c r="C101" s="23"/>
      <c r="D101" s="23"/>
      <c r="E101" s="23"/>
      <c r="F101" s="23"/>
      <c r="G101" s="23"/>
      <c r="H101" s="23"/>
      <c r="I101" s="23"/>
      <c r="J101" s="23"/>
      <c r="K101" s="23"/>
      <c r="L101" s="23"/>
      <c r="M101" s="23"/>
      <c r="N101" s="23"/>
      <c r="O101" s="23"/>
      <c r="P101" s="23"/>
      <c r="Q101" s="4"/>
    </row>
    <row r="102" spans="1:17" ht="21.95" customHeight="1">
      <c r="A102" s="3"/>
      <c r="B102" s="23"/>
      <c r="C102" s="23"/>
      <c r="D102" s="23"/>
      <c r="E102" s="23"/>
      <c r="F102" s="23"/>
      <c r="G102" s="23"/>
      <c r="H102" s="23"/>
      <c r="I102" s="23"/>
      <c r="J102" s="23"/>
      <c r="K102" s="23"/>
      <c r="L102" s="23"/>
      <c r="M102" s="23"/>
      <c r="N102" s="23"/>
      <c r="O102" s="23"/>
      <c r="P102" s="23"/>
      <c r="Q102" s="4"/>
    </row>
    <row r="103" spans="1:17" ht="21.95" customHeight="1">
      <c r="A103" s="3"/>
      <c r="B103" s="3"/>
      <c r="C103" s="3"/>
      <c r="D103" s="3"/>
      <c r="E103" s="3"/>
      <c r="F103" s="3"/>
      <c r="G103" s="3"/>
      <c r="H103" s="3"/>
      <c r="I103" s="3"/>
      <c r="J103" s="3"/>
      <c r="K103" s="3"/>
      <c r="L103" s="3"/>
      <c r="M103" s="3"/>
      <c r="N103" s="3"/>
      <c r="O103" s="3"/>
      <c r="P103" s="3"/>
      <c r="Q103" s="4"/>
    </row>
    <row r="104" spans="1:17" ht="27" customHeight="1">
      <c r="A104" s="3"/>
      <c r="B104" s="30" t="s">
        <v>24</v>
      </c>
      <c r="C104" s="30"/>
      <c r="D104" s="30"/>
      <c r="E104" s="30"/>
      <c r="F104" s="30"/>
      <c r="G104" s="30"/>
      <c r="H104" s="30"/>
      <c r="I104" s="30"/>
      <c r="J104" s="30"/>
      <c r="K104" s="30"/>
      <c r="L104" s="30"/>
      <c r="M104" s="30"/>
      <c r="N104" s="30"/>
      <c r="O104" s="30"/>
      <c r="P104" s="30"/>
      <c r="Q104" s="4"/>
    </row>
    <row r="105" spans="1:17" ht="21.95" customHeight="1">
      <c r="A105" s="3"/>
      <c r="B105" s="3"/>
      <c r="C105" s="3"/>
      <c r="D105" s="3"/>
      <c r="E105" s="3"/>
      <c r="F105" s="3"/>
      <c r="G105" s="3"/>
      <c r="H105" s="3"/>
      <c r="I105" s="3"/>
      <c r="J105" s="3"/>
      <c r="K105" s="3"/>
      <c r="L105" s="3"/>
      <c r="M105" s="3"/>
      <c r="N105" s="3"/>
      <c r="O105" s="3"/>
      <c r="P105" s="3"/>
      <c r="Q105" s="4"/>
    </row>
    <row r="106" spans="1:17" ht="21.95" customHeight="1">
      <c r="A106" s="3"/>
      <c r="B106" s="53" t="str">
        <f>IF(Data!$H$2,Data!$B$95,"Refresh required")</f>
        <v xml:space="preserve">Volume date 46307 differs from quote date 46304. </v>
      </c>
      <c r="C106" s="53"/>
      <c r="D106" s="53"/>
      <c r="E106" s="53"/>
      <c r="F106" s="53"/>
      <c r="G106" s="53"/>
      <c r="H106" s="53"/>
      <c r="I106" s="53"/>
      <c r="J106" s="53"/>
      <c r="K106" s="53"/>
      <c r="L106" s="53"/>
      <c r="M106" s="53"/>
      <c r="N106" s="53"/>
      <c r="O106" s="53"/>
      <c r="P106" s="53"/>
      <c r="Q106" s="4"/>
    </row>
    <row r="107" spans="1:17" ht="21.95" customHeight="1">
      <c r="A107" s="3"/>
      <c r="B107" s="53"/>
      <c r="C107" s="53"/>
      <c r="D107" s="53"/>
      <c r="E107" s="53"/>
      <c r="F107" s="53"/>
      <c r="G107" s="53"/>
      <c r="H107" s="53"/>
      <c r="I107" s="53"/>
      <c r="J107" s="53"/>
      <c r="K107" s="53"/>
      <c r="L107" s="53"/>
      <c r="M107" s="53"/>
      <c r="N107" s="53"/>
      <c r="O107" s="53"/>
      <c r="P107" s="53"/>
      <c r="Q107" s="4"/>
    </row>
    <row r="108" spans="1:17" ht="21.95" customHeight="1">
      <c r="A108" s="3"/>
      <c r="B108" s="53"/>
      <c r="C108" s="53"/>
      <c r="D108" s="53"/>
      <c r="E108" s="53"/>
      <c r="F108" s="53"/>
      <c r="G108" s="53"/>
      <c r="H108" s="53"/>
      <c r="I108" s="53"/>
      <c r="J108" s="53"/>
      <c r="K108" s="53"/>
      <c r="L108" s="53"/>
      <c r="M108" s="53"/>
      <c r="N108" s="53"/>
      <c r="O108" s="53"/>
      <c r="P108" s="53"/>
      <c r="Q108" s="4"/>
    </row>
    <row r="109" spans="1:17" ht="21.95" customHeight="1">
      <c r="A109" s="3"/>
      <c r="B109" s="53"/>
      <c r="C109" s="53"/>
      <c r="D109" s="53"/>
      <c r="E109" s="53"/>
      <c r="F109" s="53"/>
      <c r="G109" s="53"/>
      <c r="H109" s="53"/>
      <c r="I109" s="53"/>
      <c r="J109" s="53"/>
      <c r="K109" s="53"/>
      <c r="L109" s="53"/>
      <c r="M109" s="53"/>
      <c r="N109" s="53"/>
      <c r="O109" s="53"/>
      <c r="P109" s="53"/>
      <c r="Q109" s="4"/>
    </row>
    <row r="110" spans="1:17" ht="21.95" customHeight="1">
      <c r="A110" s="3"/>
      <c r="B110" s="3"/>
      <c r="C110" s="3"/>
      <c r="D110" s="3"/>
      <c r="E110" s="3"/>
      <c r="F110" s="3"/>
      <c r="G110" s="3"/>
      <c r="H110" s="3"/>
      <c r="I110" s="3"/>
      <c r="J110" s="3"/>
      <c r="K110" s="3"/>
      <c r="L110" s="3"/>
      <c r="M110" s="3"/>
      <c r="N110" s="3"/>
      <c r="O110" s="3"/>
      <c r="P110" s="3"/>
      <c r="Q110" s="4"/>
    </row>
    <row r="111" spans="1:17" ht="21.95" customHeight="1">
      <c r="A111" s="3"/>
      <c r="B111" s="48" t="str">
        <f>"Retrieved: "&amp;IF(ISNUMBER(IF(Data!$H$2,Data!$B$90,"Refresh required")),TEXT(IF(Data!$H$2,Data!$B$90,"Refresh required"),"yyyy-mm-dd hh:mm:ss"),IF(Data!$H$2,Data!$B$90,"Refresh required"))&amp;" "&amp;Data!$C$90&amp;". Source observations may be older than retrieval."</f>
        <v>Retrieved: 2026-10-12 08:28:14 computer local time. Source observations may be older than retrieval.</v>
      </c>
      <c r="C111" s="48"/>
      <c r="D111" s="48"/>
      <c r="E111" s="48"/>
      <c r="F111" s="48"/>
      <c r="G111" s="48"/>
      <c r="H111" s="48"/>
      <c r="I111" s="48"/>
      <c r="J111" s="48"/>
      <c r="K111" s="48"/>
      <c r="L111" s="48"/>
      <c r="M111" s="48"/>
      <c r="N111" s="48"/>
      <c r="O111" s="48"/>
      <c r="P111" s="48"/>
      <c r="Q111" s="4"/>
    </row>
    <row r="112" spans="1:17">
      <c r="A112" s="2"/>
      <c r="B112" s="54"/>
      <c r="C112" s="54"/>
      <c r="D112" s="54"/>
      <c r="E112" s="54"/>
      <c r="F112" s="54"/>
      <c r="G112" s="54"/>
      <c r="H112" s="54"/>
      <c r="I112" s="54"/>
      <c r="J112" s="54"/>
      <c r="K112" s="54"/>
      <c r="L112" s="54"/>
      <c r="M112" s="54"/>
      <c r="N112" s="54"/>
      <c r="O112" s="54"/>
      <c r="P112" s="54"/>
    </row>
    <row r="113" spans="1:16">
      <c r="A113" s="2"/>
      <c r="B113" s="2"/>
      <c r="C113" s="2"/>
      <c r="D113" s="2"/>
      <c r="E113" s="2"/>
      <c r="F113" s="2"/>
      <c r="G113" s="2"/>
      <c r="H113" s="2"/>
      <c r="I113" s="2"/>
      <c r="J113" s="2"/>
      <c r="K113" s="2"/>
      <c r="L113" s="2"/>
      <c r="M113" s="2"/>
      <c r="N113" s="2"/>
      <c r="O113" s="2"/>
      <c r="P113" s="2"/>
    </row>
    <row r="114" spans="1:16">
      <c r="A114" s="2"/>
      <c r="B114" s="2"/>
      <c r="C114" s="2"/>
      <c r="D114" s="2"/>
      <c r="E114" s="2"/>
      <c r="F114" s="2"/>
      <c r="G114" s="2"/>
      <c r="H114" s="2"/>
      <c r="I114" s="2"/>
      <c r="J114" s="2"/>
      <c r="K114" s="2"/>
      <c r="L114" s="2"/>
      <c r="M114" s="2"/>
      <c r="N114" s="2"/>
      <c r="O114" s="2"/>
      <c r="P114" s="2"/>
    </row>
    <row r="115" spans="1:16">
      <c r="A115" s="2"/>
      <c r="B115" s="2"/>
      <c r="C115" s="2"/>
      <c r="D115" s="2"/>
      <c r="E115" s="2"/>
      <c r="F115" s="2"/>
      <c r="G115" s="2"/>
      <c r="H115" s="2"/>
      <c r="I115" s="2"/>
      <c r="J115" s="2"/>
      <c r="K115" s="2"/>
      <c r="L115" s="2"/>
      <c r="M115" s="2"/>
      <c r="N115" s="2"/>
      <c r="O115" s="2"/>
      <c r="P115" s="2"/>
    </row>
    <row r="116" spans="1:16">
      <c r="A116" s="2"/>
      <c r="B116" s="2"/>
      <c r="C116" s="2"/>
      <c r="D116" s="2"/>
      <c r="E116" s="2"/>
      <c r="F116" s="2"/>
      <c r="G116" s="2"/>
      <c r="H116" s="2"/>
      <c r="I116" s="2"/>
      <c r="J116" s="2"/>
      <c r="K116" s="2"/>
      <c r="L116" s="2"/>
      <c r="M116" s="2"/>
      <c r="N116" s="2"/>
      <c r="O116" s="2"/>
      <c r="P116" s="2"/>
    </row>
    <row r="117" spans="1:16">
      <c r="A117" s="2"/>
      <c r="B117" s="2"/>
      <c r="C117" s="2"/>
      <c r="D117" s="2"/>
      <c r="E117" s="2"/>
      <c r="F117" s="2"/>
      <c r="G117" s="2"/>
      <c r="H117" s="2"/>
      <c r="I117" s="2"/>
      <c r="J117" s="2"/>
      <c r="K117" s="2"/>
      <c r="L117" s="2"/>
      <c r="M117" s="2"/>
      <c r="N117" s="2"/>
      <c r="O117" s="2"/>
      <c r="P117" s="2"/>
    </row>
    <row r="118" spans="1:16">
      <c r="A118" s="2"/>
      <c r="B118" s="2"/>
      <c r="C118" s="2"/>
      <c r="D118" s="2"/>
      <c r="E118" s="2"/>
      <c r="F118" s="2"/>
      <c r="G118" s="2"/>
      <c r="H118" s="2"/>
      <c r="I118" s="2"/>
      <c r="J118" s="2"/>
      <c r="K118" s="2"/>
      <c r="L118" s="2"/>
      <c r="M118" s="2"/>
      <c r="N118" s="2"/>
      <c r="O118" s="2"/>
      <c r="P118" s="2"/>
    </row>
    <row r="119" spans="1:16">
      <c r="A119" s="2"/>
      <c r="B119" s="2"/>
      <c r="C119" s="2"/>
      <c r="D119" s="2"/>
      <c r="E119" s="2"/>
      <c r="F119" s="2"/>
      <c r="G119" s="2"/>
      <c r="H119" s="2"/>
      <c r="I119" s="2"/>
      <c r="J119" s="2"/>
      <c r="K119" s="2"/>
      <c r="L119" s="2"/>
      <c r="M119" s="2"/>
      <c r="N119" s="2"/>
      <c r="O119" s="2"/>
      <c r="P119" s="2"/>
    </row>
    <row r="120" spans="1:16">
      <c r="A120" s="2"/>
      <c r="B120" s="2"/>
      <c r="C120" s="2"/>
      <c r="D120" s="2"/>
      <c r="E120" s="2"/>
      <c r="F120" s="2"/>
      <c r="G120" s="2"/>
      <c r="H120" s="2"/>
      <c r="I120" s="2"/>
      <c r="J120" s="2"/>
      <c r="K120" s="2"/>
      <c r="L120" s="2"/>
      <c r="M120" s="2"/>
      <c r="N120" s="2"/>
      <c r="O120" s="2"/>
      <c r="P120" s="2"/>
    </row>
  </sheetData>
  <mergeCells count="166">
    <mergeCell ref="B106:P109"/>
    <mergeCell ref="B111:P112"/>
    <mergeCell ref="B95:P96"/>
    <mergeCell ref="B97:P98"/>
    <mergeCell ref="B99:P100"/>
    <mergeCell ref="B101:P102"/>
    <mergeCell ref="B104:P104"/>
    <mergeCell ref="B79:P79"/>
    <mergeCell ref="B81:P86"/>
    <mergeCell ref="B88:P89"/>
    <mergeCell ref="B91:P91"/>
    <mergeCell ref="B93:P94"/>
    <mergeCell ref="B72:H73"/>
    <mergeCell ref="J71:P71"/>
    <mergeCell ref="J73:M73"/>
    <mergeCell ref="N73:P74"/>
    <mergeCell ref="J76:M76"/>
    <mergeCell ref="N76:P77"/>
    <mergeCell ref="B69:C69"/>
    <mergeCell ref="D69:E69"/>
    <mergeCell ref="F69:H69"/>
    <mergeCell ref="B70:C70"/>
    <mergeCell ref="D70:E70"/>
    <mergeCell ref="F70:H70"/>
    <mergeCell ref="J65:L65"/>
    <mergeCell ref="M65:P65"/>
    <mergeCell ref="J67:P68"/>
    <mergeCell ref="B64:H64"/>
    <mergeCell ref="B66:C66"/>
    <mergeCell ref="D66:E66"/>
    <mergeCell ref="F66:H66"/>
    <mergeCell ref="B67:C67"/>
    <mergeCell ref="D67:E67"/>
    <mergeCell ref="F67:H67"/>
    <mergeCell ref="B68:C68"/>
    <mergeCell ref="D68:E68"/>
    <mergeCell ref="F68:H68"/>
    <mergeCell ref="J62:L62"/>
    <mergeCell ref="M62:P62"/>
    <mergeCell ref="J63:L63"/>
    <mergeCell ref="M63:P63"/>
    <mergeCell ref="J64:L64"/>
    <mergeCell ref="M64:P64"/>
    <mergeCell ref="B58:C58"/>
    <mergeCell ref="D58:F58"/>
    <mergeCell ref="G58:H58"/>
    <mergeCell ref="B60:H61"/>
    <mergeCell ref="J54:P54"/>
    <mergeCell ref="J55:P56"/>
    <mergeCell ref="J58:L58"/>
    <mergeCell ref="M58:P58"/>
    <mergeCell ref="J59:L59"/>
    <mergeCell ref="M59:P59"/>
    <mergeCell ref="J60:L60"/>
    <mergeCell ref="M60:P60"/>
    <mergeCell ref="J61:L61"/>
    <mergeCell ref="M61:P61"/>
    <mergeCell ref="B56:C56"/>
    <mergeCell ref="D56:F56"/>
    <mergeCell ref="G56:H56"/>
    <mergeCell ref="B57:C57"/>
    <mergeCell ref="D57:F57"/>
    <mergeCell ref="G57:H57"/>
    <mergeCell ref="B54:C54"/>
    <mergeCell ref="D54:F54"/>
    <mergeCell ref="G54:H54"/>
    <mergeCell ref="B55:C55"/>
    <mergeCell ref="D55:F55"/>
    <mergeCell ref="G55:H55"/>
    <mergeCell ref="B52:C52"/>
    <mergeCell ref="D52:F52"/>
    <mergeCell ref="G52:H52"/>
    <mergeCell ref="B53:C53"/>
    <mergeCell ref="D53:F53"/>
    <mergeCell ref="G53:H53"/>
    <mergeCell ref="J51:M51"/>
    <mergeCell ref="N51:P51"/>
    <mergeCell ref="B45:H45"/>
    <mergeCell ref="B46:H46"/>
    <mergeCell ref="B48:C48"/>
    <mergeCell ref="D48:F48"/>
    <mergeCell ref="G48:H48"/>
    <mergeCell ref="B49:C49"/>
    <mergeCell ref="D49:F49"/>
    <mergeCell ref="G49:H49"/>
    <mergeCell ref="B50:C50"/>
    <mergeCell ref="D50:F50"/>
    <mergeCell ref="G50:H50"/>
    <mergeCell ref="B51:C51"/>
    <mergeCell ref="D51:F51"/>
    <mergeCell ref="G51:H51"/>
    <mergeCell ref="J48:M48"/>
    <mergeCell ref="N48:P48"/>
    <mergeCell ref="J49:M49"/>
    <mergeCell ref="N49:P49"/>
    <mergeCell ref="J50:M50"/>
    <mergeCell ref="N50:P50"/>
    <mergeCell ref="J41:P42"/>
    <mergeCell ref="J44:P44"/>
    <mergeCell ref="J46:M46"/>
    <mergeCell ref="N46:P46"/>
    <mergeCell ref="J47:M47"/>
    <mergeCell ref="N47:P47"/>
    <mergeCell ref="M38:N38"/>
    <mergeCell ref="O38:P38"/>
    <mergeCell ref="J36:L36"/>
    <mergeCell ref="M36:N36"/>
    <mergeCell ref="O36:P36"/>
    <mergeCell ref="J37:L37"/>
    <mergeCell ref="M37:N37"/>
    <mergeCell ref="B43:E43"/>
    <mergeCell ref="F43:H43"/>
    <mergeCell ref="B42:E42"/>
    <mergeCell ref="F42:H42"/>
    <mergeCell ref="B40:E40"/>
    <mergeCell ref="F40:H40"/>
    <mergeCell ref="B41:E41"/>
    <mergeCell ref="F41:H41"/>
    <mergeCell ref="B37:E37"/>
    <mergeCell ref="F37:H37"/>
    <mergeCell ref="B38:E38"/>
    <mergeCell ref="F38:H38"/>
    <mergeCell ref="B39:E39"/>
    <mergeCell ref="F39:H39"/>
    <mergeCell ref="B2:P2"/>
    <mergeCell ref="B3:E3"/>
    <mergeCell ref="G3:J3"/>
    <mergeCell ref="B4:E5"/>
    <mergeCell ref="G4:J5"/>
    <mergeCell ref="L4:P5"/>
    <mergeCell ref="J31:P31"/>
    <mergeCell ref="J39:L39"/>
    <mergeCell ref="M39:N39"/>
    <mergeCell ref="O39:P39"/>
    <mergeCell ref="B34:E34"/>
    <mergeCell ref="F34:H34"/>
    <mergeCell ref="B35:E35"/>
    <mergeCell ref="F35:H35"/>
    <mergeCell ref="B36:E36"/>
    <mergeCell ref="F36:H36"/>
    <mergeCell ref="J34:L34"/>
    <mergeCell ref="M34:N34"/>
    <mergeCell ref="O34:P34"/>
    <mergeCell ref="J35:L35"/>
    <mergeCell ref="M35:N35"/>
    <mergeCell ref="O35:P35"/>
    <mergeCell ref="O37:P37"/>
    <mergeCell ref="J38:L38"/>
    <mergeCell ref="B33:E33"/>
    <mergeCell ref="F33:H33"/>
    <mergeCell ref="B16:H16"/>
    <mergeCell ref="B18:H18"/>
    <mergeCell ref="B19:H20"/>
    <mergeCell ref="B22:H22"/>
    <mergeCell ref="B23:H24"/>
    <mergeCell ref="B6:P6"/>
    <mergeCell ref="B8:P9"/>
    <mergeCell ref="B10:P10"/>
    <mergeCell ref="B12:H12"/>
    <mergeCell ref="B13:H15"/>
    <mergeCell ref="J33:L33"/>
    <mergeCell ref="M33:N33"/>
    <mergeCell ref="O33:P33"/>
    <mergeCell ref="B26:H27"/>
    <mergeCell ref="B28:H29"/>
    <mergeCell ref="B31:H31"/>
  </mergeCells>
  <dataValidations count="1">
    <dataValidation type="list" sqref="G4" xr:uid="{00000000-0002-0000-0000-000000000000}">
      <formula1>"Stock,ETF,Mutual Fund"</formula1>
    </dataValidation>
  </dataValidation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 id="{00000000-000E-0000-0000-000001000000}">
            <xm:f>Data!$B$7&lt;0</xm:f>
            <x14:dxf>
              <font>
                <color rgb="FFB42318"/>
              </font>
            </x14:dxf>
          </x14:cfRule>
          <x14:cfRule type="expression" priority="2" id="{00000000-000E-0000-0000-000002000000}">
            <xm:f>Data!$B$7&gt;=0</xm:f>
            <x14:dxf>
              <font>
                <color rgb="FF137A59"/>
              </font>
            </x14:dxf>
          </x14:cfRule>
          <xm:sqref>B16:H16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36F4C-479C-4D6F-944B-53CC460D2A98}">
  <dimension ref="A1:B1"/>
  <sheetViews>
    <sheetView workbookViewId="0">
      <selection activeCell="A2" sqref="A2"/>
    </sheetView>
  </sheetViews>
  <sheetFormatPr defaultRowHeight="14.25"/>
  <sheetData>
    <row r="1" spans="1:2">
      <c r="A1">
        <v>1</v>
      </c>
      <c r="B1" t="s">
        <v>658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A6BACB"/>
  </sheetPr>
  <dimension ref="A1:P160"/>
  <sheetViews>
    <sheetView showGridLines="0" workbookViewId="0"/>
  </sheetViews>
  <sheetFormatPr defaultRowHeight="14.25"/>
  <cols>
    <col min="1" max="6" width="18" customWidth="1"/>
    <col min="8" max="14" width="26" customWidth="1"/>
  </cols>
  <sheetData>
    <row r="1" spans="1:16">
      <c r="A1" s="2"/>
      <c r="B1" s="2"/>
      <c r="C1" s="2"/>
      <c r="D1" s="2"/>
      <c r="E1" s="2"/>
      <c r="F1" s="2"/>
      <c r="G1" s="2"/>
      <c r="H1" s="2"/>
      <c r="I1" s="2"/>
      <c r="J1" s="2"/>
      <c r="K1" s="2"/>
      <c r="L1" s="2"/>
      <c r="M1" s="2"/>
      <c r="N1" s="2"/>
      <c r="O1" s="2"/>
      <c r="P1" s="2"/>
    </row>
    <row r="2" spans="1:16" ht="20.25">
      <c r="A2" s="56" t="s">
        <v>25</v>
      </c>
      <c r="B2" s="56"/>
      <c r="C2" s="56"/>
      <c r="D2" s="56"/>
      <c r="E2" s="56"/>
      <c r="F2" s="56"/>
      <c r="G2" s="2"/>
      <c r="H2" s="2"/>
      <c r="I2" s="2"/>
      <c r="J2" s="2"/>
      <c r="K2" s="2"/>
      <c r="L2" s="2"/>
      <c r="M2" s="2"/>
      <c r="N2" s="2"/>
      <c r="O2" s="2"/>
      <c r="P2" s="2"/>
    </row>
    <row r="3" spans="1:16">
      <c r="A3" s="2"/>
      <c r="B3" s="2"/>
      <c r="C3" s="2"/>
      <c r="D3" s="2"/>
      <c r="E3" s="2"/>
      <c r="F3" s="2"/>
      <c r="G3" s="2"/>
      <c r="H3" s="2"/>
      <c r="I3" s="2"/>
      <c r="J3" s="2"/>
      <c r="K3" s="2"/>
      <c r="L3" s="2"/>
      <c r="M3" s="2"/>
      <c r="N3" s="2"/>
      <c r="O3" s="2"/>
      <c r="P3" s="2"/>
    </row>
    <row r="4" spans="1:16" ht="44.1" customHeight="1">
      <c r="A4" s="57" t="s">
        <v>26</v>
      </c>
      <c r="B4" s="57"/>
      <c r="C4" s="57"/>
      <c r="D4" s="57"/>
      <c r="E4" s="57"/>
      <c r="F4" s="57"/>
      <c r="G4" s="2"/>
      <c r="H4" s="2"/>
      <c r="I4" s="2"/>
      <c r="J4" s="2"/>
      <c r="K4" s="2"/>
      <c r="L4" s="2"/>
      <c r="M4" s="2"/>
      <c r="N4" s="2"/>
      <c r="O4" s="2"/>
      <c r="P4" s="2"/>
    </row>
    <row r="5" spans="1:16" ht="44.1" customHeight="1">
      <c r="A5" s="57" t="s">
        <v>27</v>
      </c>
      <c r="B5" s="57"/>
      <c r="C5" s="57"/>
      <c r="D5" s="57"/>
      <c r="E5" s="57"/>
      <c r="F5" s="57"/>
      <c r="G5" s="2"/>
      <c r="H5" s="2"/>
      <c r="I5" s="2"/>
      <c r="J5" s="2"/>
      <c r="K5" s="2"/>
      <c r="L5" s="2"/>
      <c r="M5" s="2"/>
      <c r="N5" s="2"/>
      <c r="O5" s="2"/>
      <c r="P5" s="2"/>
    </row>
    <row r="6" spans="1:16" ht="44.1" customHeight="1">
      <c r="A6" s="57" t="s">
        <v>28</v>
      </c>
      <c r="B6" s="57"/>
      <c r="C6" s="57"/>
      <c r="D6" s="57"/>
      <c r="E6" s="57"/>
      <c r="F6" s="57"/>
      <c r="G6" s="2"/>
      <c r="H6" s="2"/>
      <c r="I6" s="2"/>
      <c r="J6" s="2"/>
      <c r="K6" s="2"/>
      <c r="L6" s="2"/>
      <c r="M6" s="2"/>
      <c r="N6" s="2"/>
      <c r="O6" s="2"/>
      <c r="P6" s="2"/>
    </row>
    <row r="7" spans="1:16" ht="44.1" customHeight="1">
      <c r="A7" s="57" t="s">
        <v>29</v>
      </c>
      <c r="B7" s="57"/>
      <c r="C7" s="57"/>
      <c r="D7" s="57"/>
      <c r="E7" s="57"/>
      <c r="F7" s="57"/>
      <c r="G7" s="2"/>
      <c r="H7" s="2"/>
      <c r="I7" s="2"/>
      <c r="J7" s="2"/>
      <c r="K7" s="2"/>
      <c r="L7" s="2"/>
      <c r="M7" s="2"/>
      <c r="N7" s="2"/>
      <c r="O7" s="2"/>
      <c r="P7" s="2"/>
    </row>
    <row r="8" spans="1:16" ht="44.1" customHeight="1">
      <c r="A8" s="57" t="s">
        <v>30</v>
      </c>
      <c r="B8" s="57"/>
      <c r="C8" s="57"/>
      <c r="D8" s="57"/>
      <c r="E8" s="57"/>
      <c r="F8" s="57"/>
      <c r="G8" s="2"/>
      <c r="H8" s="2"/>
      <c r="I8" s="2"/>
      <c r="J8" s="2"/>
      <c r="K8" s="2"/>
      <c r="L8" s="2"/>
      <c r="M8" s="2"/>
      <c r="N8" s="2"/>
      <c r="O8" s="2"/>
      <c r="P8" s="2"/>
    </row>
    <row r="9" spans="1:16" ht="44.1" customHeight="1">
      <c r="A9" s="57" t="s">
        <v>31</v>
      </c>
      <c r="B9" s="57"/>
      <c r="C9" s="57"/>
      <c r="D9" s="57"/>
      <c r="E9" s="57"/>
      <c r="F9" s="57"/>
      <c r="G9" s="2"/>
      <c r="H9" s="2"/>
      <c r="I9" s="2"/>
      <c r="J9" s="2"/>
      <c r="K9" s="2"/>
      <c r="L9" s="2"/>
      <c r="M9" s="2"/>
      <c r="N9" s="2"/>
      <c r="O9" s="2"/>
      <c r="P9" s="2"/>
    </row>
    <row r="10" spans="1:16" ht="44.1" customHeight="1">
      <c r="A10" s="57" t="s">
        <v>32</v>
      </c>
      <c r="B10" s="57"/>
      <c r="C10" s="57"/>
      <c r="D10" s="57"/>
      <c r="E10" s="57"/>
      <c r="F10" s="57"/>
      <c r="G10" s="2"/>
      <c r="H10" s="2"/>
      <c r="I10" s="2"/>
      <c r="J10" s="2"/>
      <c r="K10" s="2"/>
      <c r="L10" s="2"/>
      <c r="M10" s="2"/>
      <c r="N10" s="2"/>
      <c r="O10" s="2"/>
      <c r="P10" s="2"/>
    </row>
    <row r="11" spans="1:16" ht="44.1" customHeight="1">
      <c r="A11" s="57" t="s">
        <v>33</v>
      </c>
      <c r="B11" s="57"/>
      <c r="C11" s="57"/>
      <c r="D11" s="57"/>
      <c r="E11" s="57"/>
      <c r="F11" s="57"/>
      <c r="G11" s="2"/>
      <c r="H11" s="2"/>
      <c r="I11" s="2"/>
      <c r="J11" s="2"/>
      <c r="K11" s="2"/>
      <c r="L11" s="2"/>
      <c r="M11" s="2"/>
      <c r="N11" s="2"/>
      <c r="O11" s="2"/>
      <c r="P11" s="2"/>
    </row>
    <row r="12" spans="1:16" ht="44.1" customHeight="1">
      <c r="A12" s="57" t="s">
        <v>34</v>
      </c>
      <c r="B12" s="57"/>
      <c r="C12" s="57"/>
      <c r="D12" s="57"/>
      <c r="E12" s="57"/>
      <c r="F12" s="57"/>
      <c r="G12" s="2"/>
      <c r="H12" s="2"/>
      <c r="I12" s="2"/>
      <c r="J12" s="2"/>
      <c r="K12" s="2"/>
      <c r="L12" s="2"/>
      <c r="M12" s="2"/>
      <c r="N12" s="2"/>
      <c r="O12" s="2"/>
      <c r="P12" s="2"/>
    </row>
    <row r="13" spans="1:16">
      <c r="A13" s="2"/>
      <c r="B13" s="2"/>
      <c r="C13" s="2"/>
      <c r="D13" s="2"/>
      <c r="E13" s="2"/>
      <c r="F13" s="2"/>
      <c r="G13" s="2"/>
      <c r="H13" s="2"/>
      <c r="I13" s="2"/>
      <c r="J13" s="2"/>
      <c r="K13" s="2"/>
      <c r="L13" s="2"/>
      <c r="M13" s="2"/>
      <c r="N13" s="2"/>
      <c r="O13" s="2"/>
      <c r="P13" s="2"/>
    </row>
    <row r="14" spans="1:16">
      <c r="A14" s="2"/>
      <c r="B14" s="2"/>
      <c r="C14" s="2"/>
      <c r="D14" s="2"/>
      <c r="E14" s="2"/>
      <c r="F14" s="2"/>
      <c r="G14" s="2"/>
      <c r="H14" s="2"/>
      <c r="I14" s="2"/>
      <c r="J14" s="2"/>
      <c r="K14" s="2"/>
      <c r="L14" s="2"/>
      <c r="M14" s="2"/>
      <c r="N14" s="2"/>
      <c r="O14" s="2"/>
      <c r="P14" s="2"/>
    </row>
    <row r="15" spans="1:16">
      <c r="A15" s="2"/>
      <c r="B15" s="2"/>
      <c r="C15" s="2"/>
      <c r="D15" s="2"/>
      <c r="E15" s="2"/>
      <c r="F15" s="2"/>
      <c r="G15" s="2"/>
      <c r="H15" s="2"/>
      <c r="I15" s="2"/>
      <c r="J15" s="2"/>
      <c r="K15" s="2"/>
      <c r="L15" s="2"/>
      <c r="M15" s="2"/>
      <c r="N15" s="2"/>
      <c r="O15" s="2"/>
      <c r="P15" s="2"/>
    </row>
    <row r="16" spans="1:16">
      <c r="A16" s="2"/>
      <c r="B16" s="2"/>
      <c r="C16" s="2"/>
      <c r="D16" s="2"/>
      <c r="E16" s="2"/>
      <c r="F16" s="2"/>
      <c r="G16" s="2"/>
      <c r="H16" s="2"/>
      <c r="I16" s="2"/>
      <c r="J16" s="2"/>
      <c r="K16" s="2"/>
      <c r="L16" s="2"/>
      <c r="M16" s="2"/>
      <c r="N16" s="2"/>
      <c r="O16" s="2"/>
      <c r="P16" s="2"/>
    </row>
    <row r="17" spans="1:16">
      <c r="A17" s="2"/>
      <c r="B17" s="2"/>
      <c r="C17" s="2"/>
      <c r="D17" s="2"/>
      <c r="E17" s="2"/>
      <c r="F17" s="2"/>
      <c r="G17" s="2"/>
      <c r="H17" s="2"/>
      <c r="I17" s="2"/>
      <c r="J17" s="2"/>
      <c r="K17" s="2"/>
      <c r="L17" s="2"/>
      <c r="M17" s="2"/>
      <c r="N17" s="2"/>
      <c r="O17" s="2"/>
      <c r="P17" s="2"/>
    </row>
    <row r="18" spans="1:16">
      <c r="A18" s="2" t="s">
        <v>35</v>
      </c>
      <c r="B18" s="2"/>
      <c r="C18" s="2"/>
      <c r="D18" s="2"/>
      <c r="E18" s="2"/>
      <c r="F18" s="2"/>
      <c r="G18" s="2"/>
      <c r="H18" s="2"/>
      <c r="I18" s="2"/>
      <c r="J18" s="2"/>
      <c r="K18" s="2"/>
      <c r="L18" s="2"/>
      <c r="M18" s="2"/>
      <c r="N18" s="2"/>
      <c r="O18" s="2"/>
      <c r="P18" s="2"/>
    </row>
    <row r="19" spans="1:16">
      <c r="A19" s="6" t="s">
        <v>36</v>
      </c>
      <c r="B19" s="6" t="s">
        <v>37</v>
      </c>
      <c r="C19" s="6" t="s">
        <v>38</v>
      </c>
      <c r="D19" s="6" t="s">
        <v>39</v>
      </c>
      <c r="E19" s="6" t="s">
        <v>40</v>
      </c>
      <c r="F19" s="2"/>
      <c r="G19" s="2"/>
      <c r="H19" s="6" t="s">
        <v>41</v>
      </c>
      <c r="I19" s="6" t="s">
        <v>36</v>
      </c>
      <c r="J19" s="6" t="s">
        <v>42</v>
      </c>
      <c r="K19" s="6" t="s">
        <v>43</v>
      </c>
      <c r="L19" s="6" t="s">
        <v>44</v>
      </c>
      <c r="M19" s="6" t="s">
        <v>45</v>
      </c>
      <c r="N19" s="6" t="s">
        <v>46</v>
      </c>
      <c r="O19" s="2"/>
      <c r="P19" s="2"/>
    </row>
    <row r="20" spans="1:16">
      <c r="A20" s="2" t="s">
        <v>47</v>
      </c>
      <c r="B20" s="2" t="s">
        <v>48</v>
      </c>
      <c r="C20" s="2" t="s">
        <v>49</v>
      </c>
      <c r="D20" s="2" t="s">
        <v>50</v>
      </c>
      <c r="E20" s="2" t="s">
        <v>51</v>
      </c>
      <c r="F20" s="2"/>
      <c r="G20" s="2"/>
      <c r="H20" s="2" t="s">
        <v>52</v>
      </c>
      <c r="I20" s="2" t="s">
        <v>47</v>
      </c>
      <c r="J20" s="2" t="s">
        <v>53</v>
      </c>
      <c r="K20" s="2" t="s">
        <v>54</v>
      </c>
      <c r="L20" s="2" t="s">
        <v>55</v>
      </c>
      <c r="M20" s="2"/>
      <c r="N20" s="2"/>
      <c r="O20" s="2"/>
      <c r="P20" s="2"/>
    </row>
    <row r="21" spans="1:16">
      <c r="A21" s="2" t="s">
        <v>56</v>
      </c>
      <c r="B21" s="2" t="s">
        <v>3</v>
      </c>
      <c r="C21" s="2" t="s">
        <v>57</v>
      </c>
      <c r="D21" s="2" t="s">
        <v>58</v>
      </c>
      <c r="E21" s="2" t="s">
        <v>59</v>
      </c>
      <c r="F21" s="2"/>
      <c r="G21" s="2"/>
      <c r="H21" s="2" t="s">
        <v>60</v>
      </c>
      <c r="I21" s="2" t="s">
        <v>47</v>
      </c>
      <c r="J21" s="2" t="s">
        <v>61</v>
      </c>
      <c r="K21" s="2" t="s">
        <v>54</v>
      </c>
      <c r="L21" s="2" t="s">
        <v>55</v>
      </c>
      <c r="M21" s="2"/>
      <c r="N21" s="2"/>
      <c r="O21" s="2"/>
      <c r="P21" s="2"/>
    </row>
    <row r="22" spans="1:16">
      <c r="A22" s="2" t="s">
        <v>62</v>
      </c>
      <c r="B22" s="2" t="s">
        <v>48</v>
      </c>
      <c r="C22" s="2" t="s">
        <v>63</v>
      </c>
      <c r="D22" s="2" t="s">
        <v>64</v>
      </c>
      <c r="E22" s="2" t="s">
        <v>65</v>
      </c>
      <c r="F22" s="2"/>
      <c r="G22" s="2"/>
      <c r="H22" s="2" t="s">
        <v>66</v>
      </c>
      <c r="I22" s="2" t="s">
        <v>47</v>
      </c>
      <c r="J22" s="2" t="s">
        <v>67</v>
      </c>
      <c r="K22" s="2" t="s">
        <v>54</v>
      </c>
      <c r="L22" s="2" t="s">
        <v>55</v>
      </c>
      <c r="M22" s="2"/>
      <c r="N22" s="2"/>
      <c r="O22" s="2"/>
      <c r="P22" s="2"/>
    </row>
    <row r="23" spans="1:16">
      <c r="A23" s="2" t="s">
        <v>68</v>
      </c>
      <c r="B23" s="2" t="s">
        <v>48</v>
      </c>
      <c r="C23" s="2" t="s">
        <v>69</v>
      </c>
      <c r="D23" s="2" t="s">
        <v>70</v>
      </c>
      <c r="E23" s="2" t="s">
        <v>71</v>
      </c>
      <c r="F23" s="2"/>
      <c r="G23" s="2"/>
      <c r="H23" s="2" t="s">
        <v>72</v>
      </c>
      <c r="I23" s="2" t="s">
        <v>47</v>
      </c>
      <c r="J23" s="2" t="s">
        <v>73</v>
      </c>
      <c r="K23" s="2" t="s">
        <v>74</v>
      </c>
      <c r="L23" s="2" t="s">
        <v>55</v>
      </c>
      <c r="M23" s="2"/>
      <c r="N23" s="2"/>
      <c r="O23" s="2"/>
      <c r="P23" s="2"/>
    </row>
    <row r="24" spans="1:16">
      <c r="A24" s="2" t="s">
        <v>75</v>
      </c>
      <c r="B24" s="2" t="s">
        <v>3</v>
      </c>
      <c r="C24" s="2" t="s">
        <v>76</v>
      </c>
      <c r="D24" s="2" t="s">
        <v>77</v>
      </c>
      <c r="E24" s="2" t="s">
        <v>78</v>
      </c>
      <c r="F24" s="2"/>
      <c r="G24" s="2"/>
      <c r="H24" s="2" t="s">
        <v>79</v>
      </c>
      <c r="I24" s="2" t="s">
        <v>47</v>
      </c>
      <c r="J24" s="2" t="s">
        <v>80</v>
      </c>
      <c r="K24" s="2" t="s">
        <v>74</v>
      </c>
      <c r="L24" s="2" t="s">
        <v>55</v>
      </c>
      <c r="M24" s="2"/>
      <c r="N24" s="2"/>
      <c r="O24" s="2"/>
      <c r="P24" s="2"/>
    </row>
    <row r="25" spans="1:16">
      <c r="A25" s="2" t="s">
        <v>81</v>
      </c>
      <c r="B25" s="2" t="s">
        <v>3</v>
      </c>
      <c r="C25" s="2" t="s">
        <v>82</v>
      </c>
      <c r="D25" s="2" t="s">
        <v>83</v>
      </c>
      <c r="E25" s="2" t="s">
        <v>84</v>
      </c>
      <c r="F25" s="2"/>
      <c r="G25" s="2"/>
      <c r="H25" s="2" t="s">
        <v>85</v>
      </c>
      <c r="I25" s="2" t="s">
        <v>47</v>
      </c>
      <c r="J25" s="2" t="s">
        <v>86</v>
      </c>
      <c r="K25" s="2" t="s">
        <v>74</v>
      </c>
      <c r="L25" s="2" t="s">
        <v>55</v>
      </c>
      <c r="M25" s="2"/>
      <c r="N25" s="2"/>
      <c r="O25" s="2"/>
      <c r="P25" s="2"/>
    </row>
    <row r="26" spans="1:16">
      <c r="A26" s="2" t="s">
        <v>87</v>
      </c>
      <c r="B26" s="2" t="s">
        <v>3</v>
      </c>
      <c r="C26" s="2" t="s">
        <v>88</v>
      </c>
      <c r="D26" s="2" t="s">
        <v>89</v>
      </c>
      <c r="E26" s="2" t="s">
        <v>90</v>
      </c>
      <c r="F26" s="2"/>
      <c r="G26" s="2"/>
      <c r="H26" s="2" t="s">
        <v>91</v>
      </c>
      <c r="I26" s="2" t="s">
        <v>47</v>
      </c>
      <c r="J26" s="2" t="s">
        <v>92</v>
      </c>
      <c r="K26" s="2" t="s">
        <v>93</v>
      </c>
      <c r="L26" s="2" t="s">
        <v>55</v>
      </c>
      <c r="M26" s="2"/>
      <c r="N26" s="2"/>
      <c r="O26" s="2"/>
      <c r="P26" s="2"/>
    </row>
    <row r="27" spans="1:16">
      <c r="A27" s="2" t="s">
        <v>94</v>
      </c>
      <c r="B27" s="2" t="s">
        <v>3</v>
      </c>
      <c r="C27" s="2" t="s">
        <v>95</v>
      </c>
      <c r="D27" s="2" t="s">
        <v>96</v>
      </c>
      <c r="E27" s="2" t="s">
        <v>97</v>
      </c>
      <c r="F27" s="2"/>
      <c r="G27" s="2"/>
      <c r="H27" s="2" t="s">
        <v>98</v>
      </c>
      <c r="I27" s="2" t="s">
        <v>47</v>
      </c>
      <c r="J27" s="2" t="s">
        <v>55</v>
      </c>
      <c r="K27" s="2" t="s">
        <v>54</v>
      </c>
      <c r="L27" s="2" t="s">
        <v>55</v>
      </c>
      <c r="M27" s="2"/>
      <c r="N27" s="2"/>
      <c r="O27" s="2"/>
      <c r="P27" s="2"/>
    </row>
    <row r="28" spans="1:16">
      <c r="A28" s="2" t="s">
        <v>99</v>
      </c>
      <c r="B28" s="2" t="s">
        <v>3</v>
      </c>
      <c r="C28" s="2" t="s">
        <v>100</v>
      </c>
      <c r="D28" s="2" t="s">
        <v>96</v>
      </c>
      <c r="E28" s="2" t="s">
        <v>101</v>
      </c>
      <c r="F28" s="2"/>
      <c r="G28" s="2"/>
      <c r="H28" s="2" t="s">
        <v>102</v>
      </c>
      <c r="I28" s="2" t="s">
        <v>47</v>
      </c>
      <c r="J28" s="2" t="s">
        <v>103</v>
      </c>
      <c r="K28" s="2" t="s">
        <v>54</v>
      </c>
      <c r="L28" s="2" t="s">
        <v>55</v>
      </c>
      <c r="M28" s="2"/>
      <c r="N28" s="2"/>
      <c r="O28" s="2"/>
      <c r="P28" s="2"/>
    </row>
    <row r="29" spans="1:16">
      <c r="A29" s="2" t="s">
        <v>104</v>
      </c>
      <c r="B29" s="2" t="s">
        <v>3</v>
      </c>
      <c r="C29" s="2" t="s">
        <v>105</v>
      </c>
      <c r="D29" s="2" t="s">
        <v>106</v>
      </c>
      <c r="E29" s="2" t="s">
        <v>107</v>
      </c>
      <c r="F29" s="2"/>
      <c r="G29" s="2"/>
      <c r="H29" s="2" t="s">
        <v>108</v>
      </c>
      <c r="I29" s="2" t="s">
        <v>47</v>
      </c>
      <c r="J29" s="2" t="s">
        <v>109</v>
      </c>
      <c r="K29" s="2" t="s">
        <v>74</v>
      </c>
      <c r="L29" s="2" t="s">
        <v>55</v>
      </c>
      <c r="M29" s="2"/>
      <c r="N29" s="2"/>
      <c r="O29" s="2"/>
      <c r="P29" s="2"/>
    </row>
    <row r="30" spans="1:16">
      <c r="A30" s="2" t="s">
        <v>110</v>
      </c>
      <c r="B30" s="2" t="s">
        <v>111</v>
      </c>
      <c r="C30" s="2" t="s">
        <v>112</v>
      </c>
      <c r="D30" s="2" t="s">
        <v>113</v>
      </c>
      <c r="E30" s="2" t="s">
        <v>114</v>
      </c>
      <c r="F30" s="2"/>
      <c r="G30" s="2"/>
      <c r="H30" s="2" t="s">
        <v>115</v>
      </c>
      <c r="I30" s="2" t="s">
        <v>47</v>
      </c>
      <c r="J30" s="2" t="s">
        <v>116</v>
      </c>
      <c r="K30" s="2" t="s">
        <v>74</v>
      </c>
      <c r="L30" s="2" t="s">
        <v>55</v>
      </c>
      <c r="M30" s="2"/>
      <c r="N30" s="2"/>
      <c r="O30" s="2"/>
      <c r="P30" s="2"/>
    </row>
    <row r="31" spans="1:16">
      <c r="A31" s="2" t="s">
        <v>117</v>
      </c>
      <c r="B31" s="2" t="s">
        <v>118</v>
      </c>
      <c r="C31" s="2" t="s">
        <v>119</v>
      </c>
      <c r="D31" s="2" t="s">
        <v>120</v>
      </c>
      <c r="E31" s="2" t="s">
        <v>121</v>
      </c>
      <c r="F31" s="2"/>
      <c r="G31" s="2"/>
      <c r="H31" s="2" t="s">
        <v>122</v>
      </c>
      <c r="I31" s="2" t="s">
        <v>47</v>
      </c>
      <c r="J31" s="2" t="s">
        <v>123</v>
      </c>
      <c r="K31" s="2" t="s">
        <v>54</v>
      </c>
      <c r="L31" s="2" t="s">
        <v>55</v>
      </c>
      <c r="M31" s="2"/>
      <c r="N31" s="2"/>
      <c r="O31" s="2"/>
      <c r="P31" s="2"/>
    </row>
    <row r="32" spans="1:16">
      <c r="A32" s="2" t="s">
        <v>124</v>
      </c>
      <c r="B32" s="2" t="s">
        <v>118</v>
      </c>
      <c r="C32" s="2" t="s">
        <v>125</v>
      </c>
      <c r="D32" s="2" t="s">
        <v>126</v>
      </c>
      <c r="E32" s="2" t="s">
        <v>127</v>
      </c>
      <c r="F32" s="2"/>
      <c r="G32" s="2"/>
      <c r="H32" s="2" t="s">
        <v>128</v>
      </c>
      <c r="I32" s="2" t="s">
        <v>47</v>
      </c>
      <c r="J32" s="2" t="s">
        <v>129</v>
      </c>
      <c r="K32" s="2" t="s">
        <v>74</v>
      </c>
      <c r="L32" s="2" t="s">
        <v>55</v>
      </c>
      <c r="M32" s="2"/>
      <c r="N32" s="2"/>
      <c r="O32" s="2"/>
      <c r="P32" s="2"/>
    </row>
    <row r="33" spans="1:16">
      <c r="A33" s="2" t="s">
        <v>130</v>
      </c>
      <c r="B33" s="2" t="s">
        <v>118</v>
      </c>
      <c r="C33" s="2" t="s">
        <v>131</v>
      </c>
      <c r="D33" s="2" t="s">
        <v>120</v>
      </c>
      <c r="E33" s="2" t="s">
        <v>132</v>
      </c>
      <c r="F33" s="2"/>
      <c r="G33" s="2"/>
      <c r="H33" s="2" t="s">
        <v>133</v>
      </c>
      <c r="I33" s="2" t="s">
        <v>47</v>
      </c>
      <c r="J33" s="2" t="s">
        <v>134</v>
      </c>
      <c r="K33" s="2" t="s">
        <v>74</v>
      </c>
      <c r="L33" s="2" t="s">
        <v>55</v>
      </c>
      <c r="M33" s="2"/>
      <c r="N33" s="2"/>
      <c r="O33" s="2"/>
      <c r="P33" s="2"/>
    </row>
    <row r="34" spans="1:16">
      <c r="A34" s="2" t="s">
        <v>135</v>
      </c>
      <c r="B34" s="2" t="s">
        <v>136</v>
      </c>
      <c r="C34" s="2" t="s">
        <v>137</v>
      </c>
      <c r="D34" s="2" t="s">
        <v>120</v>
      </c>
      <c r="E34" s="2" t="s">
        <v>138</v>
      </c>
      <c r="F34" s="2"/>
      <c r="G34" s="2"/>
      <c r="H34" s="2" t="s">
        <v>139</v>
      </c>
      <c r="I34" s="2" t="s">
        <v>47</v>
      </c>
      <c r="J34" s="2" t="s">
        <v>140</v>
      </c>
      <c r="K34" s="2" t="s">
        <v>74</v>
      </c>
      <c r="L34" s="2" t="s">
        <v>55</v>
      </c>
      <c r="M34" s="2"/>
      <c r="N34" s="2"/>
      <c r="O34" s="2"/>
      <c r="P34" s="2"/>
    </row>
    <row r="35" spans="1:16">
      <c r="A35" s="2" t="s">
        <v>141</v>
      </c>
      <c r="B35" s="2" t="s">
        <v>136</v>
      </c>
      <c r="C35" s="2" t="s">
        <v>142</v>
      </c>
      <c r="D35" s="2" t="s">
        <v>120</v>
      </c>
      <c r="E35" s="2" t="s">
        <v>143</v>
      </c>
      <c r="F35" s="2"/>
      <c r="G35" s="2"/>
      <c r="H35" s="2" t="s">
        <v>144</v>
      </c>
      <c r="I35" s="2" t="s">
        <v>47</v>
      </c>
      <c r="J35" s="2" t="s">
        <v>145</v>
      </c>
      <c r="K35" s="2" t="s">
        <v>74</v>
      </c>
      <c r="L35" s="2" t="s">
        <v>55</v>
      </c>
      <c r="M35" s="2"/>
      <c r="N35" s="2"/>
      <c r="O35" s="2"/>
      <c r="P35" s="2"/>
    </row>
    <row r="36" spans="1:16">
      <c r="A36" s="2" t="s">
        <v>146</v>
      </c>
      <c r="B36" s="2" t="s">
        <v>136</v>
      </c>
      <c r="C36" s="2" t="s">
        <v>147</v>
      </c>
      <c r="D36" s="2" t="s">
        <v>120</v>
      </c>
      <c r="E36" s="2" t="s">
        <v>148</v>
      </c>
      <c r="F36" s="2"/>
      <c r="G36" s="2"/>
      <c r="H36" s="2" t="s">
        <v>149</v>
      </c>
      <c r="I36" s="2" t="s">
        <v>47</v>
      </c>
      <c r="J36" s="2" t="s">
        <v>150</v>
      </c>
      <c r="K36" s="2" t="s">
        <v>74</v>
      </c>
      <c r="L36" s="2" t="s">
        <v>55</v>
      </c>
      <c r="M36" s="2"/>
      <c r="N36" s="2"/>
      <c r="O36" s="2"/>
      <c r="P36" s="2"/>
    </row>
    <row r="37" spans="1:16">
      <c r="A37" s="2" t="s">
        <v>151</v>
      </c>
      <c r="B37" s="2" t="s">
        <v>136</v>
      </c>
      <c r="C37" s="2" t="s">
        <v>152</v>
      </c>
      <c r="D37" s="2" t="s">
        <v>50</v>
      </c>
      <c r="E37" s="2" t="s">
        <v>153</v>
      </c>
      <c r="F37" s="2"/>
      <c r="G37" s="2"/>
      <c r="H37" s="2" t="s">
        <v>154</v>
      </c>
      <c r="I37" s="2" t="s">
        <v>47</v>
      </c>
      <c r="J37" s="2" t="s">
        <v>155</v>
      </c>
      <c r="K37" s="2" t="s">
        <v>74</v>
      </c>
      <c r="L37" s="2" t="s">
        <v>55</v>
      </c>
      <c r="M37" s="2"/>
      <c r="N37" s="2"/>
      <c r="O37" s="2"/>
      <c r="P37" s="2"/>
    </row>
    <row r="38" spans="1:16">
      <c r="A38" s="2" t="s">
        <v>156</v>
      </c>
      <c r="B38" s="2" t="s">
        <v>136</v>
      </c>
      <c r="C38" s="2" t="s">
        <v>157</v>
      </c>
      <c r="D38" s="2" t="s">
        <v>158</v>
      </c>
      <c r="E38" s="2" t="s">
        <v>159</v>
      </c>
      <c r="F38" s="2"/>
      <c r="G38" s="2"/>
      <c r="H38" s="2" t="s">
        <v>160</v>
      </c>
      <c r="I38" s="2" t="s">
        <v>47</v>
      </c>
      <c r="J38" s="2" t="s">
        <v>161</v>
      </c>
      <c r="K38" s="2" t="s">
        <v>54</v>
      </c>
      <c r="L38" s="2" t="s">
        <v>55</v>
      </c>
      <c r="M38" s="2"/>
      <c r="N38" s="2"/>
      <c r="O38" s="2"/>
      <c r="P38" s="2"/>
    </row>
    <row r="39" spans="1:16">
      <c r="A39" s="2" t="s">
        <v>162</v>
      </c>
      <c r="B39" s="2" t="s">
        <v>136</v>
      </c>
      <c r="C39" s="2" t="s">
        <v>163</v>
      </c>
      <c r="D39" s="2" t="s">
        <v>164</v>
      </c>
      <c r="E39" s="2" t="s">
        <v>165</v>
      </c>
      <c r="F39" s="2"/>
      <c r="G39" s="2"/>
      <c r="H39" s="2" t="s">
        <v>166</v>
      </c>
      <c r="I39" s="2" t="s">
        <v>47</v>
      </c>
      <c r="J39" s="2" t="s">
        <v>167</v>
      </c>
      <c r="K39" s="2" t="s">
        <v>74</v>
      </c>
      <c r="L39" s="2" t="s">
        <v>55</v>
      </c>
      <c r="M39" s="2"/>
      <c r="N39" s="2"/>
      <c r="O39" s="2"/>
      <c r="P39" s="2"/>
    </row>
    <row r="40" spans="1:16">
      <c r="A40" s="2" t="s">
        <v>168</v>
      </c>
      <c r="B40" s="2" t="s">
        <v>169</v>
      </c>
      <c r="C40" s="2" t="s">
        <v>170</v>
      </c>
      <c r="D40" s="2" t="s">
        <v>171</v>
      </c>
      <c r="E40" s="2" t="s">
        <v>172</v>
      </c>
      <c r="F40" s="2"/>
      <c r="G40" s="2"/>
      <c r="H40" s="2" t="s">
        <v>173</v>
      </c>
      <c r="I40" s="2" t="s">
        <v>47</v>
      </c>
      <c r="J40" s="2" t="s">
        <v>174</v>
      </c>
      <c r="K40" s="2" t="s">
        <v>74</v>
      </c>
      <c r="L40" s="2" t="s">
        <v>55</v>
      </c>
      <c r="M40" s="2"/>
      <c r="N40" s="2"/>
      <c r="O40" s="2"/>
      <c r="P40" s="2"/>
    </row>
    <row r="41" spans="1:16">
      <c r="A41" s="2" t="s">
        <v>175</v>
      </c>
      <c r="B41" s="2" t="s">
        <v>169</v>
      </c>
      <c r="C41" s="2" t="s">
        <v>176</v>
      </c>
      <c r="D41" s="2" t="s">
        <v>177</v>
      </c>
      <c r="E41" s="2" t="s">
        <v>178</v>
      </c>
      <c r="F41" s="2"/>
      <c r="G41" s="2"/>
      <c r="H41" s="2" t="s">
        <v>179</v>
      </c>
      <c r="I41" s="2" t="s">
        <v>47</v>
      </c>
      <c r="J41" s="2" t="s">
        <v>180</v>
      </c>
      <c r="K41" s="2" t="s">
        <v>74</v>
      </c>
      <c r="L41" s="2" t="s">
        <v>55</v>
      </c>
      <c r="M41" s="2"/>
      <c r="N41" s="2"/>
      <c r="O41" s="2"/>
      <c r="P41" s="2"/>
    </row>
    <row r="42" spans="1:16">
      <c r="A42" s="2" t="s">
        <v>181</v>
      </c>
      <c r="B42" s="2" t="s">
        <v>169</v>
      </c>
      <c r="C42" s="2" t="s">
        <v>182</v>
      </c>
      <c r="D42" s="2" t="s">
        <v>183</v>
      </c>
      <c r="E42" s="2" t="s">
        <v>184</v>
      </c>
      <c r="F42" s="2"/>
      <c r="G42" s="2"/>
      <c r="H42" s="2" t="s">
        <v>185</v>
      </c>
      <c r="I42" s="2" t="s">
        <v>47</v>
      </c>
      <c r="J42" s="2" t="s">
        <v>186</v>
      </c>
      <c r="K42" s="2" t="s">
        <v>74</v>
      </c>
      <c r="L42" s="2" t="s">
        <v>55</v>
      </c>
      <c r="M42" s="2"/>
      <c r="N42" s="2"/>
      <c r="O42" s="2"/>
      <c r="P42" s="2"/>
    </row>
    <row r="43" spans="1:16">
      <c r="A43" s="2" t="s">
        <v>187</v>
      </c>
      <c r="B43" s="2" t="s">
        <v>169</v>
      </c>
      <c r="C43" s="2" t="s">
        <v>188</v>
      </c>
      <c r="D43" s="2" t="s">
        <v>189</v>
      </c>
      <c r="E43" s="2" t="s">
        <v>190</v>
      </c>
      <c r="F43" s="2"/>
      <c r="G43" s="2"/>
      <c r="H43" s="2" t="s">
        <v>191</v>
      </c>
      <c r="I43" s="2" t="s">
        <v>47</v>
      </c>
      <c r="J43" s="2" t="s">
        <v>192</v>
      </c>
      <c r="K43" s="2" t="s">
        <v>54</v>
      </c>
      <c r="L43" s="2" t="s">
        <v>55</v>
      </c>
      <c r="M43" s="2"/>
      <c r="N43" s="2"/>
      <c r="O43" s="2"/>
      <c r="P43" s="2"/>
    </row>
    <row r="44" spans="1:16">
      <c r="A44" s="2"/>
      <c r="B44" s="2"/>
      <c r="C44" s="2"/>
      <c r="D44" s="2"/>
      <c r="E44" s="2"/>
      <c r="F44" s="2"/>
      <c r="G44" s="2"/>
      <c r="H44" s="2" t="s">
        <v>193</v>
      </c>
      <c r="I44" s="2" t="s">
        <v>47</v>
      </c>
      <c r="J44" s="2" t="s">
        <v>194</v>
      </c>
      <c r="K44" s="2" t="s">
        <v>54</v>
      </c>
      <c r="L44" s="2" t="s">
        <v>55</v>
      </c>
      <c r="M44" s="2"/>
      <c r="N44" s="2"/>
      <c r="O44" s="2"/>
      <c r="P44" s="2"/>
    </row>
    <row r="45" spans="1:16">
      <c r="A45" s="2"/>
      <c r="B45" s="2"/>
      <c r="C45" s="2"/>
      <c r="D45" s="2"/>
      <c r="E45" s="2"/>
      <c r="F45" s="2"/>
      <c r="G45" s="2"/>
      <c r="H45" s="2" t="s">
        <v>195</v>
      </c>
      <c r="I45" s="2" t="s">
        <v>47</v>
      </c>
      <c r="J45" s="2" t="s">
        <v>196</v>
      </c>
      <c r="K45" s="2" t="s">
        <v>54</v>
      </c>
      <c r="L45" s="2" t="s">
        <v>55</v>
      </c>
      <c r="M45" s="2"/>
      <c r="N45" s="2"/>
      <c r="O45" s="2"/>
      <c r="P45" s="2"/>
    </row>
    <row r="46" spans="1:16">
      <c r="A46" s="2"/>
      <c r="B46" s="2"/>
      <c r="C46" s="2"/>
      <c r="D46" s="2"/>
      <c r="E46" s="2"/>
      <c r="F46" s="2"/>
      <c r="G46" s="2"/>
      <c r="H46" s="2" t="s">
        <v>197</v>
      </c>
      <c r="I46" s="2" t="s">
        <v>47</v>
      </c>
      <c r="J46" s="2" t="s">
        <v>198</v>
      </c>
      <c r="K46" s="2" t="s">
        <v>54</v>
      </c>
      <c r="L46" s="2" t="s">
        <v>55</v>
      </c>
      <c r="M46" s="2"/>
      <c r="N46" s="2"/>
      <c r="O46" s="2"/>
      <c r="P46" s="2"/>
    </row>
    <row r="47" spans="1:16">
      <c r="A47" s="2"/>
      <c r="B47" s="2"/>
      <c r="C47" s="2"/>
      <c r="D47" s="2"/>
      <c r="E47" s="2"/>
      <c r="F47" s="2"/>
      <c r="G47" s="2"/>
      <c r="H47" s="2" t="s">
        <v>199</v>
      </c>
      <c r="I47" s="2" t="s">
        <v>47</v>
      </c>
      <c r="J47" s="2" t="s">
        <v>200</v>
      </c>
      <c r="K47" s="2" t="s">
        <v>74</v>
      </c>
      <c r="L47" s="2" t="s">
        <v>55</v>
      </c>
      <c r="M47" s="2"/>
      <c r="N47" s="2"/>
      <c r="O47" s="2"/>
      <c r="P47" s="2"/>
    </row>
    <row r="48" spans="1:16">
      <c r="A48" s="2"/>
      <c r="B48" s="2"/>
      <c r="C48" s="2"/>
      <c r="D48" s="2"/>
      <c r="E48" s="2"/>
      <c r="F48" s="2"/>
      <c r="G48" s="2"/>
      <c r="H48" s="2" t="s">
        <v>201</v>
      </c>
      <c r="I48" s="2" t="s">
        <v>47</v>
      </c>
      <c r="J48" s="2" t="s">
        <v>202</v>
      </c>
      <c r="K48" s="2" t="s">
        <v>74</v>
      </c>
      <c r="L48" s="2" t="s">
        <v>55</v>
      </c>
      <c r="M48" s="2"/>
      <c r="N48" s="2"/>
      <c r="O48" s="2"/>
      <c r="P48" s="2"/>
    </row>
    <row r="49" spans="1:16">
      <c r="A49" s="2"/>
      <c r="B49" s="2"/>
      <c r="C49" s="2"/>
      <c r="D49" s="2"/>
      <c r="E49" s="2"/>
      <c r="F49" s="2"/>
      <c r="G49" s="2"/>
      <c r="H49" s="2" t="s">
        <v>203</v>
      </c>
      <c r="I49" s="2" t="s">
        <v>47</v>
      </c>
      <c r="J49" s="2" t="s">
        <v>204</v>
      </c>
      <c r="K49" s="2" t="s">
        <v>93</v>
      </c>
      <c r="L49" s="2" t="s">
        <v>55</v>
      </c>
      <c r="M49" s="2"/>
      <c r="N49" s="2"/>
      <c r="O49" s="2"/>
      <c r="P49" s="2"/>
    </row>
    <row r="50" spans="1:16">
      <c r="A50" s="2"/>
      <c r="B50" s="2"/>
      <c r="C50" s="2"/>
      <c r="D50" s="2"/>
      <c r="E50" s="2"/>
      <c r="F50" s="2"/>
      <c r="G50" s="2"/>
      <c r="H50" s="2" t="s">
        <v>205</v>
      </c>
      <c r="I50" s="2" t="s">
        <v>47</v>
      </c>
      <c r="J50" s="2" t="s">
        <v>206</v>
      </c>
      <c r="K50" s="2" t="s">
        <v>54</v>
      </c>
      <c r="L50" s="2" t="s">
        <v>55</v>
      </c>
      <c r="M50" s="2"/>
      <c r="N50" s="2"/>
      <c r="O50" s="2"/>
      <c r="P50" s="2"/>
    </row>
    <row r="51" spans="1:16">
      <c r="A51" s="2"/>
      <c r="B51" s="2"/>
      <c r="C51" s="2"/>
      <c r="D51" s="2"/>
      <c r="E51" s="2"/>
      <c r="F51" s="2"/>
      <c r="G51" s="2"/>
      <c r="H51" s="2" t="s">
        <v>207</v>
      </c>
      <c r="I51" s="2" t="s">
        <v>47</v>
      </c>
      <c r="J51" s="2" t="s">
        <v>208</v>
      </c>
      <c r="K51" s="2" t="s">
        <v>54</v>
      </c>
      <c r="L51" s="2" t="s">
        <v>55</v>
      </c>
      <c r="M51" s="2"/>
      <c r="N51" s="2"/>
      <c r="O51" s="2"/>
      <c r="P51" s="2"/>
    </row>
    <row r="52" spans="1:16">
      <c r="A52" s="2"/>
      <c r="B52" s="2"/>
      <c r="C52" s="2"/>
      <c r="D52" s="2"/>
      <c r="E52" s="2"/>
      <c r="F52" s="2"/>
      <c r="G52" s="2"/>
      <c r="H52" s="2" t="s">
        <v>209</v>
      </c>
      <c r="I52" s="2" t="s">
        <v>47</v>
      </c>
      <c r="J52" s="2" t="s">
        <v>210</v>
      </c>
      <c r="K52" s="2" t="s">
        <v>54</v>
      </c>
      <c r="L52" s="2" t="s">
        <v>55</v>
      </c>
      <c r="M52" s="2"/>
      <c r="N52" s="2"/>
      <c r="O52" s="2"/>
      <c r="P52" s="2"/>
    </row>
    <row r="53" spans="1:16">
      <c r="A53" s="2"/>
      <c r="B53" s="2"/>
      <c r="C53" s="2"/>
      <c r="D53" s="2"/>
      <c r="E53" s="2"/>
      <c r="F53" s="2"/>
      <c r="G53" s="2"/>
      <c r="H53" s="2" t="s">
        <v>211</v>
      </c>
      <c r="I53" s="2" t="s">
        <v>47</v>
      </c>
      <c r="J53" s="2" t="s">
        <v>212</v>
      </c>
      <c r="K53" s="2" t="s">
        <v>54</v>
      </c>
      <c r="L53" s="2" t="s">
        <v>55</v>
      </c>
      <c r="M53" s="2"/>
      <c r="N53" s="2"/>
      <c r="O53" s="2"/>
      <c r="P53" s="2"/>
    </row>
    <row r="54" spans="1:16">
      <c r="A54" s="2"/>
      <c r="B54" s="2"/>
      <c r="C54" s="2"/>
      <c r="D54" s="2"/>
      <c r="E54" s="2"/>
      <c r="F54" s="2"/>
      <c r="G54" s="2"/>
      <c r="H54" s="2" t="s">
        <v>52</v>
      </c>
      <c r="I54" s="2" t="s">
        <v>56</v>
      </c>
      <c r="J54" s="2" t="s">
        <v>213</v>
      </c>
      <c r="K54" s="2" t="s">
        <v>54</v>
      </c>
      <c r="L54" s="2" t="s">
        <v>214</v>
      </c>
      <c r="M54" s="2"/>
      <c r="N54" s="2" t="s">
        <v>215</v>
      </c>
      <c r="O54" s="2"/>
      <c r="P54" s="2"/>
    </row>
    <row r="55" spans="1:16">
      <c r="A55" s="2"/>
      <c r="B55" s="2"/>
      <c r="C55" s="2"/>
      <c r="D55" s="2"/>
      <c r="E55" s="2"/>
      <c r="F55" s="2"/>
      <c r="G55" s="2"/>
      <c r="H55" s="2" t="s">
        <v>216</v>
      </c>
      <c r="I55" s="2" t="s">
        <v>56</v>
      </c>
      <c r="J55" s="2" t="s">
        <v>217</v>
      </c>
      <c r="K55" s="2" t="s">
        <v>54</v>
      </c>
      <c r="L55" s="2" t="s">
        <v>218</v>
      </c>
      <c r="M55" s="2"/>
      <c r="N55" s="2" t="s">
        <v>219</v>
      </c>
      <c r="O55" s="2"/>
      <c r="P55" s="2"/>
    </row>
    <row r="56" spans="1:16">
      <c r="A56" s="2"/>
      <c r="B56" s="2"/>
      <c r="C56" s="2"/>
      <c r="D56" s="2"/>
      <c r="E56" s="2"/>
      <c r="F56" s="2"/>
      <c r="G56" s="2"/>
      <c r="H56" s="2" t="s">
        <v>220</v>
      </c>
      <c r="I56" s="2" t="s">
        <v>56</v>
      </c>
      <c r="J56" s="2" t="s">
        <v>221</v>
      </c>
      <c r="K56" s="2" t="s">
        <v>54</v>
      </c>
      <c r="L56" s="2" t="s">
        <v>222</v>
      </c>
      <c r="M56" s="2"/>
      <c r="N56" s="2" t="s">
        <v>223</v>
      </c>
      <c r="O56" s="2"/>
      <c r="P56" s="2"/>
    </row>
    <row r="57" spans="1:16">
      <c r="A57" s="2"/>
      <c r="B57" s="2"/>
      <c r="C57" s="2"/>
      <c r="D57" s="2"/>
      <c r="E57" s="2"/>
      <c r="F57" s="2"/>
      <c r="G57" s="2"/>
      <c r="H57" s="2" t="s">
        <v>224</v>
      </c>
      <c r="I57" s="2" t="s">
        <v>56</v>
      </c>
      <c r="J57" s="2" t="s">
        <v>225</v>
      </c>
      <c r="K57" s="2" t="s">
        <v>74</v>
      </c>
      <c r="L57" s="2" t="s">
        <v>226</v>
      </c>
      <c r="M57" s="2"/>
      <c r="N57" s="2" t="s">
        <v>227</v>
      </c>
      <c r="O57" s="2"/>
      <c r="P57" s="2"/>
    </row>
    <row r="58" spans="1:16">
      <c r="A58" s="2"/>
      <c r="B58" s="2"/>
      <c r="C58" s="2"/>
      <c r="D58" s="2"/>
      <c r="E58" s="2"/>
      <c r="F58" s="2"/>
      <c r="G58" s="2"/>
      <c r="H58" s="2" t="s">
        <v>228</v>
      </c>
      <c r="I58" s="2" t="s">
        <v>56</v>
      </c>
      <c r="J58" s="2" t="s">
        <v>229</v>
      </c>
      <c r="K58" s="2" t="s">
        <v>54</v>
      </c>
      <c r="L58" s="2" t="s">
        <v>230</v>
      </c>
      <c r="M58" s="2"/>
      <c r="N58" s="2" t="s">
        <v>231</v>
      </c>
      <c r="O58" s="2"/>
      <c r="P58" s="2"/>
    </row>
    <row r="59" spans="1:16">
      <c r="A59" s="2"/>
      <c r="B59" s="2"/>
      <c r="C59" s="2"/>
      <c r="D59" s="2"/>
      <c r="E59" s="2"/>
      <c r="F59" s="2"/>
      <c r="G59" s="2"/>
      <c r="H59" s="2" t="s">
        <v>232</v>
      </c>
      <c r="I59" s="2" t="s">
        <v>56</v>
      </c>
      <c r="J59" s="2" t="s">
        <v>233</v>
      </c>
      <c r="K59" s="2" t="s">
        <v>54</v>
      </c>
      <c r="L59" s="2" t="s">
        <v>234</v>
      </c>
      <c r="M59" s="2"/>
      <c r="N59" s="2" t="s">
        <v>235</v>
      </c>
      <c r="O59" s="2"/>
      <c r="P59" s="2"/>
    </row>
    <row r="60" spans="1:16">
      <c r="A60" s="2"/>
      <c r="B60" s="2"/>
      <c r="C60" s="2"/>
      <c r="D60" s="2"/>
      <c r="E60" s="2"/>
      <c r="F60" s="2"/>
      <c r="G60" s="2"/>
      <c r="H60" s="2" t="s">
        <v>236</v>
      </c>
      <c r="I60" s="2" t="s">
        <v>56</v>
      </c>
      <c r="J60" s="2" t="s">
        <v>237</v>
      </c>
      <c r="K60" s="2" t="s">
        <v>54</v>
      </c>
      <c r="L60" s="2" t="s">
        <v>238</v>
      </c>
      <c r="M60" s="2"/>
      <c r="N60" s="2" t="s">
        <v>239</v>
      </c>
      <c r="O60" s="2"/>
      <c r="P60" s="2"/>
    </row>
    <row r="61" spans="1:16">
      <c r="A61" s="2"/>
      <c r="B61" s="2"/>
      <c r="C61" s="2"/>
      <c r="D61" s="2"/>
      <c r="E61" s="2"/>
      <c r="F61" s="2"/>
      <c r="G61" s="2"/>
      <c r="H61" s="2" t="s">
        <v>240</v>
      </c>
      <c r="I61" s="2" t="s">
        <v>56</v>
      </c>
      <c r="J61" s="2" t="s">
        <v>241</v>
      </c>
      <c r="K61" s="2" t="s">
        <v>54</v>
      </c>
      <c r="L61" s="2" t="s">
        <v>242</v>
      </c>
      <c r="M61" s="2"/>
      <c r="N61" s="2" t="s">
        <v>243</v>
      </c>
      <c r="O61" s="2"/>
      <c r="P61" s="2"/>
    </row>
    <row r="62" spans="1:16">
      <c r="A62" s="2"/>
      <c r="B62" s="2"/>
      <c r="C62" s="2"/>
      <c r="D62" s="2"/>
      <c r="E62" s="2"/>
      <c r="F62" s="2"/>
      <c r="G62" s="2"/>
      <c r="H62" s="2" t="s">
        <v>244</v>
      </c>
      <c r="I62" s="2" t="s">
        <v>56</v>
      </c>
      <c r="J62" s="2" t="s">
        <v>245</v>
      </c>
      <c r="K62" s="2" t="s">
        <v>54</v>
      </c>
      <c r="L62" s="2" t="s">
        <v>246</v>
      </c>
      <c r="M62" s="2"/>
      <c r="N62" s="2" t="s">
        <v>247</v>
      </c>
      <c r="O62" s="2"/>
      <c r="P62" s="2"/>
    </row>
    <row r="63" spans="1:16">
      <c r="A63" s="2"/>
      <c r="B63" s="2"/>
      <c r="C63" s="2"/>
      <c r="D63" s="2"/>
      <c r="E63" s="2"/>
      <c r="F63" s="2"/>
      <c r="G63" s="2"/>
      <c r="H63" s="2" t="s">
        <v>37</v>
      </c>
      <c r="I63" s="2" t="s">
        <v>56</v>
      </c>
      <c r="J63" s="2" t="s">
        <v>248</v>
      </c>
      <c r="K63" s="2" t="s">
        <v>249</v>
      </c>
      <c r="L63" s="2" t="s">
        <v>250</v>
      </c>
      <c r="M63" s="2" t="s">
        <v>251</v>
      </c>
      <c r="N63" s="2" t="s">
        <v>252</v>
      </c>
      <c r="O63" s="2"/>
      <c r="P63" s="2"/>
    </row>
    <row r="64" spans="1:16">
      <c r="A64" s="2"/>
      <c r="B64" s="2"/>
      <c r="C64" s="2"/>
      <c r="D64" s="2"/>
      <c r="E64" s="2"/>
      <c r="F64" s="2"/>
      <c r="G64" s="2"/>
      <c r="H64" s="2" t="s">
        <v>253</v>
      </c>
      <c r="I64" s="2" t="s">
        <v>56</v>
      </c>
      <c r="J64" s="2" t="s">
        <v>254</v>
      </c>
      <c r="K64" s="2" t="s">
        <v>74</v>
      </c>
      <c r="L64" s="2" t="s">
        <v>255</v>
      </c>
      <c r="M64" s="2"/>
      <c r="N64" s="2" t="s">
        <v>256</v>
      </c>
      <c r="O64" s="2"/>
      <c r="P64" s="2"/>
    </row>
    <row r="65" spans="1:16">
      <c r="A65" s="2"/>
      <c r="B65" s="2"/>
      <c r="C65" s="2"/>
      <c r="D65" s="2"/>
      <c r="E65" s="2"/>
      <c r="F65" s="2"/>
      <c r="G65" s="2"/>
      <c r="H65" s="2" t="s">
        <v>257</v>
      </c>
      <c r="I65" s="2" t="s">
        <v>56</v>
      </c>
      <c r="J65" s="2" t="s">
        <v>258</v>
      </c>
      <c r="K65" s="2" t="s">
        <v>74</v>
      </c>
      <c r="L65" s="2" t="s">
        <v>259</v>
      </c>
      <c r="M65" s="2" t="s">
        <v>251</v>
      </c>
      <c r="N65" s="2" t="s">
        <v>260</v>
      </c>
      <c r="O65" s="2"/>
      <c r="P65" s="2"/>
    </row>
    <row r="66" spans="1:16">
      <c r="A66" s="2"/>
      <c r="B66" s="2"/>
      <c r="C66" s="2"/>
      <c r="D66" s="2"/>
      <c r="E66" s="2"/>
      <c r="F66" s="2"/>
      <c r="G66" s="2"/>
      <c r="H66" s="2" t="s">
        <v>261</v>
      </c>
      <c r="I66" s="2" t="s">
        <v>56</v>
      </c>
      <c r="J66" s="2" t="s">
        <v>262</v>
      </c>
      <c r="K66" s="2" t="s">
        <v>74</v>
      </c>
      <c r="L66" s="2" t="s">
        <v>263</v>
      </c>
      <c r="M66" s="2" t="s">
        <v>251</v>
      </c>
      <c r="N66" s="2" t="s">
        <v>264</v>
      </c>
      <c r="O66" s="2"/>
      <c r="P66" s="2"/>
    </row>
    <row r="67" spans="1:16">
      <c r="A67" s="2"/>
      <c r="B67" s="2"/>
      <c r="C67" s="2"/>
      <c r="D67" s="2"/>
      <c r="E67" s="2"/>
      <c r="F67" s="2"/>
      <c r="G67" s="2"/>
      <c r="H67" s="2" t="s">
        <v>265</v>
      </c>
      <c r="I67" s="2" t="s">
        <v>56</v>
      </c>
      <c r="J67" s="2" t="s">
        <v>266</v>
      </c>
      <c r="K67" s="2" t="s">
        <v>74</v>
      </c>
      <c r="L67" s="2" t="s">
        <v>267</v>
      </c>
      <c r="M67" s="2"/>
      <c r="N67" s="2" t="s">
        <v>268</v>
      </c>
      <c r="O67" s="2"/>
      <c r="P67" s="2"/>
    </row>
    <row r="68" spans="1:16">
      <c r="A68" s="2"/>
      <c r="B68" s="2"/>
      <c r="C68" s="2"/>
      <c r="D68" s="2"/>
      <c r="E68" s="2"/>
      <c r="F68" s="2"/>
      <c r="G68" s="2"/>
      <c r="H68" s="2" t="s">
        <v>269</v>
      </c>
      <c r="I68" s="2" t="s">
        <v>56</v>
      </c>
      <c r="J68" s="2" t="s">
        <v>270</v>
      </c>
      <c r="K68" s="2" t="s">
        <v>249</v>
      </c>
      <c r="L68" s="2" t="s">
        <v>271</v>
      </c>
      <c r="M68" s="2"/>
      <c r="N68" s="2" t="s">
        <v>272</v>
      </c>
      <c r="O68" s="2"/>
      <c r="P68" s="2"/>
    </row>
    <row r="69" spans="1:16">
      <c r="A69" s="2"/>
      <c r="B69" s="2"/>
      <c r="C69" s="2"/>
      <c r="D69" s="2"/>
      <c r="E69" s="2"/>
      <c r="F69" s="2"/>
      <c r="G69" s="2"/>
      <c r="H69" s="2" t="s">
        <v>273</v>
      </c>
      <c r="I69" s="2" t="s">
        <v>56</v>
      </c>
      <c r="J69" s="2" t="s">
        <v>274</v>
      </c>
      <c r="K69" s="2" t="s">
        <v>74</v>
      </c>
      <c r="L69" s="2" t="s">
        <v>275</v>
      </c>
      <c r="M69" s="2"/>
      <c r="N69" s="2" t="s">
        <v>276</v>
      </c>
      <c r="O69" s="2"/>
      <c r="P69" s="2"/>
    </row>
    <row r="70" spans="1:16">
      <c r="A70" s="2"/>
      <c r="B70" s="2"/>
      <c r="C70" s="2"/>
      <c r="D70" s="2"/>
      <c r="E70" s="2"/>
      <c r="F70" s="2"/>
      <c r="G70" s="2"/>
      <c r="H70" s="2" t="s">
        <v>277</v>
      </c>
      <c r="I70" s="2" t="s">
        <v>56</v>
      </c>
      <c r="J70" s="2" t="s">
        <v>278</v>
      </c>
      <c r="K70" s="2" t="s">
        <v>74</v>
      </c>
      <c r="L70" s="2" t="s">
        <v>279</v>
      </c>
      <c r="M70" s="2"/>
      <c r="N70" s="2" t="s">
        <v>280</v>
      </c>
      <c r="O70" s="2"/>
      <c r="P70" s="2"/>
    </row>
    <row r="71" spans="1:16">
      <c r="A71" s="2"/>
      <c r="B71" s="2"/>
      <c r="C71" s="2"/>
      <c r="D71" s="2"/>
      <c r="E71" s="2"/>
      <c r="F71" s="2"/>
      <c r="G71" s="2"/>
      <c r="H71" s="2" t="s">
        <v>281</v>
      </c>
      <c r="I71" s="2" t="s">
        <v>56</v>
      </c>
      <c r="J71" s="2" t="s">
        <v>282</v>
      </c>
      <c r="K71" s="2" t="s">
        <v>74</v>
      </c>
      <c r="L71" s="2" t="s">
        <v>283</v>
      </c>
      <c r="M71" s="2"/>
      <c r="N71" s="2" t="s">
        <v>284</v>
      </c>
      <c r="O71" s="2"/>
      <c r="P71" s="2"/>
    </row>
    <row r="72" spans="1:16">
      <c r="A72" s="2"/>
      <c r="B72" s="2"/>
      <c r="C72" s="2"/>
      <c r="D72" s="2"/>
      <c r="E72" s="2"/>
      <c r="F72" s="2"/>
      <c r="G72" s="2"/>
      <c r="H72" s="2" t="s">
        <v>52</v>
      </c>
      <c r="I72" s="2" t="s">
        <v>117</v>
      </c>
      <c r="J72" s="2" t="s">
        <v>285</v>
      </c>
      <c r="K72" s="2" t="s">
        <v>54</v>
      </c>
      <c r="L72" s="2" t="s">
        <v>286</v>
      </c>
      <c r="M72" s="2"/>
      <c r="N72" s="2"/>
      <c r="O72" s="2"/>
      <c r="P72" s="2"/>
    </row>
    <row r="73" spans="1:16">
      <c r="A73" s="2"/>
      <c r="B73" s="2"/>
      <c r="C73" s="2"/>
      <c r="D73" s="2"/>
      <c r="E73" s="2"/>
      <c r="F73" s="2"/>
      <c r="G73" s="2"/>
      <c r="H73" s="2" t="s">
        <v>287</v>
      </c>
      <c r="I73" s="2" t="s">
        <v>117</v>
      </c>
      <c r="J73" s="2" t="s">
        <v>288</v>
      </c>
      <c r="K73" s="2" t="s">
        <v>54</v>
      </c>
      <c r="L73" s="2" t="s">
        <v>286</v>
      </c>
      <c r="M73" s="2"/>
      <c r="N73" s="2"/>
      <c r="O73" s="2"/>
      <c r="P73" s="2"/>
    </row>
    <row r="74" spans="1:16">
      <c r="A74" s="2"/>
      <c r="B74" s="2"/>
      <c r="C74" s="2"/>
      <c r="D74" s="2"/>
      <c r="E74" s="2"/>
      <c r="F74" s="2"/>
      <c r="G74" s="2"/>
      <c r="H74" s="2" t="s">
        <v>216</v>
      </c>
      <c r="I74" s="2" t="s">
        <v>117</v>
      </c>
      <c r="J74" s="2" t="s">
        <v>289</v>
      </c>
      <c r="K74" s="2" t="s">
        <v>54</v>
      </c>
      <c r="L74" s="2" t="s">
        <v>286</v>
      </c>
      <c r="M74" s="2"/>
      <c r="N74" s="2"/>
      <c r="O74" s="2"/>
      <c r="P74" s="2"/>
    </row>
    <row r="75" spans="1:16">
      <c r="A75" s="2"/>
      <c r="B75" s="2"/>
      <c r="C75" s="2"/>
      <c r="D75" s="2"/>
      <c r="E75" s="2"/>
      <c r="F75" s="2"/>
      <c r="G75" s="2"/>
      <c r="H75" s="2" t="s">
        <v>290</v>
      </c>
      <c r="I75" s="2" t="s">
        <v>117</v>
      </c>
      <c r="J75" s="2" t="s">
        <v>291</v>
      </c>
      <c r="K75" s="2" t="s">
        <v>54</v>
      </c>
      <c r="L75" s="2" t="s">
        <v>286</v>
      </c>
      <c r="M75" s="2"/>
      <c r="N75" s="2"/>
      <c r="O75" s="2"/>
      <c r="P75" s="2"/>
    </row>
    <row r="76" spans="1:16">
      <c r="A76" s="2"/>
      <c r="B76" s="2"/>
      <c r="C76" s="2"/>
      <c r="D76" s="2"/>
      <c r="E76" s="2"/>
      <c r="F76" s="2"/>
      <c r="G76" s="2"/>
      <c r="H76" s="2" t="s">
        <v>244</v>
      </c>
      <c r="I76" s="2" t="s">
        <v>117</v>
      </c>
      <c r="J76" s="2" t="s">
        <v>292</v>
      </c>
      <c r="K76" s="2" t="s">
        <v>54</v>
      </c>
      <c r="L76" s="2" t="s">
        <v>286</v>
      </c>
      <c r="M76" s="2"/>
      <c r="N76" s="2"/>
      <c r="O76" s="2"/>
      <c r="P76" s="2"/>
    </row>
    <row r="77" spans="1:16">
      <c r="A77" s="2"/>
      <c r="B77" s="2"/>
      <c r="C77" s="2"/>
      <c r="D77" s="2"/>
      <c r="E77" s="2"/>
      <c r="F77" s="2"/>
      <c r="G77" s="2"/>
      <c r="H77" s="2" t="s">
        <v>293</v>
      </c>
      <c r="I77" s="2" t="s">
        <v>117</v>
      </c>
      <c r="J77" s="2" t="s">
        <v>294</v>
      </c>
      <c r="K77" s="2" t="s">
        <v>54</v>
      </c>
      <c r="L77" s="2" t="s">
        <v>286</v>
      </c>
      <c r="M77" s="2"/>
      <c r="N77" s="2"/>
      <c r="O77" s="2"/>
      <c r="P77" s="2"/>
    </row>
    <row r="78" spans="1:16">
      <c r="A78" s="2"/>
      <c r="B78" s="2"/>
      <c r="C78" s="2"/>
      <c r="D78" s="2"/>
      <c r="E78" s="2"/>
      <c r="F78" s="2"/>
      <c r="G78" s="2"/>
      <c r="H78" s="2" t="s">
        <v>295</v>
      </c>
      <c r="I78" s="2" t="s">
        <v>124</v>
      </c>
      <c r="J78" s="2" t="s">
        <v>296</v>
      </c>
      <c r="K78" s="2" t="s">
        <v>54</v>
      </c>
      <c r="L78" s="2" t="s">
        <v>297</v>
      </c>
      <c r="M78" s="2"/>
      <c r="N78" s="2" t="s">
        <v>298</v>
      </c>
      <c r="O78" s="2"/>
      <c r="P78" s="2"/>
    </row>
    <row r="79" spans="1:16">
      <c r="A79" s="2"/>
      <c r="B79" s="2"/>
      <c r="C79" s="2"/>
      <c r="D79" s="2"/>
      <c r="E79" s="2"/>
      <c r="F79" s="2"/>
      <c r="G79" s="2"/>
      <c r="H79" s="2" t="s">
        <v>299</v>
      </c>
      <c r="I79" s="2" t="s">
        <v>124</v>
      </c>
      <c r="J79" s="2" t="s">
        <v>300</v>
      </c>
      <c r="K79" s="2" t="s">
        <v>93</v>
      </c>
      <c r="L79" s="2" t="s">
        <v>301</v>
      </c>
      <c r="M79" s="2"/>
      <c r="N79" s="2" t="s">
        <v>302</v>
      </c>
      <c r="O79" s="2"/>
      <c r="P79" s="2"/>
    </row>
    <row r="80" spans="1:16">
      <c r="A80" s="2"/>
      <c r="B80" s="2"/>
      <c r="C80" s="2"/>
      <c r="D80" s="2"/>
      <c r="E80" s="2"/>
      <c r="F80" s="2"/>
      <c r="G80" s="2"/>
      <c r="H80" s="2" t="s">
        <v>303</v>
      </c>
      <c r="I80" s="2" t="s">
        <v>124</v>
      </c>
      <c r="J80" s="2" t="s">
        <v>304</v>
      </c>
      <c r="K80" s="2" t="s">
        <v>93</v>
      </c>
      <c r="L80" s="2" t="s">
        <v>305</v>
      </c>
      <c r="M80" s="2"/>
      <c r="N80" s="2" t="s">
        <v>306</v>
      </c>
      <c r="O80" s="2"/>
      <c r="P80" s="2"/>
    </row>
    <row r="81" spans="1:16">
      <c r="A81" s="2"/>
      <c r="B81" s="2"/>
      <c r="C81" s="2"/>
      <c r="D81" s="2"/>
      <c r="E81" s="2"/>
      <c r="F81" s="2"/>
      <c r="G81" s="2"/>
      <c r="H81" s="2" t="s">
        <v>216</v>
      </c>
      <c r="I81" s="2" t="s">
        <v>124</v>
      </c>
      <c r="J81" s="2" t="s">
        <v>307</v>
      </c>
      <c r="K81" s="2" t="s">
        <v>54</v>
      </c>
      <c r="L81" s="2" t="s">
        <v>308</v>
      </c>
      <c r="M81" s="2"/>
      <c r="N81" s="2" t="s">
        <v>309</v>
      </c>
      <c r="O81" s="2"/>
      <c r="P81" s="2"/>
    </row>
    <row r="82" spans="1:16">
      <c r="A82" s="2"/>
      <c r="B82" s="2"/>
      <c r="C82" s="2"/>
      <c r="D82" s="2"/>
      <c r="E82" s="2"/>
      <c r="F82" s="2"/>
      <c r="G82" s="2"/>
      <c r="H82" s="2" t="s">
        <v>290</v>
      </c>
      <c r="I82" s="2" t="s">
        <v>124</v>
      </c>
      <c r="J82" s="2" t="s">
        <v>310</v>
      </c>
      <c r="K82" s="2" t="s">
        <v>54</v>
      </c>
      <c r="L82" s="2" t="s">
        <v>311</v>
      </c>
      <c r="M82" s="2"/>
      <c r="N82" s="2" t="s">
        <v>312</v>
      </c>
      <c r="O82" s="2"/>
      <c r="P82" s="2"/>
    </row>
    <row r="83" spans="1:16">
      <c r="A83" s="2"/>
      <c r="B83" s="2"/>
      <c r="C83" s="2"/>
      <c r="D83" s="2"/>
      <c r="E83" s="2"/>
      <c r="F83" s="2"/>
      <c r="G83" s="2"/>
      <c r="H83" s="2" t="s">
        <v>244</v>
      </c>
      <c r="I83" s="2" t="s">
        <v>124</v>
      </c>
      <c r="J83" s="2" t="s">
        <v>313</v>
      </c>
      <c r="K83" s="2" t="s">
        <v>54</v>
      </c>
      <c r="L83" s="2" t="s">
        <v>314</v>
      </c>
      <c r="M83" s="2"/>
      <c r="N83" s="2" t="s">
        <v>315</v>
      </c>
      <c r="O83" s="2"/>
      <c r="P83" s="2"/>
    </row>
    <row r="84" spans="1:16">
      <c r="A84" s="2"/>
      <c r="B84" s="2"/>
      <c r="C84" s="2"/>
      <c r="D84" s="2"/>
      <c r="E84" s="2"/>
      <c r="F84" s="2"/>
      <c r="G84" s="2"/>
      <c r="H84" s="2" t="s">
        <v>316</v>
      </c>
      <c r="I84" s="2" t="s">
        <v>124</v>
      </c>
      <c r="J84" s="2" t="s">
        <v>317</v>
      </c>
      <c r="K84" s="2" t="s">
        <v>54</v>
      </c>
      <c r="L84" s="2" t="s">
        <v>318</v>
      </c>
      <c r="M84" s="2"/>
      <c r="N84" s="2" t="s">
        <v>319</v>
      </c>
      <c r="O84" s="2"/>
      <c r="P84" s="2"/>
    </row>
    <row r="85" spans="1:16">
      <c r="A85" s="2"/>
      <c r="B85" s="2"/>
      <c r="C85" s="2"/>
      <c r="D85" s="2"/>
      <c r="E85" s="2"/>
      <c r="F85" s="2"/>
      <c r="G85" s="2"/>
      <c r="H85" s="2" t="s">
        <v>37</v>
      </c>
      <c r="I85" s="2" t="s">
        <v>124</v>
      </c>
      <c r="J85" s="2" t="s">
        <v>320</v>
      </c>
      <c r="K85" s="2" t="s">
        <v>74</v>
      </c>
      <c r="L85" s="2" t="s">
        <v>321</v>
      </c>
      <c r="M85" s="2"/>
      <c r="N85" s="2" t="s">
        <v>322</v>
      </c>
      <c r="O85" s="2"/>
      <c r="P85" s="2"/>
    </row>
    <row r="86" spans="1:16">
      <c r="A86" s="2"/>
      <c r="B86" s="2"/>
      <c r="C86" s="2"/>
      <c r="D86" s="2"/>
      <c r="E86" s="2"/>
      <c r="F86" s="2"/>
      <c r="G86" s="2"/>
      <c r="H86" s="2" t="s">
        <v>323</v>
      </c>
      <c r="I86" s="2" t="s">
        <v>124</v>
      </c>
      <c r="J86" s="2" t="s">
        <v>324</v>
      </c>
      <c r="K86" s="2" t="s">
        <v>74</v>
      </c>
      <c r="L86" s="2" t="s">
        <v>325</v>
      </c>
      <c r="M86" s="2"/>
      <c r="N86" s="2" t="s">
        <v>326</v>
      </c>
      <c r="O86" s="2"/>
      <c r="P86" s="2"/>
    </row>
    <row r="87" spans="1:16">
      <c r="A87" s="2"/>
      <c r="B87" s="2"/>
      <c r="C87" s="2"/>
      <c r="D87" s="2"/>
      <c r="E87" s="2"/>
      <c r="F87" s="2"/>
      <c r="G87" s="2"/>
      <c r="H87" s="2" t="s">
        <v>327</v>
      </c>
      <c r="I87" s="2" t="s">
        <v>124</v>
      </c>
      <c r="J87" s="2" t="s">
        <v>328</v>
      </c>
      <c r="K87" s="2" t="s">
        <v>93</v>
      </c>
      <c r="L87" s="2" t="s">
        <v>329</v>
      </c>
      <c r="M87" s="2"/>
      <c r="N87" s="2" t="s">
        <v>330</v>
      </c>
      <c r="O87" s="2"/>
      <c r="P87" s="2"/>
    </row>
    <row r="88" spans="1:16">
      <c r="A88" s="2"/>
      <c r="B88" s="2"/>
      <c r="C88" s="2"/>
      <c r="D88" s="2"/>
      <c r="E88" s="2"/>
      <c r="F88" s="2"/>
      <c r="G88" s="2"/>
      <c r="H88" s="2" t="s">
        <v>331</v>
      </c>
      <c r="I88" s="2" t="s">
        <v>124</v>
      </c>
      <c r="J88" s="2" t="s">
        <v>332</v>
      </c>
      <c r="K88" s="2" t="s">
        <v>74</v>
      </c>
      <c r="L88" s="2" t="s">
        <v>333</v>
      </c>
      <c r="M88" s="2"/>
      <c r="N88" s="2" t="s">
        <v>334</v>
      </c>
      <c r="O88" s="2"/>
      <c r="P88" s="2"/>
    </row>
    <row r="89" spans="1:16">
      <c r="A89" s="2"/>
      <c r="B89" s="2"/>
      <c r="C89" s="2"/>
      <c r="D89" s="2"/>
      <c r="E89" s="2"/>
      <c r="F89" s="2"/>
      <c r="G89" s="2"/>
      <c r="H89" s="2" t="s">
        <v>335</v>
      </c>
      <c r="I89" s="2" t="s">
        <v>124</v>
      </c>
      <c r="J89" s="2" t="s">
        <v>336</v>
      </c>
      <c r="K89" s="2" t="s">
        <v>54</v>
      </c>
      <c r="L89" s="2" t="s">
        <v>337</v>
      </c>
      <c r="M89" s="2"/>
      <c r="N89" s="2" t="s">
        <v>338</v>
      </c>
      <c r="O89" s="2"/>
      <c r="P89" s="2"/>
    </row>
    <row r="90" spans="1:16">
      <c r="A90" s="2"/>
      <c r="B90" s="2"/>
      <c r="C90" s="2"/>
      <c r="D90" s="2"/>
      <c r="E90" s="2"/>
      <c r="F90" s="2"/>
      <c r="G90" s="2"/>
      <c r="H90" s="2" t="s">
        <v>339</v>
      </c>
      <c r="I90" s="2" t="s">
        <v>124</v>
      </c>
      <c r="J90" s="2" t="s">
        <v>340</v>
      </c>
      <c r="K90" s="2" t="s">
        <v>93</v>
      </c>
      <c r="L90" s="2" t="s">
        <v>341</v>
      </c>
      <c r="M90" s="2"/>
      <c r="N90" s="2" t="s">
        <v>342</v>
      </c>
      <c r="O90" s="2"/>
      <c r="P90" s="2"/>
    </row>
    <row r="91" spans="1:16">
      <c r="A91" s="2"/>
      <c r="B91" s="2"/>
      <c r="C91" s="2"/>
      <c r="D91" s="2"/>
      <c r="E91" s="2"/>
      <c r="F91" s="2"/>
      <c r="G91" s="2"/>
      <c r="H91" s="2" t="s">
        <v>343</v>
      </c>
      <c r="I91" s="2" t="s">
        <v>124</v>
      </c>
      <c r="J91" s="2" t="s">
        <v>344</v>
      </c>
      <c r="K91" s="2" t="s">
        <v>93</v>
      </c>
      <c r="L91" s="2" t="s">
        <v>345</v>
      </c>
      <c r="M91" s="2"/>
      <c r="N91" s="2" t="s">
        <v>346</v>
      </c>
      <c r="O91" s="2"/>
      <c r="P91" s="2"/>
    </row>
    <row r="92" spans="1:16">
      <c r="A92" s="2"/>
      <c r="B92" s="2"/>
      <c r="C92" s="2"/>
      <c r="D92" s="2"/>
      <c r="E92" s="2"/>
      <c r="F92" s="2"/>
      <c r="G92" s="2"/>
      <c r="H92" s="2" t="s">
        <v>347</v>
      </c>
      <c r="I92" s="2" t="s">
        <v>124</v>
      </c>
      <c r="J92" s="2" t="s">
        <v>348</v>
      </c>
      <c r="K92" s="2" t="s">
        <v>54</v>
      </c>
      <c r="L92" s="2" t="s">
        <v>349</v>
      </c>
      <c r="M92" s="2"/>
      <c r="N92" s="2" t="s">
        <v>350</v>
      </c>
      <c r="O92" s="2"/>
      <c r="P92" s="2"/>
    </row>
    <row r="93" spans="1:16">
      <c r="A93" s="2"/>
      <c r="B93" s="2"/>
      <c r="C93" s="2"/>
      <c r="D93" s="2"/>
      <c r="E93" s="2"/>
      <c r="F93" s="2"/>
      <c r="G93" s="2"/>
      <c r="H93" s="2" t="s">
        <v>351</v>
      </c>
      <c r="I93" s="2" t="s">
        <v>124</v>
      </c>
      <c r="J93" s="2" t="s">
        <v>352</v>
      </c>
      <c r="K93" s="2" t="s">
        <v>93</v>
      </c>
      <c r="L93" s="2" t="s">
        <v>353</v>
      </c>
      <c r="M93" s="2"/>
      <c r="N93" s="2" t="s">
        <v>354</v>
      </c>
      <c r="O93" s="2"/>
      <c r="P93" s="2"/>
    </row>
    <row r="94" spans="1:16">
      <c r="A94" s="2"/>
      <c r="B94" s="2"/>
      <c r="C94" s="2"/>
      <c r="D94" s="2"/>
      <c r="E94" s="2"/>
      <c r="F94" s="2"/>
      <c r="G94" s="2"/>
      <c r="H94" s="2" t="s">
        <v>265</v>
      </c>
      <c r="I94" s="2" t="s">
        <v>124</v>
      </c>
      <c r="J94" s="2" t="s">
        <v>355</v>
      </c>
      <c r="K94" s="2" t="s">
        <v>93</v>
      </c>
      <c r="L94" s="2" t="s">
        <v>356</v>
      </c>
      <c r="M94" s="2"/>
      <c r="N94" s="2" t="s">
        <v>357</v>
      </c>
      <c r="O94" s="2"/>
      <c r="P94" s="2"/>
    </row>
    <row r="95" spans="1:16">
      <c r="A95" s="2"/>
      <c r="B95" s="2"/>
      <c r="C95" s="2"/>
      <c r="D95" s="2"/>
      <c r="E95" s="2"/>
      <c r="F95" s="2"/>
      <c r="G95" s="2"/>
      <c r="H95" s="2" t="s">
        <v>358</v>
      </c>
      <c r="I95" s="2" t="s">
        <v>124</v>
      </c>
      <c r="J95" s="2" t="s">
        <v>359</v>
      </c>
      <c r="K95" s="2" t="s">
        <v>74</v>
      </c>
      <c r="L95" s="2" t="s">
        <v>360</v>
      </c>
      <c r="M95" s="2"/>
      <c r="N95" s="2" t="s">
        <v>361</v>
      </c>
      <c r="O95" s="2"/>
      <c r="P95" s="2"/>
    </row>
    <row r="96" spans="1:16">
      <c r="A96" s="2"/>
      <c r="B96" s="2"/>
      <c r="C96" s="2"/>
      <c r="D96" s="2"/>
      <c r="E96" s="2"/>
      <c r="F96" s="2"/>
      <c r="G96" s="2"/>
      <c r="H96" s="2" t="s">
        <v>362</v>
      </c>
      <c r="I96" s="2" t="s">
        <v>124</v>
      </c>
      <c r="J96" s="2" t="s">
        <v>363</v>
      </c>
      <c r="K96" s="2" t="s">
        <v>74</v>
      </c>
      <c r="L96" s="2" t="s">
        <v>364</v>
      </c>
      <c r="M96" s="2"/>
      <c r="N96" s="2" t="s">
        <v>365</v>
      </c>
      <c r="O96" s="2"/>
      <c r="P96" s="2"/>
    </row>
    <row r="97" spans="1:16">
      <c r="A97" s="2"/>
      <c r="B97" s="2"/>
      <c r="C97" s="2"/>
      <c r="D97" s="2"/>
      <c r="E97" s="2"/>
      <c r="F97" s="2"/>
      <c r="G97" s="2"/>
      <c r="H97" s="2" t="s">
        <v>366</v>
      </c>
      <c r="I97" s="2" t="s">
        <v>124</v>
      </c>
      <c r="J97" s="2" t="s">
        <v>367</v>
      </c>
      <c r="K97" s="2" t="s">
        <v>93</v>
      </c>
      <c r="L97" s="2" t="s">
        <v>368</v>
      </c>
      <c r="M97" s="2"/>
      <c r="N97" s="2" t="s">
        <v>369</v>
      </c>
      <c r="O97" s="2"/>
      <c r="P97" s="2"/>
    </row>
    <row r="98" spans="1:16">
      <c r="A98" s="2"/>
      <c r="B98" s="2"/>
      <c r="C98" s="2"/>
      <c r="D98" s="2"/>
      <c r="E98" s="2"/>
      <c r="F98" s="2"/>
      <c r="G98" s="2"/>
      <c r="H98" s="2" t="s">
        <v>277</v>
      </c>
      <c r="I98" s="2" t="s">
        <v>124</v>
      </c>
      <c r="J98" s="2" t="s">
        <v>370</v>
      </c>
      <c r="K98" s="2" t="s">
        <v>74</v>
      </c>
      <c r="L98" s="2" t="s">
        <v>371</v>
      </c>
      <c r="M98" s="2" t="s">
        <v>372</v>
      </c>
      <c r="N98" s="2" t="s">
        <v>373</v>
      </c>
      <c r="O98" s="2"/>
      <c r="P98" s="2"/>
    </row>
    <row r="99" spans="1:16">
      <c r="A99" s="2"/>
      <c r="B99" s="2"/>
      <c r="C99" s="2"/>
      <c r="D99" s="2"/>
      <c r="E99" s="2"/>
      <c r="F99" s="2"/>
      <c r="G99" s="2"/>
      <c r="H99" s="2" t="s">
        <v>374</v>
      </c>
      <c r="I99" s="2" t="s">
        <v>124</v>
      </c>
      <c r="J99" s="2" t="s">
        <v>375</v>
      </c>
      <c r="K99" s="2" t="s">
        <v>93</v>
      </c>
      <c r="L99" s="2" t="s">
        <v>376</v>
      </c>
      <c r="M99" s="2"/>
      <c r="N99" s="2" t="s">
        <v>377</v>
      </c>
      <c r="O99" s="2"/>
      <c r="P99" s="2"/>
    </row>
    <row r="100" spans="1:16">
      <c r="A100" s="2"/>
      <c r="B100" s="2"/>
      <c r="C100" s="2"/>
      <c r="D100" s="2"/>
      <c r="E100" s="2"/>
      <c r="F100" s="2"/>
      <c r="G100" s="2"/>
      <c r="H100" s="2" t="s">
        <v>378</v>
      </c>
      <c r="I100" s="2" t="s">
        <v>124</v>
      </c>
      <c r="J100" s="2" t="s">
        <v>379</v>
      </c>
      <c r="K100" s="2" t="s">
        <v>74</v>
      </c>
      <c r="L100" s="2" t="s">
        <v>380</v>
      </c>
      <c r="M100" s="2" t="s">
        <v>372</v>
      </c>
      <c r="N100" s="2" t="s">
        <v>381</v>
      </c>
      <c r="O100" s="2"/>
      <c r="P100" s="2"/>
    </row>
    <row r="101" spans="1:16">
      <c r="A101" s="2"/>
      <c r="B101" s="2"/>
      <c r="C101" s="2"/>
      <c r="D101" s="2"/>
      <c r="E101" s="2"/>
      <c r="F101" s="2"/>
      <c r="G101" s="2"/>
      <c r="H101" s="2" t="s">
        <v>52</v>
      </c>
      <c r="I101" s="2" t="s">
        <v>151</v>
      </c>
      <c r="J101" s="2" t="s">
        <v>382</v>
      </c>
      <c r="K101" s="2" t="s">
        <v>54</v>
      </c>
      <c r="L101" s="2" t="s">
        <v>383</v>
      </c>
      <c r="M101" s="2"/>
      <c r="N101" s="2"/>
      <c r="O101" s="2"/>
      <c r="P101" s="2"/>
    </row>
    <row r="102" spans="1:16">
      <c r="A102" s="2"/>
      <c r="B102" s="2"/>
      <c r="C102" s="2"/>
      <c r="D102" s="2"/>
      <c r="E102" s="2"/>
      <c r="F102" s="2"/>
      <c r="G102" s="2"/>
      <c r="H102" s="2" t="s">
        <v>60</v>
      </c>
      <c r="I102" s="2" t="s">
        <v>151</v>
      </c>
      <c r="J102" s="2" t="s">
        <v>384</v>
      </c>
      <c r="K102" s="2" t="s">
        <v>54</v>
      </c>
      <c r="L102" s="2" t="s">
        <v>383</v>
      </c>
      <c r="M102" s="2"/>
      <c r="N102" s="2"/>
      <c r="O102" s="2"/>
      <c r="P102" s="2"/>
    </row>
    <row r="103" spans="1:16">
      <c r="A103" s="2"/>
      <c r="B103" s="2"/>
      <c r="C103" s="2"/>
      <c r="D103" s="2"/>
      <c r="E103" s="2"/>
      <c r="F103" s="2"/>
      <c r="G103" s="2"/>
      <c r="H103" s="2" t="s">
        <v>66</v>
      </c>
      <c r="I103" s="2" t="s">
        <v>151</v>
      </c>
      <c r="J103" s="2" t="s">
        <v>385</v>
      </c>
      <c r="K103" s="2" t="s">
        <v>54</v>
      </c>
      <c r="L103" s="2" t="s">
        <v>383</v>
      </c>
      <c r="M103" s="2"/>
      <c r="N103" s="2"/>
      <c r="O103" s="2"/>
      <c r="P103" s="2"/>
    </row>
    <row r="104" spans="1:16">
      <c r="A104" s="2"/>
      <c r="B104" s="2"/>
      <c r="C104" s="2"/>
      <c r="D104" s="2"/>
      <c r="E104" s="2"/>
      <c r="F104" s="2"/>
      <c r="G104" s="2"/>
      <c r="H104" s="2" t="s">
        <v>72</v>
      </c>
      <c r="I104" s="2" t="s">
        <v>151</v>
      </c>
      <c r="J104" s="2" t="s">
        <v>386</v>
      </c>
      <c r="K104" s="2" t="s">
        <v>74</v>
      </c>
      <c r="L104" s="2" t="s">
        <v>383</v>
      </c>
      <c r="M104" s="2"/>
      <c r="N104" s="2"/>
      <c r="O104" s="2"/>
      <c r="P104" s="2"/>
    </row>
    <row r="105" spans="1:16">
      <c r="A105" s="2"/>
      <c r="B105" s="2"/>
      <c r="C105" s="2"/>
      <c r="D105" s="2"/>
      <c r="E105" s="2"/>
      <c r="F105" s="2"/>
      <c r="G105" s="2"/>
      <c r="H105" s="2" t="s">
        <v>387</v>
      </c>
      <c r="I105" s="2" t="s">
        <v>151</v>
      </c>
      <c r="J105" s="2" t="s">
        <v>386</v>
      </c>
      <c r="K105" s="2" t="s">
        <v>74</v>
      </c>
      <c r="L105" s="2" t="s">
        <v>383</v>
      </c>
      <c r="M105" s="2"/>
      <c r="N105" s="2"/>
      <c r="O105" s="2"/>
      <c r="P105" s="2"/>
    </row>
    <row r="106" spans="1:16">
      <c r="A106" s="2"/>
      <c r="B106" s="2"/>
      <c r="C106" s="2"/>
      <c r="D106" s="2"/>
      <c r="E106" s="2"/>
      <c r="F106" s="2"/>
      <c r="G106" s="2"/>
      <c r="H106" s="2" t="s">
        <v>98</v>
      </c>
      <c r="I106" s="2" t="s">
        <v>151</v>
      </c>
      <c r="J106" s="2" t="s">
        <v>383</v>
      </c>
      <c r="K106" s="2" t="s">
        <v>54</v>
      </c>
      <c r="L106" s="2" t="s">
        <v>383</v>
      </c>
      <c r="M106" s="2"/>
      <c r="N106" s="2"/>
      <c r="O106" s="2"/>
      <c r="P106" s="2"/>
    </row>
    <row r="107" spans="1:16">
      <c r="A107" s="2"/>
      <c r="B107" s="2"/>
      <c r="C107" s="2"/>
      <c r="D107" s="2"/>
      <c r="E107" s="2"/>
      <c r="F107" s="2"/>
      <c r="G107" s="2"/>
      <c r="H107" s="2" t="s">
        <v>115</v>
      </c>
      <c r="I107" s="2" t="s">
        <v>151</v>
      </c>
      <c r="J107" s="2" t="s">
        <v>388</v>
      </c>
      <c r="K107" s="2" t="s">
        <v>74</v>
      </c>
      <c r="L107" s="2" t="s">
        <v>383</v>
      </c>
      <c r="M107" s="2"/>
      <c r="N107" s="2"/>
      <c r="O107" s="2"/>
      <c r="P107" s="2"/>
    </row>
    <row r="108" spans="1:16">
      <c r="A108" s="2"/>
      <c r="B108" s="2"/>
      <c r="C108" s="2"/>
      <c r="D108" s="2"/>
      <c r="E108" s="2"/>
      <c r="F108" s="2"/>
      <c r="G108" s="2"/>
      <c r="H108" s="2" t="s">
        <v>85</v>
      </c>
      <c r="I108" s="2" t="s">
        <v>151</v>
      </c>
      <c r="J108" s="2" t="s">
        <v>389</v>
      </c>
      <c r="K108" s="2" t="s">
        <v>74</v>
      </c>
      <c r="L108" s="2" t="s">
        <v>383</v>
      </c>
      <c r="M108" s="2"/>
      <c r="N108" s="2"/>
      <c r="O108" s="2"/>
      <c r="P108" s="2"/>
    </row>
    <row r="109" spans="1:16">
      <c r="A109" s="2"/>
      <c r="B109" s="2"/>
      <c r="C109" s="2"/>
      <c r="D109" s="2"/>
      <c r="E109" s="2"/>
      <c r="F109" s="2"/>
      <c r="G109" s="2"/>
      <c r="H109" s="2" t="s">
        <v>91</v>
      </c>
      <c r="I109" s="2" t="s">
        <v>151</v>
      </c>
      <c r="J109" s="2" t="s">
        <v>390</v>
      </c>
      <c r="K109" s="2" t="s">
        <v>93</v>
      </c>
      <c r="L109" s="2" t="s">
        <v>383</v>
      </c>
      <c r="M109" s="2"/>
      <c r="N109" s="2"/>
      <c r="O109" s="2"/>
      <c r="P109" s="2"/>
    </row>
    <row r="110" spans="1:16">
      <c r="A110" s="2"/>
      <c r="B110" s="2"/>
      <c r="C110" s="2"/>
      <c r="D110" s="2"/>
      <c r="E110" s="2"/>
      <c r="F110" s="2"/>
      <c r="G110" s="2"/>
      <c r="H110" s="2" t="s">
        <v>287</v>
      </c>
      <c r="I110" s="2" t="s">
        <v>168</v>
      </c>
      <c r="J110" s="2" t="s">
        <v>391</v>
      </c>
      <c r="K110" s="2" t="s">
        <v>54</v>
      </c>
      <c r="L110" s="2" t="s">
        <v>392</v>
      </c>
      <c r="M110" s="2"/>
      <c r="N110" s="2"/>
      <c r="O110" s="2"/>
      <c r="P110" s="2"/>
    </row>
    <row r="111" spans="1:16">
      <c r="A111" s="2"/>
      <c r="B111" s="2"/>
      <c r="C111" s="2"/>
      <c r="D111" s="2"/>
      <c r="E111" s="2"/>
      <c r="F111" s="2"/>
      <c r="G111" s="2"/>
      <c r="H111" s="2" t="s">
        <v>216</v>
      </c>
      <c r="I111" s="2" t="s">
        <v>168</v>
      </c>
      <c r="J111" s="2" t="s">
        <v>393</v>
      </c>
      <c r="K111" s="2" t="s">
        <v>54</v>
      </c>
      <c r="L111" s="2" t="s">
        <v>394</v>
      </c>
      <c r="M111" s="2"/>
      <c r="N111" s="2"/>
      <c r="O111" s="2"/>
      <c r="P111" s="2"/>
    </row>
    <row r="112" spans="1:16">
      <c r="A112" s="2"/>
      <c r="B112" s="2"/>
      <c r="C112" s="2"/>
      <c r="D112" s="2"/>
      <c r="E112" s="2"/>
      <c r="F112" s="2"/>
      <c r="G112" s="2"/>
      <c r="H112" s="2" t="s">
        <v>295</v>
      </c>
      <c r="I112" s="2" t="s">
        <v>168</v>
      </c>
      <c r="J112" s="2" t="s">
        <v>395</v>
      </c>
      <c r="K112" s="2" t="s">
        <v>54</v>
      </c>
      <c r="L112" s="2" t="s">
        <v>396</v>
      </c>
      <c r="M112" s="2"/>
      <c r="N112" s="2"/>
      <c r="O112" s="2"/>
      <c r="P112" s="2"/>
    </row>
    <row r="113" spans="1:16">
      <c r="A113" s="2"/>
      <c r="B113" s="2"/>
      <c r="C113" s="2"/>
      <c r="D113" s="2"/>
      <c r="E113" s="2"/>
      <c r="F113" s="2"/>
      <c r="G113" s="2"/>
      <c r="H113" s="2" t="s">
        <v>397</v>
      </c>
      <c r="I113" s="2" t="s">
        <v>168</v>
      </c>
      <c r="J113" s="2" t="s">
        <v>398</v>
      </c>
      <c r="K113" s="2" t="s">
        <v>54</v>
      </c>
      <c r="L113" s="2" t="s">
        <v>399</v>
      </c>
      <c r="M113" s="2"/>
      <c r="N113" s="2"/>
      <c r="O113" s="2"/>
      <c r="P113" s="2"/>
    </row>
    <row r="114" spans="1:16">
      <c r="A114" s="2"/>
      <c r="B114" s="2"/>
      <c r="C114" s="2"/>
      <c r="D114" s="2"/>
      <c r="E114" s="2"/>
      <c r="F114" s="2"/>
      <c r="G114" s="2"/>
      <c r="H114" s="2" t="s">
        <v>303</v>
      </c>
      <c r="I114" s="2" t="s">
        <v>168</v>
      </c>
      <c r="J114" s="2" t="s">
        <v>400</v>
      </c>
      <c r="K114" s="2" t="s">
        <v>74</v>
      </c>
      <c r="L114" s="2" t="s">
        <v>401</v>
      </c>
      <c r="M114" s="2"/>
      <c r="N114" s="2"/>
      <c r="O114" s="2"/>
      <c r="P114" s="2"/>
    </row>
    <row r="115" spans="1:16">
      <c r="A115" s="2"/>
      <c r="B115" s="2"/>
      <c r="C115" s="2"/>
      <c r="D115" s="2"/>
      <c r="E115" s="2"/>
      <c r="F115" s="2"/>
      <c r="G115" s="2"/>
      <c r="H115" s="2" t="s">
        <v>402</v>
      </c>
      <c r="I115" s="2" t="s">
        <v>168</v>
      </c>
      <c r="J115" s="2" t="s">
        <v>403</v>
      </c>
      <c r="K115" s="2" t="s">
        <v>54</v>
      </c>
      <c r="L115" s="2" t="s">
        <v>404</v>
      </c>
      <c r="M115" s="2"/>
      <c r="N115" s="2"/>
      <c r="O115" s="2"/>
      <c r="P115" s="2"/>
    </row>
    <row r="116" spans="1:16">
      <c r="A116" s="2"/>
      <c r="B116" s="2"/>
      <c r="C116" s="2"/>
      <c r="D116" s="2"/>
      <c r="E116" s="2"/>
      <c r="F116" s="2"/>
      <c r="G116" s="2"/>
      <c r="H116" s="2" t="s">
        <v>316</v>
      </c>
      <c r="I116" s="2" t="s">
        <v>168</v>
      </c>
      <c r="J116" s="2" t="s">
        <v>405</v>
      </c>
      <c r="K116" s="2" t="s">
        <v>54</v>
      </c>
      <c r="L116" s="2" t="s">
        <v>406</v>
      </c>
      <c r="M116" s="2"/>
      <c r="N116" s="2"/>
      <c r="O116" s="2"/>
      <c r="P116" s="2"/>
    </row>
    <row r="117" spans="1:16">
      <c r="A117" s="2"/>
      <c r="B117" s="2"/>
      <c r="C117" s="2"/>
      <c r="D117" s="2"/>
      <c r="E117" s="2"/>
      <c r="F117" s="2"/>
      <c r="G117" s="2"/>
      <c r="H117" s="2" t="s">
        <v>407</v>
      </c>
      <c r="I117" s="2" t="s">
        <v>168</v>
      </c>
      <c r="J117" s="2" t="s">
        <v>408</v>
      </c>
      <c r="K117" s="2" t="s">
        <v>54</v>
      </c>
      <c r="L117" s="2" t="s">
        <v>409</v>
      </c>
      <c r="M117" s="2"/>
      <c r="N117" s="2"/>
      <c r="O117" s="2"/>
      <c r="P117" s="2"/>
    </row>
    <row r="118" spans="1:16">
      <c r="A118" s="2"/>
      <c r="B118" s="2"/>
      <c r="C118" s="2"/>
      <c r="D118" s="2"/>
      <c r="E118" s="2"/>
      <c r="F118" s="2"/>
      <c r="G118" s="2"/>
      <c r="H118" s="2" t="s">
        <v>410</v>
      </c>
      <c r="I118" s="2" t="s">
        <v>168</v>
      </c>
      <c r="J118" s="2" t="s">
        <v>411</v>
      </c>
      <c r="K118" s="2" t="s">
        <v>54</v>
      </c>
      <c r="L118" s="2" t="s">
        <v>412</v>
      </c>
      <c r="M118" s="2"/>
      <c r="N118" s="2"/>
      <c r="O118" s="2"/>
      <c r="P118" s="2"/>
    </row>
    <row r="119" spans="1:16">
      <c r="A119" s="2"/>
      <c r="B119" s="2"/>
      <c r="C119" s="2"/>
      <c r="D119" s="2"/>
      <c r="E119" s="2"/>
      <c r="F119" s="2"/>
      <c r="G119" s="2"/>
      <c r="H119" s="2" t="s">
        <v>413</v>
      </c>
      <c r="I119" s="2" t="s">
        <v>168</v>
      </c>
      <c r="J119" s="2" t="s">
        <v>414</v>
      </c>
      <c r="K119" s="2" t="s">
        <v>54</v>
      </c>
      <c r="L119" s="2" t="s">
        <v>415</v>
      </c>
      <c r="M119" s="2"/>
      <c r="N119" s="2"/>
      <c r="O119" s="2"/>
      <c r="P119" s="2"/>
    </row>
    <row r="120" spans="1:16">
      <c r="A120" s="2"/>
      <c r="B120" s="2"/>
      <c r="C120" s="2"/>
      <c r="D120" s="2"/>
      <c r="E120" s="2"/>
      <c r="F120" s="2"/>
      <c r="G120" s="2"/>
      <c r="H120" s="2" t="s">
        <v>52</v>
      </c>
      <c r="I120" s="2" t="s">
        <v>168</v>
      </c>
      <c r="J120" s="2" t="s">
        <v>416</v>
      </c>
      <c r="K120" s="2" t="s">
        <v>54</v>
      </c>
      <c r="L120" s="2"/>
      <c r="M120" s="2"/>
      <c r="N120" s="2"/>
      <c r="O120" s="2"/>
      <c r="P120" s="2"/>
    </row>
    <row r="121" spans="1:16">
      <c r="A121" s="1"/>
      <c r="B121" s="1"/>
      <c r="C121" s="1"/>
      <c r="D121" s="1"/>
      <c r="E121" s="1"/>
      <c r="F121" s="1"/>
      <c r="G121" s="1"/>
      <c r="H121" s="1" t="s">
        <v>387</v>
      </c>
      <c r="I121" s="1" t="s">
        <v>175</v>
      </c>
      <c r="J121" s="1" t="s">
        <v>417</v>
      </c>
      <c r="K121" s="1" t="s">
        <v>74</v>
      </c>
      <c r="L121" s="1" t="s">
        <v>418</v>
      </c>
      <c r="M121" s="1"/>
      <c r="N121" s="1"/>
    </row>
    <row r="122" spans="1:16">
      <c r="A122" s="1"/>
      <c r="B122" s="1"/>
      <c r="C122" s="1"/>
      <c r="D122" s="1"/>
      <c r="E122" s="1"/>
      <c r="F122" s="1"/>
      <c r="G122" s="1"/>
      <c r="H122" s="1" t="s">
        <v>37</v>
      </c>
      <c r="I122" s="1" t="s">
        <v>175</v>
      </c>
      <c r="J122" s="1" t="s">
        <v>419</v>
      </c>
      <c r="K122" s="1" t="s">
        <v>74</v>
      </c>
      <c r="L122" s="1" t="s">
        <v>418</v>
      </c>
      <c r="M122" s="1"/>
      <c r="N122" s="1"/>
    </row>
    <row r="123" spans="1:16">
      <c r="A123" s="1"/>
      <c r="B123" s="1"/>
      <c r="C123" s="1"/>
      <c r="D123" s="1"/>
      <c r="E123" s="1"/>
      <c r="F123" s="1"/>
      <c r="G123" s="1"/>
      <c r="H123" s="1" t="s">
        <v>269</v>
      </c>
      <c r="I123" s="1" t="s">
        <v>175</v>
      </c>
      <c r="J123" s="1" t="s">
        <v>420</v>
      </c>
      <c r="K123" s="1" t="s">
        <v>74</v>
      </c>
      <c r="L123" s="1" t="s">
        <v>418</v>
      </c>
      <c r="M123" s="1"/>
      <c r="N123" s="1"/>
    </row>
    <row r="124" spans="1:16">
      <c r="A124" s="1"/>
      <c r="B124" s="1"/>
      <c r="C124" s="1"/>
      <c r="D124" s="1"/>
      <c r="E124" s="1"/>
      <c r="F124" s="1"/>
      <c r="G124" s="1"/>
      <c r="H124" s="1" t="s">
        <v>421</v>
      </c>
      <c r="I124" s="1" t="s">
        <v>75</v>
      </c>
      <c r="J124" s="1" t="s">
        <v>422</v>
      </c>
      <c r="K124" s="1" t="s">
        <v>54</v>
      </c>
      <c r="L124" s="1"/>
      <c r="M124" s="1"/>
      <c r="N124" s="1"/>
    </row>
    <row r="125" spans="1:16">
      <c r="A125" s="1"/>
      <c r="B125" s="1"/>
      <c r="C125" s="1"/>
      <c r="D125" s="1"/>
      <c r="E125" s="1"/>
      <c r="F125" s="1"/>
      <c r="G125" s="1"/>
      <c r="H125" s="1" t="s">
        <v>423</v>
      </c>
      <c r="I125" s="1" t="s">
        <v>75</v>
      </c>
      <c r="J125" s="1" t="s">
        <v>424</v>
      </c>
      <c r="K125" s="1" t="s">
        <v>54</v>
      </c>
      <c r="L125" s="1"/>
      <c r="M125" s="1"/>
      <c r="N125" s="1"/>
    </row>
    <row r="126" spans="1:16">
      <c r="A126" s="1"/>
      <c r="B126" s="1"/>
      <c r="C126" s="1"/>
      <c r="D126" s="1"/>
      <c r="E126" s="1"/>
      <c r="F126" s="1"/>
      <c r="G126" s="1"/>
      <c r="H126" s="1" t="s">
        <v>425</v>
      </c>
      <c r="I126" s="1" t="s">
        <v>75</v>
      </c>
      <c r="J126" s="1" t="s">
        <v>426</v>
      </c>
      <c r="K126" s="1" t="s">
        <v>54</v>
      </c>
      <c r="L126" s="1"/>
      <c r="M126" s="1"/>
      <c r="N126" s="1"/>
    </row>
    <row r="127" spans="1:16">
      <c r="A127" s="1"/>
      <c r="B127" s="1"/>
      <c r="C127" s="1"/>
      <c r="D127" s="1"/>
      <c r="E127" s="1"/>
      <c r="F127" s="1"/>
      <c r="G127" s="1"/>
      <c r="H127" s="1" t="s">
        <v>427</v>
      </c>
      <c r="I127" s="1" t="s">
        <v>75</v>
      </c>
      <c r="J127" s="1" t="s">
        <v>428</v>
      </c>
      <c r="K127" s="1" t="s">
        <v>54</v>
      </c>
      <c r="L127" s="1"/>
      <c r="M127" s="1"/>
      <c r="N127" s="1"/>
    </row>
    <row r="128" spans="1:16">
      <c r="A128" s="1"/>
      <c r="B128" s="1"/>
      <c r="C128" s="1"/>
      <c r="D128" s="1"/>
      <c r="E128" s="1"/>
      <c r="F128" s="1"/>
      <c r="G128" s="1"/>
      <c r="H128" s="1" t="s">
        <v>429</v>
      </c>
      <c r="I128" s="1" t="s">
        <v>99</v>
      </c>
      <c r="J128" s="1" t="s">
        <v>430</v>
      </c>
      <c r="K128" s="1" t="s">
        <v>74</v>
      </c>
      <c r="L128" s="1" t="s">
        <v>431</v>
      </c>
      <c r="M128" s="1"/>
      <c r="N128" s="1"/>
    </row>
    <row r="129" spans="1:14">
      <c r="A129" s="1"/>
      <c r="B129" s="1"/>
      <c r="C129" s="1"/>
      <c r="D129" s="1"/>
      <c r="E129" s="1"/>
      <c r="F129" s="1"/>
      <c r="G129" s="1"/>
      <c r="H129" s="1" t="s">
        <v>432</v>
      </c>
      <c r="I129" s="1" t="s">
        <v>99</v>
      </c>
      <c r="J129" s="1" t="s">
        <v>433</v>
      </c>
      <c r="K129" s="1" t="s">
        <v>74</v>
      </c>
      <c r="L129" s="1" t="s">
        <v>431</v>
      </c>
      <c r="M129" s="1"/>
      <c r="N129" s="1"/>
    </row>
    <row r="130" spans="1:14">
      <c r="A130" s="1"/>
      <c r="B130" s="1"/>
      <c r="C130" s="1"/>
      <c r="D130" s="1"/>
      <c r="E130" s="1"/>
      <c r="F130" s="1"/>
      <c r="G130" s="1"/>
      <c r="H130" s="1" t="s">
        <v>434</v>
      </c>
      <c r="I130" s="1" t="s">
        <v>99</v>
      </c>
      <c r="J130" s="1" t="s">
        <v>435</v>
      </c>
      <c r="K130" s="1" t="s">
        <v>74</v>
      </c>
      <c r="L130" s="1" t="s">
        <v>431</v>
      </c>
      <c r="M130" s="1"/>
      <c r="N130" s="1"/>
    </row>
    <row r="131" spans="1:14">
      <c r="A131" s="1"/>
      <c r="B131" s="1"/>
      <c r="C131" s="1"/>
      <c r="D131" s="1"/>
      <c r="E131" s="1"/>
      <c r="F131" s="1"/>
      <c r="G131" s="1"/>
      <c r="H131" s="1" t="s">
        <v>436</v>
      </c>
      <c r="I131" s="1" t="s">
        <v>99</v>
      </c>
      <c r="J131" s="1" t="s">
        <v>437</v>
      </c>
      <c r="K131" s="1" t="s">
        <v>74</v>
      </c>
      <c r="L131" s="1" t="s">
        <v>431</v>
      </c>
      <c r="M131" s="1"/>
      <c r="N131" s="1"/>
    </row>
    <row r="132" spans="1:14">
      <c r="A132" s="1"/>
      <c r="B132" s="1"/>
      <c r="C132" s="1"/>
      <c r="D132" s="1"/>
      <c r="E132" s="1"/>
      <c r="F132" s="1"/>
      <c r="G132" s="1"/>
      <c r="H132" s="1" t="s">
        <v>438</v>
      </c>
      <c r="I132" s="1" t="s">
        <v>94</v>
      </c>
      <c r="J132" s="1" t="s">
        <v>439</v>
      </c>
      <c r="K132" s="1" t="s">
        <v>54</v>
      </c>
      <c r="L132" s="1" t="s">
        <v>440</v>
      </c>
      <c r="M132" s="1"/>
      <c r="N132" s="1"/>
    </row>
    <row r="133" spans="1:14">
      <c r="A133" s="1"/>
      <c r="B133" s="1"/>
      <c r="C133" s="1"/>
      <c r="D133" s="1"/>
      <c r="E133" s="1"/>
      <c r="F133" s="1"/>
      <c r="G133" s="1"/>
      <c r="H133" s="1"/>
      <c r="I133" s="1"/>
      <c r="J133" s="1"/>
      <c r="K133" s="1"/>
      <c r="L133" s="1"/>
      <c r="M133" s="1"/>
      <c r="N133" s="1"/>
    </row>
    <row r="134" spans="1:14">
      <c r="A134" s="1"/>
      <c r="B134" s="1"/>
      <c r="C134" s="1"/>
      <c r="D134" s="1"/>
      <c r="E134" s="1"/>
      <c r="F134" s="1"/>
      <c r="G134" s="1"/>
      <c r="H134" s="1"/>
      <c r="I134" s="1"/>
      <c r="J134" s="1"/>
      <c r="K134" s="1"/>
      <c r="L134" s="1"/>
      <c r="M134" s="1"/>
      <c r="N134" s="1"/>
    </row>
    <row r="135" spans="1:14">
      <c r="A135" s="1"/>
      <c r="B135" s="1"/>
      <c r="C135" s="1"/>
      <c r="D135" s="1"/>
      <c r="E135" s="1"/>
      <c r="F135" s="1"/>
      <c r="G135" s="1"/>
      <c r="H135" s="1"/>
      <c r="I135" s="1"/>
      <c r="J135" s="1"/>
      <c r="K135" s="1"/>
      <c r="L135" s="1"/>
      <c r="M135" s="1"/>
      <c r="N135" s="1"/>
    </row>
    <row r="136" spans="1:14">
      <c r="A136" s="1"/>
      <c r="B136" s="1"/>
      <c r="C136" s="1"/>
      <c r="D136" s="1"/>
      <c r="E136" s="1"/>
      <c r="F136" s="1"/>
      <c r="G136" s="1"/>
      <c r="H136" s="1"/>
      <c r="I136" s="1"/>
      <c r="J136" s="1"/>
      <c r="K136" s="1"/>
      <c r="L136" s="1"/>
      <c r="M136" s="1"/>
      <c r="N136" s="1"/>
    </row>
    <row r="137" spans="1:14">
      <c r="A137" s="1"/>
      <c r="B137" s="1"/>
      <c r="C137" s="1"/>
      <c r="D137" s="1"/>
      <c r="E137" s="1"/>
      <c r="F137" s="1"/>
      <c r="G137" s="1"/>
      <c r="H137" s="1"/>
      <c r="I137" s="1"/>
      <c r="J137" s="1"/>
      <c r="K137" s="1"/>
      <c r="L137" s="1"/>
      <c r="M137" s="1"/>
      <c r="N137" s="1"/>
    </row>
    <row r="138" spans="1:14">
      <c r="A138" s="1"/>
      <c r="B138" s="1"/>
      <c r="C138" s="1"/>
      <c r="D138" s="1"/>
      <c r="E138" s="1"/>
      <c r="F138" s="1"/>
      <c r="G138" s="1"/>
      <c r="H138" s="1"/>
      <c r="I138" s="1"/>
      <c r="J138" s="1"/>
      <c r="K138" s="1"/>
      <c r="L138" s="1"/>
      <c r="M138" s="1"/>
      <c r="N138" s="1"/>
    </row>
    <row r="139" spans="1:14">
      <c r="A139" s="1"/>
      <c r="B139" s="1"/>
      <c r="C139" s="1"/>
      <c r="D139" s="1"/>
      <c r="E139" s="1"/>
      <c r="F139" s="1"/>
      <c r="G139" s="1"/>
      <c r="H139" s="1"/>
      <c r="I139" s="1"/>
      <c r="J139" s="1"/>
      <c r="K139" s="1"/>
      <c r="L139" s="1"/>
      <c r="M139" s="1"/>
      <c r="N139" s="1"/>
    </row>
    <row r="140" spans="1:14">
      <c r="A140" s="1"/>
      <c r="B140" s="1"/>
      <c r="C140" s="1"/>
      <c r="D140" s="1"/>
      <c r="E140" s="1"/>
      <c r="F140" s="1"/>
      <c r="G140" s="1"/>
      <c r="H140" s="1"/>
      <c r="I140" s="1"/>
      <c r="J140" s="1"/>
      <c r="K140" s="1"/>
      <c r="L140" s="1"/>
      <c r="M140" s="1"/>
      <c r="N140" s="1"/>
    </row>
    <row r="141" spans="1:14">
      <c r="A141" s="1"/>
      <c r="B141" s="1"/>
      <c r="C141" s="1"/>
      <c r="D141" s="1"/>
      <c r="E141" s="1"/>
      <c r="F141" s="1"/>
      <c r="G141" s="1"/>
      <c r="H141" s="1"/>
      <c r="I141" s="1"/>
      <c r="J141" s="1"/>
      <c r="K141" s="1"/>
      <c r="L141" s="1"/>
      <c r="M141" s="1"/>
      <c r="N141" s="1"/>
    </row>
    <row r="142" spans="1:14">
      <c r="A142" s="1"/>
      <c r="B142" s="1"/>
      <c r="C142" s="1"/>
      <c r="D142" s="1"/>
      <c r="E142" s="1"/>
      <c r="F142" s="1"/>
      <c r="G142" s="1"/>
      <c r="H142" s="1"/>
      <c r="I142" s="1"/>
      <c r="J142" s="1"/>
      <c r="K142" s="1"/>
      <c r="L142" s="1"/>
      <c r="M142" s="1"/>
      <c r="N142" s="1"/>
    </row>
    <row r="143" spans="1:14">
      <c r="A143" s="1"/>
      <c r="B143" s="1"/>
      <c r="C143" s="1"/>
      <c r="D143" s="1"/>
      <c r="E143" s="1"/>
      <c r="F143" s="1"/>
      <c r="G143" s="1"/>
      <c r="H143" s="1"/>
      <c r="I143" s="1"/>
      <c r="J143" s="1"/>
      <c r="K143" s="1"/>
      <c r="L143" s="1"/>
      <c r="M143" s="1"/>
      <c r="N143" s="1"/>
    </row>
    <row r="144" spans="1:14">
      <c r="A144" s="1"/>
      <c r="B144" s="1"/>
      <c r="C144" s="1"/>
      <c r="D144" s="1"/>
      <c r="E144" s="1"/>
      <c r="F144" s="1"/>
      <c r="G144" s="1"/>
      <c r="H144" s="1"/>
      <c r="I144" s="1"/>
      <c r="J144" s="1"/>
      <c r="K144" s="1"/>
      <c r="L144" s="1"/>
      <c r="M144" s="1"/>
      <c r="N144" s="1"/>
    </row>
    <row r="145" spans="1:14">
      <c r="A145" s="1"/>
      <c r="B145" s="1"/>
      <c r="C145" s="1"/>
      <c r="D145" s="1"/>
      <c r="E145" s="1"/>
      <c r="F145" s="1"/>
      <c r="G145" s="1"/>
      <c r="H145" s="1"/>
      <c r="I145" s="1"/>
      <c r="J145" s="1"/>
      <c r="K145" s="1"/>
      <c r="L145" s="1"/>
      <c r="M145" s="1"/>
      <c r="N145" s="1"/>
    </row>
    <row r="146" spans="1:14">
      <c r="A146" s="1"/>
      <c r="B146" s="1"/>
      <c r="C146" s="1"/>
      <c r="D146" s="1"/>
      <c r="E146" s="1"/>
      <c r="F146" s="1"/>
      <c r="G146" s="1"/>
      <c r="H146" s="1"/>
      <c r="I146" s="1"/>
      <c r="J146" s="1"/>
      <c r="K146" s="1"/>
      <c r="L146" s="1"/>
      <c r="M146" s="1"/>
      <c r="N146" s="1"/>
    </row>
    <row r="147" spans="1:14">
      <c r="A147" s="1"/>
      <c r="B147" s="1"/>
      <c r="C147" s="1"/>
      <c r="D147" s="1"/>
      <c r="E147" s="1"/>
      <c r="F147" s="1"/>
      <c r="G147" s="1"/>
      <c r="H147" s="1"/>
      <c r="I147" s="1"/>
      <c r="J147" s="1"/>
      <c r="K147" s="1"/>
      <c r="L147" s="1"/>
      <c r="M147" s="1"/>
      <c r="N147" s="1"/>
    </row>
    <row r="148" spans="1:14">
      <c r="A148" s="1"/>
      <c r="B148" s="1"/>
      <c r="C148" s="1"/>
      <c r="D148" s="1"/>
      <c r="E148" s="1"/>
      <c r="F148" s="1"/>
      <c r="G148" s="1"/>
      <c r="H148" s="1"/>
      <c r="I148" s="1"/>
      <c r="J148" s="1"/>
      <c r="K148" s="1"/>
      <c r="L148" s="1"/>
      <c r="M148" s="1"/>
      <c r="N148" s="1"/>
    </row>
    <row r="149" spans="1:14">
      <c r="A149" s="1"/>
      <c r="B149" s="1"/>
      <c r="C149" s="1"/>
      <c r="D149" s="1"/>
      <c r="E149" s="1"/>
      <c r="F149" s="1"/>
      <c r="G149" s="1"/>
      <c r="H149" s="1"/>
      <c r="I149" s="1"/>
      <c r="J149" s="1"/>
      <c r="K149" s="1"/>
      <c r="L149" s="1"/>
      <c r="M149" s="1"/>
      <c r="N149" s="1"/>
    </row>
    <row r="150" spans="1:14">
      <c r="A150" s="1"/>
      <c r="B150" s="1"/>
      <c r="C150" s="1"/>
      <c r="D150" s="1"/>
      <c r="E150" s="1"/>
      <c r="F150" s="1"/>
      <c r="G150" s="1"/>
      <c r="H150" s="1"/>
      <c r="I150" s="1"/>
      <c r="J150" s="1"/>
      <c r="K150" s="1"/>
      <c r="L150" s="1"/>
      <c r="M150" s="1"/>
      <c r="N150" s="1"/>
    </row>
    <row r="151" spans="1:14">
      <c r="A151" s="1"/>
      <c r="B151" s="1"/>
      <c r="C151" s="1"/>
      <c r="D151" s="1"/>
      <c r="E151" s="1"/>
      <c r="F151" s="1"/>
      <c r="G151" s="1"/>
      <c r="H151" s="1"/>
      <c r="I151" s="1"/>
      <c r="J151" s="1"/>
      <c r="K151" s="1"/>
      <c r="L151" s="1"/>
      <c r="M151" s="1"/>
      <c r="N151" s="1"/>
    </row>
    <row r="152" spans="1:14">
      <c r="A152" s="1"/>
      <c r="B152" s="1"/>
      <c r="C152" s="1"/>
      <c r="D152" s="1"/>
      <c r="E152" s="1"/>
      <c r="F152" s="1"/>
      <c r="G152" s="1"/>
      <c r="H152" s="1"/>
      <c r="I152" s="1"/>
      <c r="J152" s="1"/>
      <c r="K152" s="1"/>
      <c r="L152" s="1"/>
      <c r="M152" s="1"/>
      <c r="N152" s="1"/>
    </row>
    <row r="153" spans="1:14">
      <c r="A153" s="1"/>
      <c r="B153" s="1"/>
      <c r="C153" s="1"/>
      <c r="D153" s="1"/>
      <c r="E153" s="1"/>
      <c r="F153" s="1"/>
      <c r="G153" s="1"/>
      <c r="H153" s="1"/>
      <c r="I153" s="1"/>
      <c r="J153" s="1"/>
      <c r="K153" s="1"/>
      <c r="L153" s="1"/>
      <c r="M153" s="1"/>
      <c r="N153" s="1"/>
    </row>
    <row r="154" spans="1:14">
      <c r="A154" s="1"/>
      <c r="B154" s="1"/>
      <c r="C154" s="1"/>
      <c r="D154" s="1"/>
      <c r="E154" s="1"/>
      <c r="F154" s="1"/>
      <c r="G154" s="1"/>
      <c r="H154" s="1"/>
      <c r="I154" s="1"/>
      <c r="J154" s="1"/>
      <c r="K154" s="1"/>
      <c r="L154" s="1"/>
      <c r="M154" s="1"/>
      <c r="N154" s="1"/>
    </row>
    <row r="155" spans="1:14">
      <c r="A155" s="1"/>
      <c r="B155" s="1"/>
      <c r="C155" s="1"/>
      <c r="D155" s="1"/>
      <c r="E155" s="1"/>
      <c r="F155" s="1"/>
      <c r="G155" s="1"/>
      <c r="H155" s="1"/>
      <c r="I155" s="1"/>
      <c r="J155" s="1"/>
      <c r="K155" s="1"/>
      <c r="L155" s="1"/>
      <c r="M155" s="1"/>
      <c r="N155" s="1"/>
    </row>
    <row r="156" spans="1:14">
      <c r="A156" s="1"/>
      <c r="B156" s="1"/>
      <c r="C156" s="1"/>
      <c r="D156" s="1"/>
      <c r="E156" s="1"/>
      <c r="F156" s="1"/>
      <c r="G156" s="1"/>
      <c r="H156" s="1"/>
      <c r="I156" s="1"/>
      <c r="J156" s="1"/>
      <c r="K156" s="1"/>
      <c r="L156" s="1"/>
      <c r="M156" s="1"/>
      <c r="N156" s="1"/>
    </row>
    <row r="157" spans="1:14">
      <c r="A157" s="1"/>
      <c r="B157" s="1"/>
      <c r="C157" s="1"/>
      <c r="D157" s="1"/>
      <c r="E157" s="1"/>
      <c r="F157" s="1"/>
      <c r="G157" s="1"/>
      <c r="H157" s="1"/>
      <c r="I157" s="1"/>
      <c r="J157" s="1"/>
      <c r="K157" s="1"/>
      <c r="L157" s="1"/>
      <c r="M157" s="1"/>
      <c r="N157" s="1"/>
    </row>
    <row r="158" spans="1:14">
      <c r="A158" s="1"/>
      <c r="B158" s="1"/>
      <c r="C158" s="1"/>
      <c r="D158" s="1"/>
      <c r="E158" s="1"/>
      <c r="F158" s="1"/>
      <c r="G158" s="1"/>
      <c r="H158" s="1"/>
      <c r="I158" s="1"/>
      <c r="J158" s="1"/>
      <c r="K158" s="1"/>
      <c r="L158" s="1"/>
      <c r="M158" s="1"/>
      <c r="N158" s="1"/>
    </row>
    <row r="159" spans="1:14">
      <c r="A159" s="1"/>
      <c r="B159" s="1"/>
      <c r="C159" s="1"/>
      <c r="D159" s="1"/>
      <c r="E159" s="1"/>
      <c r="F159" s="1"/>
      <c r="G159" s="1"/>
      <c r="H159" s="1"/>
      <c r="I159" s="1"/>
      <c r="J159" s="1"/>
      <c r="K159" s="1"/>
      <c r="L159" s="1"/>
      <c r="M159" s="1"/>
      <c r="N159" s="1"/>
    </row>
    <row r="160" spans="1:14">
      <c r="A160" s="1"/>
      <c r="B160" s="1"/>
      <c r="C160" s="1"/>
      <c r="D160" s="1"/>
      <c r="E160" s="1"/>
      <c r="F160" s="1"/>
      <c r="G160" s="1"/>
      <c r="H160" s="1"/>
      <c r="I160" s="1"/>
      <c r="J160" s="1"/>
      <c r="K160" s="1"/>
      <c r="L160" s="1"/>
      <c r="M160" s="1"/>
      <c r="N160" s="1"/>
    </row>
  </sheetData>
  <mergeCells count="10">
    <mergeCell ref="A8:F8"/>
    <mergeCell ref="A9:F9"/>
    <mergeCell ref="A10:F10"/>
    <mergeCell ref="A11:F11"/>
    <mergeCell ref="A12:F12"/>
    <mergeCell ref="A2:F2"/>
    <mergeCell ref="A4:F4"/>
    <mergeCell ref="A5:F5"/>
    <mergeCell ref="A6:F6"/>
    <mergeCell ref="A7:F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P600"/>
  <sheetViews>
    <sheetView showGridLines="0" workbookViewId="0">
      <pane ySplit="1" topLeftCell="A2" activePane="bottomLeft" state="frozen"/>
      <selection pane="bottomLeft"/>
    </sheetView>
  </sheetViews>
  <sheetFormatPr defaultRowHeight="14.25"/>
  <cols>
    <col min="1" max="1" width="20" customWidth="1"/>
    <col min="2" max="2" width="52" customWidth="1"/>
    <col min="3" max="4" width="20" customWidth="1"/>
    <col min="5" max="5" width="56" customWidth="1"/>
    <col min="6" max="7" width="20" customWidth="1"/>
  </cols>
  <sheetData>
    <row r="1" spans="1:16" ht="21" customHeight="1">
      <c r="A1" s="6" t="s">
        <v>41</v>
      </c>
      <c r="B1" s="6" t="s">
        <v>441</v>
      </c>
      <c r="C1" s="6" t="s">
        <v>442</v>
      </c>
      <c r="D1" s="6" t="s">
        <v>9</v>
      </c>
      <c r="E1" s="6" t="s">
        <v>40</v>
      </c>
      <c r="F1" s="6" t="s">
        <v>232</v>
      </c>
      <c r="G1" s="6" t="s">
        <v>443</v>
      </c>
      <c r="H1" s="2" t="s">
        <v>444</v>
      </c>
      <c r="I1" s="2"/>
      <c r="J1" s="2"/>
      <c r="K1" s="2"/>
      <c r="L1" s="2"/>
      <c r="M1" s="2"/>
      <c r="N1" s="2"/>
      <c r="O1" s="2"/>
      <c r="P1" s="2"/>
    </row>
    <row r="2" spans="1:16" ht="21" customHeight="1">
      <c r="A2" s="2" t="s">
        <v>52</v>
      </c>
      <c r="B2" s="2" t="s">
        <v>552</v>
      </c>
      <c r="C2" s="2"/>
      <c r="D2" s="14">
        <v>46307</v>
      </c>
      <c r="E2" s="2" t="s">
        <v>59</v>
      </c>
      <c r="F2" s="2" t="s">
        <v>445</v>
      </c>
      <c r="G2" s="2" t="s">
        <v>553</v>
      </c>
      <c r="H2" s="2" t="b">
        <f>AND(UPPER('Research Dashboard'!B4)=Data!$B$88,'Research Dashboard'!G4=Data!$B$89)</f>
        <v>1</v>
      </c>
      <c r="I2" s="2"/>
      <c r="J2" s="2"/>
      <c r="K2" s="2"/>
      <c r="L2" s="2"/>
      <c r="M2" s="2"/>
      <c r="N2" s="2"/>
      <c r="O2" s="2"/>
      <c r="P2" s="2"/>
    </row>
    <row r="3" spans="1:16" ht="21" customHeight="1">
      <c r="A3" s="2" t="s">
        <v>60</v>
      </c>
      <c r="B3" s="2" t="s">
        <v>251</v>
      </c>
      <c r="C3" s="2"/>
      <c r="D3" s="14">
        <v>46304</v>
      </c>
      <c r="E3" s="2" t="s">
        <v>51</v>
      </c>
      <c r="F3" s="2" t="s">
        <v>445</v>
      </c>
      <c r="G3" s="2" t="s">
        <v>446</v>
      </c>
      <c r="H3" s="2"/>
      <c r="I3" s="2"/>
      <c r="J3" s="2"/>
      <c r="K3" s="2"/>
      <c r="L3" s="2"/>
      <c r="M3" s="2"/>
      <c r="N3" s="2"/>
      <c r="O3" s="2"/>
      <c r="P3" s="2"/>
    </row>
    <row r="4" spans="1:16" ht="21" customHeight="1">
      <c r="A4" s="2" t="s">
        <v>66</v>
      </c>
      <c r="B4" s="2" t="s">
        <v>447</v>
      </c>
      <c r="C4" s="2"/>
      <c r="D4" s="14">
        <v>46304</v>
      </c>
      <c r="E4" s="2" t="s">
        <v>51</v>
      </c>
      <c r="F4" s="2" t="s">
        <v>445</v>
      </c>
      <c r="G4" s="2" t="s">
        <v>448</v>
      </c>
      <c r="H4" s="2"/>
      <c r="I4" s="2"/>
      <c r="J4" s="2"/>
      <c r="K4" s="2"/>
      <c r="L4" s="2"/>
      <c r="M4" s="2"/>
      <c r="N4" s="2"/>
      <c r="O4" s="2"/>
      <c r="P4" s="2"/>
    </row>
    <row r="5" spans="1:16" ht="21" customHeight="1">
      <c r="A5" s="2" t="s">
        <v>72</v>
      </c>
      <c r="B5" s="2">
        <v>227.13</v>
      </c>
      <c r="C5" s="2"/>
      <c r="D5" s="14">
        <v>46304</v>
      </c>
      <c r="E5" s="2" t="s">
        <v>51</v>
      </c>
      <c r="F5" s="2" t="s">
        <v>445</v>
      </c>
      <c r="G5" s="2" t="s">
        <v>554</v>
      </c>
      <c r="H5" s="2"/>
      <c r="I5" s="2"/>
      <c r="J5" s="2"/>
      <c r="K5" s="2"/>
      <c r="L5" s="2"/>
      <c r="M5" s="2"/>
      <c r="N5" s="2"/>
      <c r="O5" s="2"/>
      <c r="P5" s="2"/>
    </row>
    <row r="6" spans="1:16" ht="21" customHeight="1">
      <c r="A6" s="2" t="s">
        <v>79</v>
      </c>
      <c r="B6" s="2">
        <v>227.13</v>
      </c>
      <c r="C6" s="2"/>
      <c r="D6" s="14">
        <v>46304</v>
      </c>
      <c r="E6" s="2" t="s">
        <v>51</v>
      </c>
      <c r="F6" s="2" t="s">
        <v>445</v>
      </c>
      <c r="G6" s="2" t="s">
        <v>554</v>
      </c>
      <c r="H6" s="2"/>
      <c r="I6" s="2"/>
      <c r="J6" s="2"/>
      <c r="K6" s="2"/>
      <c r="L6" s="2"/>
      <c r="M6" s="2"/>
      <c r="N6" s="2"/>
      <c r="O6" s="2"/>
      <c r="P6" s="2"/>
    </row>
    <row r="7" spans="1:16" ht="21" customHeight="1">
      <c r="A7" s="2" t="s">
        <v>85</v>
      </c>
      <c r="B7" s="2">
        <v>0.52</v>
      </c>
      <c r="C7" s="2"/>
      <c r="D7" s="14">
        <v>46304</v>
      </c>
      <c r="E7" s="2" t="s">
        <v>51</v>
      </c>
      <c r="F7" s="2" t="s">
        <v>445</v>
      </c>
      <c r="G7" s="2" t="s">
        <v>555</v>
      </c>
      <c r="H7" s="2"/>
      <c r="I7" s="2"/>
      <c r="J7" s="2"/>
      <c r="K7" s="2"/>
      <c r="L7" s="2"/>
      <c r="M7" s="2"/>
      <c r="N7" s="2"/>
      <c r="O7" s="2"/>
      <c r="P7" s="2"/>
    </row>
    <row r="8" spans="1:16" ht="21" customHeight="1">
      <c r="A8" s="2" t="s">
        <v>91</v>
      </c>
      <c r="B8" s="2">
        <v>2.2899999999999999E-3</v>
      </c>
      <c r="C8" s="2"/>
      <c r="D8" s="14">
        <v>46304</v>
      </c>
      <c r="E8" s="2" t="s">
        <v>51</v>
      </c>
      <c r="F8" s="2" t="s">
        <v>445</v>
      </c>
      <c r="G8" s="2" t="s">
        <v>556</v>
      </c>
      <c r="H8" s="2"/>
      <c r="I8" s="2"/>
      <c r="J8" s="2"/>
      <c r="K8" s="2"/>
      <c r="L8" s="2"/>
      <c r="M8" s="2"/>
      <c r="N8" s="2"/>
      <c r="O8" s="2"/>
      <c r="P8" s="2"/>
    </row>
    <row r="9" spans="1:16" ht="21" customHeight="1">
      <c r="A9" s="2" t="s">
        <v>98</v>
      </c>
      <c r="B9" s="14">
        <v>46304</v>
      </c>
      <c r="C9" s="2"/>
      <c r="D9" s="14">
        <v>46304</v>
      </c>
      <c r="E9" s="2" t="s">
        <v>51</v>
      </c>
      <c r="F9" s="2" t="s">
        <v>445</v>
      </c>
      <c r="G9" s="2" t="s">
        <v>449</v>
      </c>
      <c r="H9" s="2"/>
      <c r="I9" s="2"/>
      <c r="J9" s="2"/>
      <c r="K9" s="2"/>
      <c r="L9" s="2"/>
      <c r="M9" s="2"/>
      <c r="N9" s="2"/>
      <c r="O9" s="2"/>
      <c r="P9" s="2"/>
    </row>
    <row r="10" spans="1:16" ht="21" customHeight="1">
      <c r="A10" s="2" t="s">
        <v>102</v>
      </c>
      <c r="B10" s="15">
        <v>0.66666666666666663</v>
      </c>
      <c r="C10" s="2"/>
      <c r="D10" s="14">
        <v>46304</v>
      </c>
      <c r="E10" s="2" t="s">
        <v>51</v>
      </c>
      <c r="F10" s="2" t="s">
        <v>445</v>
      </c>
      <c r="G10" s="2" t="s">
        <v>450</v>
      </c>
      <c r="H10" s="2"/>
      <c r="I10" s="2"/>
      <c r="J10" s="2"/>
      <c r="K10" s="2"/>
      <c r="L10" s="2"/>
      <c r="M10" s="2"/>
      <c r="N10" s="2"/>
      <c r="O10" s="2"/>
      <c r="P10" s="2"/>
    </row>
    <row r="11" spans="1:16" ht="21" customHeight="1">
      <c r="A11" s="2" t="s">
        <v>108</v>
      </c>
      <c r="B11" s="2">
        <v>-4</v>
      </c>
      <c r="C11" s="2"/>
      <c r="D11" s="14">
        <v>46304</v>
      </c>
      <c r="E11" s="2" t="s">
        <v>51</v>
      </c>
      <c r="F11" s="2" t="s">
        <v>445</v>
      </c>
      <c r="G11" s="2" t="s">
        <v>451</v>
      </c>
      <c r="H11" s="2"/>
      <c r="I11" s="2"/>
      <c r="J11" s="2"/>
      <c r="K11" s="2"/>
      <c r="L11" s="2"/>
      <c r="M11" s="2"/>
      <c r="N11" s="2"/>
      <c r="O11" s="2"/>
      <c r="P11" s="2"/>
    </row>
    <row r="12" spans="1:16" ht="21" customHeight="1">
      <c r="A12" s="2" t="s">
        <v>115</v>
      </c>
      <c r="B12" s="2">
        <v>226.61</v>
      </c>
      <c r="C12" s="2"/>
      <c r="D12" s="14">
        <v>46304</v>
      </c>
      <c r="E12" s="2" t="s">
        <v>51</v>
      </c>
      <c r="F12" s="2" t="s">
        <v>445</v>
      </c>
      <c r="G12" s="2" t="s">
        <v>557</v>
      </c>
      <c r="H12" s="2"/>
      <c r="I12" s="2"/>
      <c r="J12" s="2"/>
      <c r="K12" s="2"/>
      <c r="L12" s="2"/>
      <c r="M12" s="2"/>
      <c r="N12" s="2"/>
      <c r="O12" s="2"/>
      <c r="P12" s="2"/>
    </row>
    <row r="13" spans="1:16" ht="21" customHeight="1">
      <c r="A13" s="2" t="s">
        <v>122</v>
      </c>
      <c r="B13" s="14">
        <v>46303</v>
      </c>
      <c r="C13" s="2"/>
      <c r="D13" s="14">
        <v>46304</v>
      </c>
      <c r="E13" s="2" t="s">
        <v>51</v>
      </c>
      <c r="F13" s="2" t="s">
        <v>445</v>
      </c>
      <c r="G13" s="2" t="s">
        <v>452</v>
      </c>
      <c r="H13" s="2"/>
      <c r="I13" s="2"/>
      <c r="J13" s="2"/>
      <c r="K13" s="2"/>
      <c r="L13" s="2"/>
      <c r="M13" s="2"/>
      <c r="N13" s="2"/>
      <c r="O13" s="2"/>
      <c r="P13" s="2"/>
    </row>
    <row r="14" spans="1:16" ht="21" customHeight="1">
      <c r="A14" s="2" t="s">
        <v>128</v>
      </c>
      <c r="B14" s="2">
        <v>225.87</v>
      </c>
      <c r="C14" s="2"/>
      <c r="D14" s="14">
        <v>46304</v>
      </c>
      <c r="E14" s="2" t="s">
        <v>51</v>
      </c>
      <c r="F14" s="2" t="s">
        <v>445</v>
      </c>
      <c r="G14" s="2" t="s">
        <v>558</v>
      </c>
      <c r="H14" s="2"/>
      <c r="I14" s="2"/>
      <c r="J14" s="2"/>
      <c r="K14" s="2"/>
      <c r="L14" s="2"/>
      <c r="M14" s="2"/>
      <c r="N14" s="2"/>
      <c r="O14" s="2"/>
      <c r="P14" s="2"/>
    </row>
    <row r="15" spans="1:16" ht="21" customHeight="1">
      <c r="A15" s="2" t="s">
        <v>133</v>
      </c>
      <c r="B15" s="2">
        <v>228.76</v>
      </c>
      <c r="C15" s="2"/>
      <c r="D15" s="14">
        <v>46304</v>
      </c>
      <c r="E15" s="2" t="s">
        <v>51</v>
      </c>
      <c r="F15" s="2" t="s">
        <v>445</v>
      </c>
      <c r="G15" s="2" t="s">
        <v>559</v>
      </c>
      <c r="H15" s="2"/>
      <c r="I15" s="2"/>
      <c r="J15" s="2"/>
      <c r="K15" s="2"/>
      <c r="L15" s="2"/>
      <c r="M15" s="2"/>
      <c r="N15" s="2"/>
      <c r="O15" s="2"/>
      <c r="P15" s="2"/>
    </row>
    <row r="16" spans="1:16" ht="21" customHeight="1">
      <c r="A16" s="2" t="s">
        <v>139</v>
      </c>
      <c r="B16" s="2">
        <v>224.05009999999999</v>
      </c>
      <c r="C16" s="2"/>
      <c r="D16" s="14">
        <v>46304</v>
      </c>
      <c r="E16" s="2" t="s">
        <v>51</v>
      </c>
      <c r="F16" s="2" t="s">
        <v>445</v>
      </c>
      <c r="G16" s="2" t="s">
        <v>560</v>
      </c>
      <c r="H16" s="2"/>
      <c r="I16" s="2"/>
      <c r="J16" s="2"/>
      <c r="K16" s="2"/>
      <c r="L16" s="2"/>
      <c r="M16" s="2"/>
      <c r="N16" s="2"/>
      <c r="O16" s="2"/>
      <c r="P16" s="2"/>
    </row>
    <row r="17" spans="1:16" ht="21" customHeight="1">
      <c r="A17" s="2" t="s">
        <v>144</v>
      </c>
      <c r="B17" s="2">
        <v>332.46</v>
      </c>
      <c r="C17" s="2"/>
      <c r="D17" s="14">
        <v>46304</v>
      </c>
      <c r="E17" s="2" t="s">
        <v>51</v>
      </c>
      <c r="F17" s="2" t="s">
        <v>445</v>
      </c>
      <c r="G17" s="2" t="s">
        <v>561</v>
      </c>
      <c r="H17" s="2"/>
      <c r="I17" s="2"/>
      <c r="J17" s="2"/>
      <c r="K17" s="2"/>
      <c r="L17" s="2"/>
      <c r="M17" s="2"/>
      <c r="N17" s="2"/>
      <c r="O17" s="2"/>
      <c r="P17" s="2"/>
    </row>
    <row r="18" spans="1:16" ht="21" customHeight="1">
      <c r="A18" s="2" t="s">
        <v>149</v>
      </c>
      <c r="B18" s="2">
        <v>199.19</v>
      </c>
      <c r="C18" s="2"/>
      <c r="D18" s="14">
        <v>46304</v>
      </c>
      <c r="E18" s="2" t="s">
        <v>51</v>
      </c>
      <c r="F18" s="2" t="s">
        <v>445</v>
      </c>
      <c r="G18" s="2" t="s">
        <v>562</v>
      </c>
      <c r="H18" s="2"/>
      <c r="I18" s="2"/>
      <c r="J18" s="2"/>
      <c r="K18" s="2"/>
      <c r="L18" s="2"/>
      <c r="M18" s="2"/>
      <c r="N18" s="2"/>
      <c r="O18" s="2"/>
      <c r="P18" s="2"/>
    </row>
    <row r="19" spans="1:16" ht="21" customHeight="1">
      <c r="A19" s="2" t="s">
        <v>154</v>
      </c>
      <c r="B19" s="2">
        <v>30516.797870999999</v>
      </c>
      <c r="C19" s="2"/>
      <c r="D19" s="14">
        <v>46304</v>
      </c>
      <c r="E19" s="2" t="s">
        <v>51</v>
      </c>
      <c r="F19" s="2" t="s">
        <v>445</v>
      </c>
      <c r="G19" s="2" t="s">
        <v>651</v>
      </c>
      <c r="H19" s="2"/>
      <c r="I19" s="2"/>
      <c r="J19" s="2"/>
      <c r="K19" s="2"/>
      <c r="L19" s="2"/>
      <c r="M19" s="2"/>
      <c r="N19" s="2"/>
      <c r="O19" s="2"/>
      <c r="P19" s="2"/>
    </row>
    <row r="20" spans="1:16" ht="21" customHeight="1">
      <c r="A20" s="2" t="s">
        <v>160</v>
      </c>
      <c r="B20" s="14">
        <v>46307</v>
      </c>
      <c r="C20" s="2"/>
      <c r="D20" s="14">
        <v>46304</v>
      </c>
      <c r="E20" s="2" t="s">
        <v>51</v>
      </c>
      <c r="F20" s="2" t="s">
        <v>445</v>
      </c>
      <c r="G20" s="2" t="s">
        <v>453</v>
      </c>
      <c r="H20" s="2"/>
      <c r="I20" s="2"/>
      <c r="J20" s="2"/>
      <c r="K20" s="2"/>
      <c r="L20" s="2"/>
      <c r="M20" s="2"/>
      <c r="N20" s="2"/>
      <c r="O20" s="2"/>
      <c r="P20" s="2"/>
    </row>
    <row r="21" spans="1:16" ht="21" customHeight="1">
      <c r="A21" s="2" t="s">
        <v>166</v>
      </c>
      <c r="B21" s="2">
        <v>228</v>
      </c>
      <c r="C21" s="2"/>
      <c r="D21" s="14">
        <v>46304</v>
      </c>
      <c r="E21" s="2" t="s">
        <v>51</v>
      </c>
      <c r="F21" s="2" t="s">
        <v>445</v>
      </c>
      <c r="G21" s="2" t="s">
        <v>563</v>
      </c>
      <c r="H21" s="2"/>
      <c r="I21" s="2"/>
      <c r="J21" s="2"/>
      <c r="K21" s="2"/>
      <c r="L21" s="2"/>
      <c r="M21" s="2"/>
      <c r="N21" s="2"/>
      <c r="O21" s="2"/>
      <c r="P21" s="2"/>
    </row>
    <row r="22" spans="1:16" ht="21" customHeight="1">
      <c r="A22" s="2" t="s">
        <v>173</v>
      </c>
      <c r="B22" s="2">
        <v>228.71</v>
      </c>
      <c r="C22" s="2"/>
      <c r="D22" s="14">
        <v>46304</v>
      </c>
      <c r="E22" s="2" t="s">
        <v>51</v>
      </c>
      <c r="F22" s="2" t="s">
        <v>445</v>
      </c>
      <c r="G22" s="2" t="s">
        <v>656</v>
      </c>
      <c r="H22" s="2"/>
      <c r="I22" s="2"/>
      <c r="J22" s="2"/>
      <c r="K22" s="2"/>
      <c r="L22" s="2"/>
      <c r="M22" s="2"/>
      <c r="N22" s="2"/>
      <c r="O22" s="2"/>
      <c r="P22" s="2"/>
    </row>
    <row r="23" spans="1:16" ht="21" customHeight="1">
      <c r="A23" s="2" t="s">
        <v>179</v>
      </c>
      <c r="B23" s="2">
        <v>600</v>
      </c>
      <c r="C23" s="2"/>
      <c r="D23" s="14">
        <v>46304</v>
      </c>
      <c r="E23" s="2" t="s">
        <v>51</v>
      </c>
      <c r="F23" s="2" t="s">
        <v>445</v>
      </c>
      <c r="G23" s="2" t="s">
        <v>564</v>
      </c>
      <c r="H23" s="2"/>
      <c r="I23" s="2"/>
      <c r="J23" s="2"/>
      <c r="K23" s="2"/>
      <c r="L23" s="2"/>
      <c r="M23" s="2"/>
      <c r="N23" s="2"/>
      <c r="O23" s="2"/>
      <c r="P23" s="2"/>
    </row>
    <row r="24" spans="1:16" ht="21" customHeight="1">
      <c r="A24" s="2" t="s">
        <v>185</v>
      </c>
      <c r="B24" s="2">
        <v>100</v>
      </c>
      <c r="C24" s="2"/>
      <c r="D24" s="14">
        <v>46304</v>
      </c>
      <c r="E24" s="2" t="s">
        <v>51</v>
      </c>
      <c r="F24" s="2" t="s">
        <v>445</v>
      </c>
      <c r="G24" s="2" t="s">
        <v>454</v>
      </c>
      <c r="H24" s="2"/>
      <c r="I24" s="2"/>
      <c r="J24" s="2"/>
      <c r="K24" s="2"/>
      <c r="L24" s="2"/>
      <c r="M24" s="2"/>
      <c r="N24" s="2"/>
      <c r="O24" s="2"/>
      <c r="P24" s="2"/>
    </row>
    <row r="25" spans="1:16" ht="21" customHeight="1">
      <c r="A25" s="2" t="s">
        <v>191</v>
      </c>
      <c r="B25" s="14">
        <v>46307</v>
      </c>
      <c r="C25" s="2"/>
      <c r="D25" s="14">
        <v>46304</v>
      </c>
      <c r="E25" s="2" t="s">
        <v>51</v>
      </c>
      <c r="F25" s="2" t="s">
        <v>445</v>
      </c>
      <c r="G25" s="2" t="s">
        <v>453</v>
      </c>
      <c r="H25" s="2"/>
      <c r="I25" s="2"/>
      <c r="J25" s="2"/>
      <c r="K25" s="2"/>
      <c r="L25" s="2"/>
      <c r="M25" s="2"/>
      <c r="N25" s="2"/>
      <c r="O25" s="2"/>
      <c r="P25" s="2"/>
    </row>
    <row r="26" spans="1:16" ht="21" customHeight="1">
      <c r="A26" s="2" t="s">
        <v>193</v>
      </c>
      <c r="B26" s="15">
        <v>0.38415700231481481</v>
      </c>
      <c r="C26" s="2"/>
      <c r="D26" s="14">
        <v>46304</v>
      </c>
      <c r="E26" s="2" t="s">
        <v>51</v>
      </c>
      <c r="F26" s="2" t="s">
        <v>445</v>
      </c>
      <c r="G26" s="2" t="s">
        <v>657</v>
      </c>
      <c r="H26" s="2"/>
      <c r="I26" s="2"/>
      <c r="J26" s="2"/>
      <c r="K26" s="2"/>
      <c r="L26" s="2"/>
      <c r="M26" s="2"/>
      <c r="N26" s="2"/>
      <c r="O26" s="2"/>
      <c r="P26" s="2"/>
    </row>
    <row r="27" spans="1:16" ht="21" customHeight="1">
      <c r="A27" s="2" t="s">
        <v>195</v>
      </c>
      <c r="B27" s="14">
        <v>46307</v>
      </c>
      <c r="C27" s="2"/>
      <c r="D27" s="14">
        <v>46304</v>
      </c>
      <c r="E27" s="2" t="s">
        <v>51</v>
      </c>
      <c r="F27" s="2" t="s">
        <v>445</v>
      </c>
      <c r="G27" s="2" t="s">
        <v>453</v>
      </c>
      <c r="H27" s="2"/>
      <c r="I27" s="2"/>
      <c r="J27" s="2"/>
      <c r="K27" s="2"/>
      <c r="L27" s="2"/>
      <c r="M27" s="2"/>
      <c r="N27" s="2"/>
      <c r="O27" s="2"/>
      <c r="P27" s="2"/>
    </row>
    <row r="28" spans="1:16" ht="21" customHeight="1">
      <c r="A28" s="2" t="s">
        <v>197</v>
      </c>
      <c r="B28" s="15">
        <v>0.38415700231481481</v>
      </c>
      <c r="C28" s="2"/>
      <c r="D28" s="14">
        <v>46304</v>
      </c>
      <c r="E28" s="2" t="s">
        <v>51</v>
      </c>
      <c r="F28" s="2" t="s">
        <v>445</v>
      </c>
      <c r="G28" s="2" t="s">
        <v>657</v>
      </c>
      <c r="H28" s="2"/>
      <c r="I28" s="2"/>
      <c r="J28" s="2"/>
      <c r="K28" s="2"/>
      <c r="L28" s="2"/>
      <c r="M28" s="2"/>
      <c r="N28" s="2"/>
      <c r="O28" s="2"/>
      <c r="P28" s="2"/>
    </row>
    <row r="29" spans="1:16" ht="21" customHeight="1">
      <c r="A29" s="2" t="s">
        <v>199</v>
      </c>
      <c r="B29" s="2">
        <v>228.05</v>
      </c>
      <c r="C29" s="2"/>
      <c r="D29" s="14">
        <v>46304</v>
      </c>
      <c r="E29" s="2" t="s">
        <v>51</v>
      </c>
      <c r="F29" s="2" t="s">
        <v>445</v>
      </c>
      <c r="G29" s="2" t="s">
        <v>652</v>
      </c>
      <c r="H29" s="2"/>
      <c r="I29" s="2"/>
      <c r="J29" s="2"/>
      <c r="K29" s="2"/>
      <c r="L29" s="2"/>
      <c r="M29" s="2"/>
      <c r="N29" s="2"/>
      <c r="O29" s="2"/>
      <c r="P29" s="2"/>
    </row>
    <row r="30" spans="1:16" ht="21" customHeight="1">
      <c r="A30" s="2" t="s">
        <v>201</v>
      </c>
      <c r="B30" s="2">
        <v>0.92</v>
      </c>
      <c r="C30" s="2"/>
      <c r="D30" s="14">
        <v>46304</v>
      </c>
      <c r="E30" s="2" t="s">
        <v>51</v>
      </c>
      <c r="F30" s="2" t="s">
        <v>445</v>
      </c>
      <c r="G30" s="2" t="s">
        <v>653</v>
      </c>
      <c r="H30" s="2"/>
      <c r="I30" s="2"/>
      <c r="J30" s="2"/>
      <c r="K30" s="2"/>
      <c r="L30" s="2"/>
      <c r="M30" s="2"/>
      <c r="N30" s="2"/>
      <c r="O30" s="2"/>
      <c r="P30" s="2"/>
    </row>
    <row r="31" spans="1:16" ht="21" customHeight="1">
      <c r="A31" s="2" t="s">
        <v>203</v>
      </c>
      <c r="B31" s="2">
        <v>4.0500000000000006E-3</v>
      </c>
      <c r="C31" s="2"/>
      <c r="D31" s="14">
        <v>46304</v>
      </c>
      <c r="E31" s="2" t="s">
        <v>51</v>
      </c>
      <c r="F31" s="2" t="s">
        <v>445</v>
      </c>
      <c r="G31" s="2" t="s">
        <v>654</v>
      </c>
      <c r="H31" s="2"/>
      <c r="I31" s="2"/>
      <c r="J31" s="2"/>
      <c r="K31" s="2"/>
      <c r="L31" s="2"/>
      <c r="M31" s="2"/>
      <c r="N31" s="2"/>
      <c r="O31" s="2"/>
      <c r="P31" s="2"/>
    </row>
    <row r="32" spans="1:16" ht="21" customHeight="1">
      <c r="A32" s="2" t="s">
        <v>205</v>
      </c>
      <c r="B32" s="2" t="s">
        <v>455</v>
      </c>
      <c r="C32" s="2"/>
      <c r="D32" s="14">
        <v>46304</v>
      </c>
      <c r="E32" s="2" t="s">
        <v>51</v>
      </c>
      <c r="F32" s="2" t="s">
        <v>445</v>
      </c>
      <c r="G32" s="2" t="s">
        <v>456</v>
      </c>
      <c r="H32" s="2"/>
      <c r="I32" s="2"/>
      <c r="J32" s="2"/>
      <c r="K32" s="2"/>
      <c r="L32" s="2"/>
      <c r="M32" s="2"/>
      <c r="N32" s="2"/>
      <c r="O32" s="2"/>
      <c r="P32" s="2"/>
    </row>
    <row r="33" spans="1:16" ht="21" customHeight="1">
      <c r="A33" s="2" t="s">
        <v>207</v>
      </c>
      <c r="B33" s="14">
        <v>46307</v>
      </c>
      <c r="C33" s="2"/>
      <c r="D33" s="14">
        <v>46304</v>
      </c>
      <c r="E33" s="2" t="s">
        <v>51</v>
      </c>
      <c r="F33" s="2" t="s">
        <v>445</v>
      </c>
      <c r="G33" s="2" t="s">
        <v>453</v>
      </c>
      <c r="H33" s="2"/>
      <c r="I33" s="2"/>
      <c r="J33" s="2"/>
      <c r="K33" s="2"/>
      <c r="L33" s="2"/>
      <c r="M33" s="2"/>
      <c r="N33" s="2"/>
      <c r="O33" s="2"/>
      <c r="P33" s="2"/>
    </row>
    <row r="34" spans="1:16" ht="21" customHeight="1">
      <c r="A34" s="2" t="s">
        <v>209</v>
      </c>
      <c r="B34" s="15">
        <v>0.3829372685185185</v>
      </c>
      <c r="C34" s="2"/>
      <c r="D34" s="14">
        <v>46304</v>
      </c>
      <c r="E34" s="2" t="s">
        <v>51</v>
      </c>
      <c r="F34" s="2" t="s">
        <v>445</v>
      </c>
      <c r="G34" s="2" t="s">
        <v>655</v>
      </c>
      <c r="H34" s="2"/>
      <c r="I34" s="2"/>
      <c r="J34" s="2"/>
      <c r="K34" s="2"/>
      <c r="L34" s="2"/>
      <c r="M34" s="2"/>
      <c r="N34" s="2"/>
      <c r="O34" s="2"/>
      <c r="P34" s="2"/>
    </row>
    <row r="35" spans="1:16" ht="21" customHeight="1">
      <c r="A35" s="2" t="s">
        <v>211</v>
      </c>
      <c r="B35" s="2" t="s">
        <v>457</v>
      </c>
      <c r="C35" s="2"/>
      <c r="D35" s="14">
        <v>46304</v>
      </c>
      <c r="E35" s="2" t="s">
        <v>51</v>
      </c>
      <c r="F35" s="2" t="s">
        <v>445</v>
      </c>
      <c r="G35" s="2" t="s">
        <v>458</v>
      </c>
      <c r="H35" s="2"/>
      <c r="I35" s="2"/>
      <c r="J35" s="2"/>
      <c r="K35" s="2"/>
      <c r="L35" s="2"/>
      <c r="M35" s="2"/>
      <c r="N35" s="2"/>
      <c r="O35" s="2"/>
      <c r="P35" s="2"/>
    </row>
    <row r="36" spans="1:16" ht="21" customHeight="1">
      <c r="A36" s="2" t="s">
        <v>216</v>
      </c>
      <c r="B36" s="2" t="s">
        <v>565</v>
      </c>
      <c r="C36" s="2"/>
      <c r="D36" s="14">
        <v>46307</v>
      </c>
      <c r="E36" s="2" t="s">
        <v>59</v>
      </c>
      <c r="F36" s="2" t="s">
        <v>445</v>
      </c>
      <c r="G36" s="2" t="s">
        <v>566</v>
      </c>
      <c r="H36" s="2"/>
      <c r="I36" s="2"/>
      <c r="J36" s="2"/>
      <c r="K36" s="2"/>
      <c r="L36" s="2"/>
      <c r="M36" s="2"/>
      <c r="N36" s="2"/>
      <c r="O36" s="2"/>
      <c r="P36" s="2"/>
    </row>
    <row r="37" spans="1:16" ht="21" customHeight="1">
      <c r="A37" s="2" t="s">
        <v>220</v>
      </c>
      <c r="B37" s="2" t="s">
        <v>567</v>
      </c>
      <c r="C37" s="2"/>
      <c r="D37" s="14">
        <v>46307</v>
      </c>
      <c r="E37" s="2" t="s">
        <v>59</v>
      </c>
      <c r="F37" s="2" t="s">
        <v>445</v>
      </c>
      <c r="G37" s="2" t="s">
        <v>568</v>
      </c>
      <c r="H37" s="2"/>
      <c r="I37" s="2"/>
      <c r="J37" s="2"/>
      <c r="K37" s="2"/>
      <c r="L37" s="2"/>
      <c r="M37" s="2"/>
      <c r="N37" s="2"/>
      <c r="O37" s="2"/>
      <c r="P37" s="2"/>
    </row>
    <row r="38" spans="1:16" ht="21" customHeight="1">
      <c r="A38" s="2" t="s">
        <v>224</v>
      </c>
      <c r="B38" s="2">
        <v>286800</v>
      </c>
      <c r="C38" s="2"/>
      <c r="D38" s="14">
        <v>46022</v>
      </c>
      <c r="E38" s="2" t="s">
        <v>59</v>
      </c>
      <c r="F38" s="2" t="s">
        <v>445</v>
      </c>
      <c r="G38" s="2" t="s">
        <v>569</v>
      </c>
      <c r="H38" s="2"/>
      <c r="I38" s="2"/>
      <c r="J38" s="2"/>
      <c r="K38" s="2"/>
      <c r="L38" s="2"/>
      <c r="M38" s="2"/>
      <c r="N38" s="2"/>
      <c r="O38" s="2"/>
      <c r="P38" s="2"/>
    </row>
    <row r="39" spans="1:16" ht="21" customHeight="1">
      <c r="A39" s="2" t="s">
        <v>228</v>
      </c>
      <c r="B39" s="2" t="s">
        <v>570</v>
      </c>
      <c r="C39" s="2"/>
      <c r="D39" s="14">
        <v>46307</v>
      </c>
      <c r="E39" s="2" t="s">
        <v>59</v>
      </c>
      <c r="F39" s="2" t="s">
        <v>445</v>
      </c>
      <c r="G39" s="2" t="s">
        <v>571</v>
      </c>
      <c r="H39" s="2"/>
      <c r="I39" s="2"/>
      <c r="J39" s="2"/>
      <c r="K39" s="2"/>
      <c r="L39" s="2"/>
      <c r="M39" s="2"/>
      <c r="N39" s="2"/>
      <c r="O39" s="2"/>
      <c r="P39" s="2"/>
    </row>
    <row r="40" spans="1:16" ht="21" customHeight="1">
      <c r="A40" s="2" t="s">
        <v>232</v>
      </c>
      <c r="B40" s="2" t="s">
        <v>572</v>
      </c>
      <c r="C40" s="2"/>
      <c r="D40" s="14">
        <v>46307</v>
      </c>
      <c r="E40" s="2" t="s">
        <v>59</v>
      </c>
      <c r="F40" s="2" t="s">
        <v>445</v>
      </c>
      <c r="G40" s="2" t="s">
        <v>573</v>
      </c>
      <c r="H40" s="2"/>
      <c r="I40" s="2"/>
      <c r="J40" s="2"/>
      <c r="K40" s="2"/>
      <c r="L40" s="2"/>
      <c r="M40" s="2"/>
      <c r="N40" s="2"/>
      <c r="O40" s="2"/>
      <c r="P40" s="2"/>
    </row>
    <row r="41" spans="1:16" ht="21" customHeight="1">
      <c r="A41" s="2" t="s">
        <v>236</v>
      </c>
      <c r="B41" s="2" t="s">
        <v>574</v>
      </c>
      <c r="C41" s="2"/>
      <c r="D41" s="14">
        <v>46307</v>
      </c>
      <c r="E41" s="2" t="s">
        <v>59</v>
      </c>
      <c r="F41" s="2" t="s">
        <v>445</v>
      </c>
      <c r="G41" s="2" t="s">
        <v>575</v>
      </c>
      <c r="H41" s="2"/>
      <c r="I41" s="2"/>
      <c r="J41" s="2"/>
      <c r="K41" s="2"/>
      <c r="L41" s="2"/>
      <c r="M41" s="2"/>
      <c r="N41" s="2"/>
      <c r="O41" s="2"/>
      <c r="P41" s="2"/>
    </row>
    <row r="42" spans="1:16" ht="21" customHeight="1">
      <c r="A42" s="2" t="s">
        <v>240</v>
      </c>
      <c r="B42" s="2" t="s">
        <v>576</v>
      </c>
      <c r="C42" s="2"/>
      <c r="D42" s="14">
        <v>46307</v>
      </c>
      <c r="E42" s="2" t="s">
        <v>59</v>
      </c>
      <c r="F42" s="2" t="s">
        <v>445</v>
      </c>
      <c r="G42" s="2" t="s">
        <v>577</v>
      </c>
      <c r="H42" s="2"/>
      <c r="I42" s="2"/>
      <c r="J42" s="2"/>
      <c r="K42" s="2"/>
      <c r="L42" s="2"/>
      <c r="M42" s="2"/>
      <c r="N42" s="2"/>
      <c r="O42" s="2"/>
      <c r="P42" s="2"/>
    </row>
    <row r="43" spans="1:16" ht="21" customHeight="1">
      <c r="A43" s="2" t="s">
        <v>244</v>
      </c>
      <c r="B43" s="2" t="s">
        <v>578</v>
      </c>
      <c r="C43" s="2"/>
      <c r="D43" s="14">
        <v>46307</v>
      </c>
      <c r="E43" s="2" t="s">
        <v>59</v>
      </c>
      <c r="F43" s="2" t="s">
        <v>445</v>
      </c>
      <c r="G43" s="2" t="s">
        <v>579</v>
      </c>
      <c r="H43" s="2"/>
      <c r="I43" s="2"/>
      <c r="J43" s="2"/>
      <c r="K43" s="2"/>
      <c r="L43" s="2"/>
      <c r="M43" s="2"/>
      <c r="N43" s="2"/>
      <c r="O43" s="2"/>
      <c r="P43" s="2"/>
    </row>
    <row r="44" spans="1:16" ht="21" customHeight="1">
      <c r="A44" s="2" t="s">
        <v>37</v>
      </c>
      <c r="B44" s="2">
        <v>213986895400</v>
      </c>
      <c r="C44" s="2" t="s">
        <v>251</v>
      </c>
      <c r="D44" s="14">
        <v>46304</v>
      </c>
      <c r="E44" s="2" t="s">
        <v>59</v>
      </c>
      <c r="F44" s="2" t="s">
        <v>445</v>
      </c>
      <c r="G44" s="2" t="s">
        <v>580</v>
      </c>
      <c r="H44" s="2"/>
      <c r="I44" s="2"/>
      <c r="J44" s="2"/>
      <c r="K44" s="2"/>
      <c r="L44" s="2"/>
      <c r="M44" s="2"/>
      <c r="N44" s="2"/>
      <c r="O44" s="2"/>
      <c r="P44" s="2"/>
    </row>
    <row r="45" spans="1:16" ht="21" customHeight="1">
      <c r="A45" s="2" t="s">
        <v>253</v>
      </c>
      <c r="B45" s="2">
        <v>20.16</v>
      </c>
      <c r="C45" s="2"/>
      <c r="D45" s="14">
        <v>46304</v>
      </c>
      <c r="E45" s="2" t="s">
        <v>59</v>
      </c>
      <c r="F45" s="2" t="s">
        <v>445</v>
      </c>
      <c r="G45" s="2" t="s">
        <v>581</v>
      </c>
      <c r="H45" s="2"/>
      <c r="I45" s="2"/>
      <c r="J45" s="2"/>
      <c r="K45" s="2"/>
      <c r="L45" s="2"/>
      <c r="M45" s="2"/>
      <c r="N45" s="2"/>
      <c r="O45" s="2"/>
      <c r="P45" s="2"/>
    </row>
    <row r="46" spans="1:16" ht="21" customHeight="1">
      <c r="A46" s="2" t="s">
        <v>257</v>
      </c>
      <c r="B46" s="2">
        <v>11.2659</v>
      </c>
      <c r="C46" s="2" t="s">
        <v>251</v>
      </c>
      <c r="D46" s="14">
        <v>46203</v>
      </c>
      <c r="E46" s="2" t="s">
        <v>59</v>
      </c>
      <c r="F46" s="2" t="s">
        <v>445</v>
      </c>
      <c r="G46" s="2" t="s">
        <v>582</v>
      </c>
      <c r="H46" s="2"/>
      <c r="I46" s="2"/>
      <c r="J46" s="2"/>
      <c r="K46" s="2"/>
      <c r="L46" s="2"/>
      <c r="M46" s="2"/>
      <c r="N46" s="2"/>
      <c r="O46" s="2"/>
      <c r="P46" s="2"/>
    </row>
    <row r="47" spans="1:16" ht="21" customHeight="1">
      <c r="A47" s="2" t="s">
        <v>261</v>
      </c>
      <c r="B47" s="2">
        <v>6.74</v>
      </c>
      <c r="C47" s="2" t="s">
        <v>251</v>
      </c>
      <c r="D47" s="14">
        <v>46304</v>
      </c>
      <c r="E47" s="2" t="s">
        <v>59</v>
      </c>
      <c r="F47" s="2" t="s">
        <v>445</v>
      </c>
      <c r="G47" s="2" t="s">
        <v>583</v>
      </c>
      <c r="H47" s="2"/>
      <c r="I47" s="2"/>
      <c r="J47" s="2"/>
      <c r="K47" s="2"/>
      <c r="L47" s="2"/>
      <c r="M47" s="2"/>
      <c r="N47" s="2"/>
      <c r="O47" s="2"/>
      <c r="P47" s="2"/>
    </row>
    <row r="48" spans="1:16" ht="21" customHeight="1">
      <c r="A48" s="2" t="s">
        <v>265</v>
      </c>
      <c r="B48" s="2">
        <v>2.9700000000000001E-2</v>
      </c>
      <c r="C48" s="2"/>
      <c r="D48" s="14">
        <v>46304</v>
      </c>
      <c r="E48" s="2" t="s">
        <v>59</v>
      </c>
      <c r="F48" s="2" t="s">
        <v>445</v>
      </c>
      <c r="G48" s="2" t="s">
        <v>584</v>
      </c>
      <c r="H48" s="2"/>
      <c r="I48" s="2"/>
      <c r="J48" s="2"/>
      <c r="K48" s="2"/>
      <c r="L48" s="2"/>
      <c r="M48" s="2"/>
      <c r="N48" s="2"/>
      <c r="O48" s="2"/>
      <c r="P48" s="2"/>
    </row>
    <row r="49" spans="1:16" ht="21" customHeight="1">
      <c r="A49" s="2" t="s">
        <v>269</v>
      </c>
      <c r="B49" s="2">
        <v>942134000</v>
      </c>
      <c r="C49" s="2"/>
      <c r="D49" s="14">
        <v>46304</v>
      </c>
      <c r="E49" s="2" t="s">
        <v>59</v>
      </c>
      <c r="F49" s="2" t="s">
        <v>445</v>
      </c>
      <c r="G49" s="2" t="s">
        <v>585</v>
      </c>
      <c r="H49" s="2"/>
      <c r="I49" s="2"/>
      <c r="J49" s="2"/>
      <c r="K49" s="2"/>
      <c r="L49" s="2"/>
      <c r="M49" s="2"/>
      <c r="N49" s="2"/>
      <c r="O49" s="2"/>
      <c r="P49" s="2"/>
    </row>
    <row r="50" spans="1:16" ht="21" customHeight="1">
      <c r="A50" s="2" t="s">
        <v>273</v>
      </c>
      <c r="B50" s="2">
        <v>6936259.7449000003</v>
      </c>
      <c r="C50" s="2"/>
      <c r="D50" s="14">
        <v>46304</v>
      </c>
      <c r="E50" s="2" t="s">
        <v>59</v>
      </c>
      <c r="F50" s="2" t="s">
        <v>445</v>
      </c>
      <c r="G50" s="2" t="s">
        <v>586</v>
      </c>
      <c r="H50" s="2"/>
      <c r="I50" s="2"/>
      <c r="J50" s="2"/>
      <c r="K50" s="2"/>
      <c r="L50" s="2"/>
      <c r="M50" s="2"/>
      <c r="N50" s="2"/>
      <c r="O50" s="2"/>
      <c r="P50" s="2"/>
    </row>
    <row r="51" spans="1:16" ht="21" customHeight="1">
      <c r="A51" s="2" t="s">
        <v>277</v>
      </c>
      <c r="B51" s="2">
        <v>0.76939999999999997</v>
      </c>
      <c r="C51" s="2"/>
      <c r="D51" s="14">
        <v>46304</v>
      </c>
      <c r="E51" s="2" t="s">
        <v>59</v>
      </c>
      <c r="F51" s="2" t="s">
        <v>445</v>
      </c>
      <c r="G51" s="2" t="s">
        <v>587</v>
      </c>
      <c r="H51" s="2"/>
      <c r="I51" s="2"/>
      <c r="J51" s="2"/>
      <c r="K51" s="2"/>
      <c r="L51" s="2"/>
      <c r="M51" s="2"/>
      <c r="N51" s="2"/>
      <c r="O51" s="2"/>
      <c r="P51" s="2"/>
    </row>
    <row r="52" spans="1:16" ht="21" customHeight="1">
      <c r="A52" s="2" t="s">
        <v>281</v>
      </c>
      <c r="B52" s="2">
        <v>6.2103000000000002</v>
      </c>
      <c r="C52" s="2"/>
      <c r="D52" s="14">
        <v>46304</v>
      </c>
      <c r="E52" s="2" t="s">
        <v>59</v>
      </c>
      <c r="F52" s="2" t="s">
        <v>445</v>
      </c>
      <c r="G52" s="2" t="s">
        <v>588</v>
      </c>
      <c r="H52" s="2"/>
      <c r="I52" s="2"/>
      <c r="J52" s="2"/>
      <c r="K52" s="2"/>
      <c r="L52" s="2"/>
      <c r="M52" s="2"/>
      <c r="N52" s="2"/>
      <c r="O52" s="2"/>
      <c r="P52" s="2"/>
    </row>
    <row r="53" spans="1:16" ht="21" customHeight="1">
      <c r="A53" s="2" t="s">
        <v>287</v>
      </c>
      <c r="B53" s="2" t="s">
        <v>459</v>
      </c>
      <c r="C53" s="2"/>
      <c r="D53" s="14"/>
      <c r="E53" s="2"/>
      <c r="F53" s="2" t="s">
        <v>460</v>
      </c>
      <c r="G53" s="2"/>
      <c r="H53" s="2"/>
      <c r="I53" s="2"/>
      <c r="J53" s="2"/>
      <c r="K53" s="2"/>
      <c r="L53" s="2"/>
      <c r="M53" s="2"/>
      <c r="N53" s="2"/>
      <c r="O53" s="2"/>
      <c r="P53" s="2"/>
    </row>
    <row r="54" spans="1:16" ht="21" customHeight="1">
      <c r="A54" s="2" t="s">
        <v>290</v>
      </c>
      <c r="B54" s="2" t="s">
        <v>459</v>
      </c>
      <c r="C54" s="2"/>
      <c r="D54" s="14"/>
      <c r="E54" s="2"/>
      <c r="F54" s="2" t="s">
        <v>460</v>
      </c>
      <c r="G54" s="2"/>
      <c r="H54" s="2"/>
      <c r="I54" s="2"/>
      <c r="J54" s="2"/>
      <c r="K54" s="2"/>
      <c r="L54" s="2"/>
      <c r="M54" s="2"/>
      <c r="N54" s="2"/>
      <c r="O54" s="2"/>
      <c r="P54" s="2"/>
    </row>
    <row r="55" spans="1:16" ht="21" customHeight="1">
      <c r="A55" s="2" t="s">
        <v>293</v>
      </c>
      <c r="B55" s="2" t="s">
        <v>459</v>
      </c>
      <c r="C55" s="2"/>
      <c r="D55" s="14"/>
      <c r="E55" s="2"/>
      <c r="F55" s="2" t="s">
        <v>460</v>
      </c>
      <c r="G55" s="2"/>
      <c r="H55" s="2"/>
      <c r="I55" s="2"/>
      <c r="J55" s="2"/>
      <c r="K55" s="2"/>
      <c r="L55" s="2"/>
      <c r="M55" s="2"/>
      <c r="N55" s="2"/>
      <c r="O55" s="2"/>
      <c r="P55" s="2"/>
    </row>
    <row r="56" spans="1:16" ht="21" customHeight="1">
      <c r="A56" s="2" t="s">
        <v>295</v>
      </c>
      <c r="B56" s="14" t="s">
        <v>459</v>
      </c>
      <c r="C56" s="2"/>
      <c r="D56" s="14"/>
      <c r="E56" s="2"/>
      <c r="F56" s="2" t="s">
        <v>460</v>
      </c>
      <c r="G56" s="2"/>
      <c r="H56" s="2"/>
      <c r="I56" s="2"/>
      <c r="J56" s="2"/>
      <c r="K56" s="2"/>
      <c r="L56" s="2"/>
      <c r="M56" s="2"/>
      <c r="N56" s="2"/>
      <c r="O56" s="2"/>
      <c r="P56" s="2"/>
    </row>
    <row r="57" spans="1:16" ht="21" customHeight="1">
      <c r="A57" s="2" t="s">
        <v>299</v>
      </c>
      <c r="B57" s="2" t="s">
        <v>459</v>
      </c>
      <c r="C57" s="2"/>
      <c r="D57" s="14"/>
      <c r="E57" s="2"/>
      <c r="F57" s="2" t="s">
        <v>460</v>
      </c>
      <c r="G57" s="2"/>
      <c r="H57" s="2"/>
      <c r="I57" s="2"/>
      <c r="J57" s="2"/>
      <c r="K57" s="2"/>
      <c r="L57" s="2"/>
      <c r="M57" s="2"/>
      <c r="N57" s="2"/>
      <c r="O57" s="2"/>
      <c r="P57" s="2"/>
    </row>
    <row r="58" spans="1:16" ht="21" customHeight="1">
      <c r="A58" s="2" t="s">
        <v>303</v>
      </c>
      <c r="B58" s="2" t="s">
        <v>459</v>
      </c>
      <c r="C58" s="2"/>
      <c r="D58" s="14"/>
      <c r="E58" s="2"/>
      <c r="F58" s="2" t="s">
        <v>460</v>
      </c>
      <c r="G58" s="2"/>
      <c r="H58" s="2"/>
      <c r="I58" s="2"/>
      <c r="J58" s="2"/>
      <c r="K58" s="2"/>
      <c r="L58" s="2"/>
      <c r="M58" s="2"/>
      <c r="N58" s="2"/>
      <c r="O58" s="2"/>
      <c r="P58" s="2"/>
    </row>
    <row r="59" spans="1:16" ht="21" customHeight="1">
      <c r="A59" s="2" t="s">
        <v>316</v>
      </c>
      <c r="B59" s="2" t="s">
        <v>459</v>
      </c>
      <c r="C59" s="2"/>
      <c r="D59" s="14"/>
      <c r="E59" s="2"/>
      <c r="F59" s="2" t="s">
        <v>460</v>
      </c>
      <c r="G59" s="2"/>
      <c r="H59" s="2"/>
      <c r="I59" s="2"/>
      <c r="J59" s="2"/>
      <c r="K59" s="2"/>
      <c r="L59" s="2"/>
      <c r="M59" s="2"/>
      <c r="N59" s="2"/>
      <c r="O59" s="2"/>
      <c r="P59" s="2"/>
    </row>
    <row r="60" spans="1:16" ht="21" customHeight="1">
      <c r="A60" s="2" t="s">
        <v>323</v>
      </c>
      <c r="B60" s="2" t="s">
        <v>459</v>
      </c>
      <c r="C60" s="2"/>
      <c r="D60" s="14"/>
      <c r="E60" s="2"/>
      <c r="F60" s="2" t="s">
        <v>460</v>
      </c>
      <c r="G60" s="2"/>
      <c r="H60" s="2"/>
      <c r="I60" s="2"/>
      <c r="J60" s="2"/>
      <c r="K60" s="2"/>
      <c r="L60" s="2"/>
      <c r="M60" s="2"/>
      <c r="N60" s="2"/>
      <c r="O60" s="2"/>
      <c r="P60" s="2"/>
    </row>
    <row r="61" spans="1:16" ht="21" customHeight="1">
      <c r="A61" s="2" t="s">
        <v>327</v>
      </c>
      <c r="B61" s="2" t="s">
        <v>459</v>
      </c>
      <c r="C61" s="2"/>
      <c r="D61" s="14"/>
      <c r="E61" s="2"/>
      <c r="F61" s="2" t="s">
        <v>460</v>
      </c>
      <c r="G61" s="2"/>
      <c r="H61" s="2"/>
      <c r="I61" s="2"/>
      <c r="J61" s="2"/>
      <c r="K61" s="2"/>
      <c r="L61" s="2"/>
      <c r="M61" s="2"/>
      <c r="N61" s="2"/>
      <c r="O61" s="2"/>
      <c r="P61" s="2"/>
    </row>
    <row r="62" spans="1:16" ht="21" customHeight="1">
      <c r="A62" s="2" t="s">
        <v>331</v>
      </c>
      <c r="B62" s="2" t="s">
        <v>459</v>
      </c>
      <c r="C62" s="2"/>
      <c r="D62" s="14"/>
      <c r="E62" s="2"/>
      <c r="F62" s="2" t="s">
        <v>460</v>
      </c>
      <c r="G62" s="2"/>
      <c r="H62" s="2"/>
      <c r="I62" s="2"/>
      <c r="J62" s="2"/>
      <c r="K62" s="2"/>
      <c r="L62" s="2"/>
      <c r="M62" s="2"/>
      <c r="N62" s="2"/>
      <c r="O62" s="2"/>
      <c r="P62" s="2"/>
    </row>
    <row r="63" spans="1:16" ht="21" customHeight="1">
      <c r="A63" s="2" t="s">
        <v>335</v>
      </c>
      <c r="B63" s="2" t="s">
        <v>459</v>
      </c>
      <c r="C63" s="2"/>
      <c r="D63" s="2"/>
      <c r="E63" s="2"/>
      <c r="F63" s="2" t="s">
        <v>460</v>
      </c>
      <c r="G63" s="2"/>
      <c r="H63" s="2"/>
      <c r="I63" s="2"/>
      <c r="J63" s="2"/>
      <c r="K63" s="2"/>
      <c r="L63" s="2"/>
      <c r="M63" s="2"/>
      <c r="N63" s="2"/>
      <c r="O63" s="2"/>
      <c r="P63" s="2"/>
    </row>
    <row r="64" spans="1:16" ht="21" customHeight="1">
      <c r="A64" s="2" t="s">
        <v>339</v>
      </c>
      <c r="B64" s="2" t="s">
        <v>459</v>
      </c>
      <c r="C64" s="2"/>
      <c r="D64" s="14"/>
      <c r="E64" s="2"/>
      <c r="F64" s="2" t="s">
        <v>460</v>
      </c>
      <c r="G64" s="2"/>
      <c r="H64" s="2"/>
      <c r="I64" s="2"/>
      <c r="J64" s="2"/>
      <c r="K64" s="2"/>
      <c r="L64" s="2"/>
      <c r="M64" s="2"/>
      <c r="N64" s="2"/>
      <c r="O64" s="2"/>
      <c r="P64" s="2"/>
    </row>
    <row r="65" spans="1:16" ht="21" customHeight="1">
      <c r="A65" s="2" t="s">
        <v>343</v>
      </c>
      <c r="B65" s="2" t="s">
        <v>459</v>
      </c>
      <c r="C65" s="2"/>
      <c r="D65" s="14"/>
      <c r="E65" s="2"/>
      <c r="F65" s="2" t="s">
        <v>460</v>
      </c>
      <c r="G65" s="2"/>
      <c r="H65" s="2"/>
      <c r="I65" s="2"/>
      <c r="J65" s="2"/>
      <c r="K65" s="2"/>
      <c r="L65" s="2"/>
      <c r="M65" s="2"/>
      <c r="N65" s="2"/>
      <c r="O65" s="2"/>
      <c r="P65" s="2"/>
    </row>
    <row r="66" spans="1:16" ht="21" customHeight="1">
      <c r="A66" s="2" t="s">
        <v>347</v>
      </c>
      <c r="B66" s="2" t="s">
        <v>459</v>
      </c>
      <c r="C66" s="2"/>
      <c r="D66" s="14"/>
      <c r="E66" s="2"/>
      <c r="F66" s="2" t="s">
        <v>460</v>
      </c>
      <c r="G66" s="2"/>
      <c r="H66" s="2"/>
      <c r="I66" s="2"/>
      <c r="J66" s="2"/>
      <c r="K66" s="2"/>
      <c r="L66" s="2"/>
      <c r="M66" s="2"/>
      <c r="N66" s="2"/>
      <c r="O66" s="2"/>
      <c r="P66" s="2"/>
    </row>
    <row r="67" spans="1:16" ht="21" customHeight="1">
      <c r="A67" s="2" t="s">
        <v>351</v>
      </c>
      <c r="B67" s="2" t="s">
        <v>459</v>
      </c>
      <c r="C67" s="2"/>
      <c r="D67" s="14"/>
      <c r="E67" s="2"/>
      <c r="F67" s="2" t="s">
        <v>460</v>
      </c>
      <c r="G67" s="2"/>
      <c r="H67" s="2"/>
      <c r="I67" s="2"/>
      <c r="J67" s="2"/>
      <c r="K67" s="2"/>
      <c r="L67" s="2"/>
      <c r="M67" s="2"/>
      <c r="N67" s="2"/>
      <c r="O67" s="2"/>
      <c r="P67" s="2"/>
    </row>
    <row r="68" spans="1:16" ht="21" customHeight="1">
      <c r="A68" s="2" t="s">
        <v>358</v>
      </c>
      <c r="B68" s="2" t="s">
        <v>459</v>
      </c>
      <c r="C68" s="2"/>
      <c r="D68" s="14"/>
      <c r="E68" s="2"/>
      <c r="F68" s="2" t="s">
        <v>460</v>
      </c>
      <c r="G68" s="2"/>
      <c r="H68" s="2"/>
      <c r="I68" s="2"/>
      <c r="J68" s="2"/>
      <c r="K68" s="2"/>
      <c r="L68" s="2"/>
      <c r="M68" s="2"/>
      <c r="N68" s="2"/>
      <c r="O68" s="2"/>
      <c r="P68" s="2"/>
    </row>
    <row r="69" spans="1:16" ht="21" customHeight="1">
      <c r="A69" s="2" t="s">
        <v>362</v>
      </c>
      <c r="B69" s="2" t="s">
        <v>459</v>
      </c>
      <c r="C69" s="2"/>
      <c r="D69" s="14"/>
      <c r="E69" s="2"/>
      <c r="F69" s="2" t="s">
        <v>460</v>
      </c>
      <c r="G69" s="2"/>
      <c r="H69" s="2"/>
      <c r="I69" s="2"/>
      <c r="J69" s="2"/>
      <c r="K69" s="2"/>
      <c r="L69" s="2"/>
      <c r="M69" s="2"/>
      <c r="N69" s="2"/>
      <c r="O69" s="2"/>
      <c r="P69" s="2"/>
    </row>
    <row r="70" spans="1:16" ht="21" customHeight="1">
      <c r="A70" s="2" t="s">
        <v>366</v>
      </c>
      <c r="B70" s="2" t="s">
        <v>459</v>
      </c>
      <c r="C70" s="2"/>
      <c r="D70" s="14"/>
      <c r="E70" s="2"/>
      <c r="F70" s="2" t="s">
        <v>460</v>
      </c>
      <c r="G70" s="2"/>
      <c r="H70" s="2"/>
      <c r="I70" s="2"/>
      <c r="J70" s="2"/>
      <c r="K70" s="2"/>
      <c r="L70" s="2"/>
      <c r="M70" s="2"/>
      <c r="N70" s="2"/>
      <c r="O70" s="2"/>
      <c r="P70" s="2"/>
    </row>
    <row r="71" spans="1:16" ht="21" customHeight="1">
      <c r="A71" s="2" t="s">
        <v>374</v>
      </c>
      <c r="B71" s="2" t="s">
        <v>459</v>
      </c>
      <c r="C71" s="2"/>
      <c r="D71" s="14"/>
      <c r="E71" s="2"/>
      <c r="F71" s="2" t="s">
        <v>460</v>
      </c>
      <c r="G71" s="2"/>
      <c r="H71" s="2"/>
      <c r="I71" s="2"/>
      <c r="J71" s="2"/>
      <c r="K71" s="2"/>
      <c r="L71" s="2"/>
      <c r="M71" s="2"/>
      <c r="N71" s="2"/>
      <c r="O71" s="2"/>
      <c r="P71" s="2"/>
    </row>
    <row r="72" spans="1:16" ht="21" customHeight="1">
      <c r="A72" s="2" t="s">
        <v>378</v>
      </c>
      <c r="B72" s="2" t="s">
        <v>459</v>
      </c>
      <c r="C72" s="2"/>
      <c r="D72" s="14"/>
      <c r="E72" s="2"/>
      <c r="F72" s="2" t="s">
        <v>460</v>
      </c>
      <c r="G72" s="2"/>
      <c r="H72" s="2"/>
      <c r="I72" s="2"/>
      <c r="J72" s="2"/>
      <c r="K72" s="2"/>
      <c r="L72" s="2"/>
      <c r="M72" s="2"/>
      <c r="N72" s="2"/>
      <c r="O72" s="2"/>
      <c r="P72" s="2"/>
    </row>
    <row r="73" spans="1:16" ht="21" customHeight="1">
      <c r="A73" s="2" t="s">
        <v>387</v>
      </c>
      <c r="B73" s="2" t="s">
        <v>459</v>
      </c>
      <c r="C73" s="2"/>
      <c r="D73" s="14"/>
      <c r="E73" s="2"/>
      <c r="F73" s="2" t="s">
        <v>460</v>
      </c>
      <c r="G73" s="2"/>
      <c r="H73" s="2"/>
      <c r="I73" s="2"/>
      <c r="J73" s="2"/>
      <c r="K73" s="2"/>
      <c r="L73" s="2"/>
      <c r="M73" s="2"/>
      <c r="N73" s="2"/>
      <c r="O73" s="2"/>
      <c r="P73" s="2"/>
    </row>
    <row r="74" spans="1:16" ht="21" customHeight="1">
      <c r="A74" s="2" t="s">
        <v>397</v>
      </c>
      <c r="B74" s="2" t="s">
        <v>459</v>
      </c>
      <c r="C74" s="2"/>
      <c r="D74" s="14"/>
      <c r="E74" s="2"/>
      <c r="F74" s="2" t="s">
        <v>460</v>
      </c>
      <c r="G74" s="2"/>
      <c r="H74" s="2"/>
      <c r="I74" s="2"/>
      <c r="J74" s="2"/>
      <c r="K74" s="2"/>
      <c r="L74" s="2"/>
      <c r="M74" s="2"/>
      <c r="N74" s="2"/>
      <c r="O74" s="2"/>
      <c r="P74" s="2"/>
    </row>
    <row r="75" spans="1:16" ht="21" customHeight="1">
      <c r="A75" s="2" t="s">
        <v>402</v>
      </c>
      <c r="B75" s="2" t="s">
        <v>459</v>
      </c>
      <c r="C75" s="2"/>
      <c r="D75" s="14"/>
      <c r="E75" s="2"/>
      <c r="F75" s="2" t="s">
        <v>460</v>
      </c>
      <c r="G75" s="2"/>
      <c r="H75" s="2"/>
      <c r="I75" s="2"/>
      <c r="J75" s="2"/>
      <c r="K75" s="2"/>
      <c r="L75" s="2"/>
      <c r="M75" s="2"/>
      <c r="N75" s="2"/>
      <c r="O75" s="2"/>
      <c r="P75" s="2"/>
    </row>
    <row r="76" spans="1:16" ht="21" customHeight="1">
      <c r="A76" s="2" t="s">
        <v>407</v>
      </c>
      <c r="B76" s="2" t="s">
        <v>459</v>
      </c>
      <c r="C76" s="2"/>
      <c r="D76" s="14"/>
      <c r="E76" s="2"/>
      <c r="F76" s="2" t="s">
        <v>460</v>
      </c>
      <c r="G76" s="2"/>
      <c r="H76" s="2"/>
      <c r="I76" s="2"/>
      <c r="J76" s="2"/>
      <c r="K76" s="2"/>
      <c r="L76" s="2"/>
      <c r="M76" s="2"/>
      <c r="N76" s="2"/>
      <c r="O76" s="2"/>
      <c r="P76" s="2"/>
    </row>
    <row r="77" spans="1:16" ht="21" customHeight="1">
      <c r="A77" s="2" t="s">
        <v>410</v>
      </c>
      <c r="B77" s="2" t="s">
        <v>459</v>
      </c>
      <c r="C77" s="2"/>
      <c r="D77" s="2"/>
      <c r="E77" s="2"/>
      <c r="F77" s="2" t="s">
        <v>460</v>
      </c>
      <c r="G77" s="2"/>
      <c r="H77" s="2"/>
      <c r="I77" s="2"/>
      <c r="J77" s="2"/>
      <c r="K77" s="2"/>
      <c r="L77" s="2"/>
      <c r="M77" s="2"/>
      <c r="N77" s="2"/>
      <c r="O77" s="2"/>
      <c r="P77" s="2"/>
    </row>
    <row r="78" spans="1:16" ht="21" customHeight="1">
      <c r="A78" s="2" t="s">
        <v>413</v>
      </c>
      <c r="B78" s="2" t="s">
        <v>459</v>
      </c>
      <c r="C78" s="2"/>
      <c r="D78" s="14"/>
      <c r="E78" s="2"/>
      <c r="F78" s="2" t="s">
        <v>460</v>
      </c>
      <c r="G78" s="2"/>
      <c r="H78" s="2"/>
      <c r="I78" s="2"/>
      <c r="J78" s="2"/>
      <c r="K78" s="2"/>
      <c r="L78" s="2"/>
      <c r="M78" s="2"/>
      <c r="N78" s="2"/>
      <c r="O78" s="2"/>
      <c r="P78" s="2"/>
    </row>
    <row r="79" spans="1:16" ht="21" customHeight="1">
      <c r="A79" s="2" t="s">
        <v>421</v>
      </c>
      <c r="B79" s="14">
        <v>46316</v>
      </c>
      <c r="C79" s="2"/>
      <c r="D79" s="2"/>
      <c r="E79" s="2" t="s">
        <v>78</v>
      </c>
      <c r="F79" s="2" t="s">
        <v>445</v>
      </c>
      <c r="G79" s="2" t="s">
        <v>589</v>
      </c>
      <c r="H79" s="2"/>
      <c r="I79" s="2"/>
      <c r="J79" s="2"/>
      <c r="K79" s="2"/>
      <c r="L79" s="2"/>
      <c r="M79" s="2"/>
      <c r="N79" s="2"/>
      <c r="O79" s="2"/>
      <c r="P79" s="2"/>
    </row>
    <row r="80" spans="1:16" ht="21" customHeight="1">
      <c r="A80" s="2" t="s">
        <v>423</v>
      </c>
      <c r="B80" s="2" t="s">
        <v>590</v>
      </c>
      <c r="C80" s="2"/>
      <c r="D80" s="2"/>
      <c r="E80" s="2" t="s">
        <v>78</v>
      </c>
      <c r="F80" s="2" t="s">
        <v>445</v>
      </c>
      <c r="G80" s="2" t="s">
        <v>591</v>
      </c>
      <c r="H80" s="2"/>
      <c r="I80" s="2"/>
      <c r="J80" s="2"/>
      <c r="K80" s="2"/>
      <c r="L80" s="2"/>
      <c r="M80" s="2"/>
      <c r="N80" s="2"/>
      <c r="O80" s="2"/>
      <c r="P80" s="2"/>
    </row>
    <row r="81" spans="1:16" ht="21" customHeight="1">
      <c r="A81" s="2" t="s">
        <v>425</v>
      </c>
      <c r="B81" s="2" t="s">
        <v>461</v>
      </c>
      <c r="C81" s="2"/>
      <c r="D81" s="2"/>
      <c r="E81" s="2" t="s">
        <v>78</v>
      </c>
      <c r="F81" s="2" t="s">
        <v>445</v>
      </c>
      <c r="G81" s="2" t="s">
        <v>462</v>
      </c>
      <c r="H81" s="2"/>
      <c r="I81" s="2"/>
      <c r="J81" s="2"/>
      <c r="K81" s="2"/>
      <c r="L81" s="2"/>
      <c r="M81" s="2"/>
      <c r="N81" s="2"/>
      <c r="O81" s="2"/>
      <c r="P81" s="2"/>
    </row>
    <row r="82" spans="1:16" ht="21" customHeight="1">
      <c r="A82" s="2" t="s">
        <v>427</v>
      </c>
      <c r="B82" s="2" t="s">
        <v>463</v>
      </c>
      <c r="C82" s="2"/>
      <c r="D82" s="2"/>
      <c r="E82" s="2" t="s">
        <v>78</v>
      </c>
      <c r="F82" s="2" t="s">
        <v>445</v>
      </c>
      <c r="G82" s="2" t="s">
        <v>464</v>
      </c>
      <c r="H82" s="2"/>
      <c r="I82" s="2"/>
      <c r="J82" s="2"/>
      <c r="K82" s="2"/>
      <c r="L82" s="2"/>
      <c r="M82" s="2"/>
      <c r="N82" s="2"/>
      <c r="O82" s="2"/>
      <c r="P82" s="2"/>
    </row>
    <row r="83" spans="1:16" ht="21" customHeight="1">
      <c r="A83" s="2" t="s">
        <v>429</v>
      </c>
      <c r="B83" s="2">
        <v>240.52381</v>
      </c>
      <c r="C83" s="2"/>
      <c r="D83" s="14">
        <v>46305</v>
      </c>
      <c r="E83" s="2" t="s">
        <v>101</v>
      </c>
      <c r="F83" s="2" t="s">
        <v>445</v>
      </c>
      <c r="G83" s="2" t="s">
        <v>592</v>
      </c>
      <c r="H83" s="2"/>
      <c r="I83" s="2"/>
      <c r="J83" s="2"/>
      <c r="K83" s="2"/>
      <c r="L83" s="2"/>
      <c r="M83" s="2"/>
      <c r="N83" s="2"/>
      <c r="O83" s="2"/>
      <c r="P83" s="2"/>
    </row>
    <row r="84" spans="1:16" ht="21" customHeight="1">
      <c r="A84" s="2" t="s">
        <v>432</v>
      </c>
      <c r="B84" s="2">
        <v>174</v>
      </c>
      <c r="C84" s="2"/>
      <c r="D84" s="14">
        <v>46305</v>
      </c>
      <c r="E84" s="2" t="s">
        <v>101</v>
      </c>
      <c r="F84" s="2" t="s">
        <v>445</v>
      </c>
      <c r="G84" s="2" t="s">
        <v>593</v>
      </c>
      <c r="H84" s="2"/>
      <c r="I84" s="2"/>
      <c r="J84" s="2"/>
      <c r="K84" s="2"/>
      <c r="L84" s="2"/>
      <c r="M84" s="2"/>
      <c r="N84" s="2"/>
      <c r="O84" s="2"/>
      <c r="P84" s="2"/>
    </row>
    <row r="85" spans="1:16" ht="21" customHeight="1">
      <c r="A85" s="2" t="s">
        <v>434</v>
      </c>
      <c r="B85" s="2">
        <v>297</v>
      </c>
      <c r="C85" s="2"/>
      <c r="D85" s="14">
        <v>46305</v>
      </c>
      <c r="E85" s="2" t="s">
        <v>101</v>
      </c>
      <c r="F85" s="2" t="s">
        <v>445</v>
      </c>
      <c r="G85" s="2" t="s">
        <v>594</v>
      </c>
      <c r="H85" s="2"/>
      <c r="I85" s="2"/>
      <c r="J85" s="2"/>
      <c r="K85" s="2"/>
      <c r="L85" s="2"/>
      <c r="M85" s="2"/>
      <c r="N85" s="2"/>
      <c r="O85" s="2"/>
      <c r="P85" s="2"/>
    </row>
    <row r="86" spans="1:16" ht="21" customHeight="1">
      <c r="A86" s="2" t="s">
        <v>436</v>
      </c>
      <c r="B86" s="2">
        <v>21</v>
      </c>
      <c r="C86" s="2"/>
      <c r="D86" s="14">
        <v>46305</v>
      </c>
      <c r="E86" s="2" t="s">
        <v>101</v>
      </c>
      <c r="F86" s="2" t="s">
        <v>445</v>
      </c>
      <c r="G86" s="2" t="s">
        <v>465</v>
      </c>
      <c r="H86" s="2"/>
      <c r="I86" s="2"/>
      <c r="J86" s="2"/>
      <c r="K86" s="2"/>
      <c r="L86" s="2"/>
      <c r="M86" s="2"/>
      <c r="N86" s="2"/>
      <c r="O86" s="2"/>
      <c r="P86" s="2"/>
    </row>
    <row r="87" spans="1:16" ht="21" customHeight="1">
      <c r="A87" s="2" t="s">
        <v>438</v>
      </c>
      <c r="B87" s="2" t="s">
        <v>466</v>
      </c>
      <c r="C87" s="2"/>
      <c r="D87" s="14">
        <v>46303</v>
      </c>
      <c r="E87" s="2" t="s">
        <v>97</v>
      </c>
      <c r="F87" s="2" t="s">
        <v>445</v>
      </c>
      <c r="G87" s="2" t="s">
        <v>467</v>
      </c>
      <c r="H87" s="2"/>
      <c r="I87" s="2"/>
      <c r="J87" s="2"/>
      <c r="K87" s="2"/>
      <c r="L87" s="2"/>
      <c r="M87" s="2"/>
      <c r="N87" s="2"/>
      <c r="O87" s="2"/>
      <c r="P87" s="2"/>
    </row>
    <row r="88" spans="1:16" ht="21" customHeight="1">
      <c r="A88" s="2" t="s">
        <v>11</v>
      </c>
      <c r="B88" s="2" t="s">
        <v>551</v>
      </c>
      <c r="C88" s="2"/>
      <c r="D88" s="2"/>
      <c r="E88" s="2" t="s">
        <v>542</v>
      </c>
      <c r="F88" s="2" t="s">
        <v>468</v>
      </c>
      <c r="G88" s="2"/>
      <c r="H88" s="2"/>
      <c r="I88" s="2"/>
      <c r="J88" s="2"/>
      <c r="K88" s="2"/>
      <c r="L88" s="2"/>
      <c r="M88" s="2"/>
      <c r="N88" s="2"/>
      <c r="O88" s="2"/>
      <c r="P88" s="2"/>
    </row>
    <row r="89" spans="1:16" ht="21" customHeight="1">
      <c r="A89" s="2" t="s">
        <v>469</v>
      </c>
      <c r="B89" s="2" t="s">
        <v>3</v>
      </c>
      <c r="C89" s="2"/>
      <c r="D89" s="2"/>
      <c r="E89" s="2" t="s">
        <v>542</v>
      </c>
      <c r="F89" s="2" t="s">
        <v>468</v>
      </c>
      <c r="G89" s="2"/>
      <c r="H89" s="2"/>
      <c r="I89" s="2"/>
      <c r="J89" s="2"/>
      <c r="K89" s="2"/>
      <c r="L89" s="2"/>
      <c r="M89" s="2"/>
      <c r="N89" s="2"/>
      <c r="O89" s="2"/>
      <c r="P89" s="2"/>
    </row>
    <row r="90" spans="1:16" ht="21" customHeight="1">
      <c r="A90" s="2" t="s">
        <v>470</v>
      </c>
      <c r="B90" s="13">
        <v>46307.352939814817</v>
      </c>
      <c r="C90" s="2" t="s">
        <v>547</v>
      </c>
      <c r="D90" s="2"/>
      <c r="E90" s="2" t="s">
        <v>548</v>
      </c>
      <c r="F90" s="2" t="s">
        <v>471</v>
      </c>
      <c r="G90" s="2"/>
      <c r="H90" s="2"/>
      <c r="I90" s="2"/>
      <c r="J90" s="2"/>
      <c r="K90" s="2"/>
      <c r="L90" s="2"/>
      <c r="M90" s="2"/>
      <c r="N90" s="2"/>
      <c r="O90" s="2"/>
      <c r="P90" s="2"/>
    </row>
    <row r="91" spans="1:16" ht="21" customHeight="1">
      <c r="A91" s="2" t="s">
        <v>472</v>
      </c>
      <c r="B91" s="14" t="s">
        <v>491</v>
      </c>
      <c r="C91" s="2"/>
      <c r="D91" s="14" t="s">
        <v>491</v>
      </c>
      <c r="E91" s="2" t="s">
        <v>107</v>
      </c>
      <c r="F91" s="2" t="s">
        <v>445</v>
      </c>
      <c r="G91" s="2"/>
      <c r="H91" s="2"/>
      <c r="I91" s="2"/>
      <c r="J91" s="2"/>
      <c r="K91" s="2"/>
      <c r="L91" s="2"/>
      <c r="M91" s="2"/>
      <c r="N91" s="2"/>
      <c r="O91" s="2"/>
      <c r="P91" s="2"/>
    </row>
    <row r="92" spans="1:16" ht="21" customHeight="1">
      <c r="A92" s="2" t="s">
        <v>473</v>
      </c>
      <c r="B92" s="14">
        <v>46304</v>
      </c>
      <c r="C92" s="2"/>
      <c r="D92" s="14">
        <v>46304</v>
      </c>
      <c r="E92" s="2" t="s">
        <v>498</v>
      </c>
      <c r="F92" s="2" t="s">
        <v>478</v>
      </c>
      <c r="G92" s="2"/>
      <c r="H92" s="2"/>
      <c r="I92" s="2"/>
      <c r="J92" s="2"/>
      <c r="K92" s="2"/>
      <c r="L92" s="2"/>
      <c r="M92" s="2"/>
      <c r="N92" s="2"/>
      <c r="O92" s="2"/>
      <c r="P92" s="2"/>
    </row>
    <row r="93" spans="1:16" ht="21" customHeight="1">
      <c r="A93" s="2" t="s">
        <v>474</v>
      </c>
      <c r="B93" s="2" t="s">
        <v>459</v>
      </c>
      <c r="C93" s="2"/>
      <c r="D93" s="2"/>
      <c r="E93" s="2"/>
      <c r="F93" s="2" t="s">
        <v>460</v>
      </c>
      <c r="G93" s="2"/>
      <c r="H93" s="2"/>
      <c r="I93" s="2"/>
      <c r="J93" s="2"/>
      <c r="K93" s="2"/>
      <c r="L93" s="2"/>
      <c r="M93" s="2"/>
      <c r="N93" s="2"/>
      <c r="O93" s="2"/>
      <c r="P93" s="2"/>
    </row>
    <row r="94" spans="1:16" ht="21" customHeight="1">
      <c r="A94" s="2" t="s">
        <v>475</v>
      </c>
      <c r="B94" s="14" t="s">
        <v>459</v>
      </c>
      <c r="C94" s="2"/>
      <c r="D94" s="14"/>
      <c r="E94" s="2"/>
      <c r="F94" s="2" t="s">
        <v>460</v>
      </c>
      <c r="G94" s="2"/>
      <c r="H94" s="2"/>
      <c r="I94" s="2"/>
      <c r="J94" s="2"/>
      <c r="K94" s="2"/>
      <c r="L94" s="2"/>
      <c r="M94" s="2"/>
      <c r="N94" s="2"/>
      <c r="O94" s="2"/>
      <c r="P94" s="2"/>
    </row>
    <row r="95" spans="1:16" ht="21" customHeight="1">
      <c r="A95" s="2" t="s">
        <v>476</v>
      </c>
      <c r="B95" s="2" t="s">
        <v>642</v>
      </c>
      <c r="C95" s="2"/>
      <c r="D95" s="2"/>
      <c r="E95" s="2" t="s">
        <v>544</v>
      </c>
      <c r="F95" s="2" t="s">
        <v>478</v>
      </c>
      <c r="G95" s="2"/>
      <c r="H95" s="2"/>
      <c r="I95" s="2"/>
      <c r="J95" s="2"/>
      <c r="K95" s="2"/>
      <c r="L95" s="2"/>
      <c r="M95" s="2"/>
      <c r="N95" s="2"/>
      <c r="O95" s="2"/>
      <c r="P95" s="2"/>
    </row>
    <row r="96" spans="1:16" ht="21" customHeight="1">
      <c r="A96" s="2" t="s">
        <v>479</v>
      </c>
      <c r="B96" s="2" t="s">
        <v>480</v>
      </c>
      <c r="C96" s="2"/>
      <c r="D96" s="2"/>
      <c r="E96" s="2" t="s">
        <v>545</v>
      </c>
      <c r="F96" s="2" t="s">
        <v>481</v>
      </c>
      <c r="G96" s="2"/>
      <c r="H96" s="2"/>
      <c r="I96" s="2"/>
      <c r="J96" s="2"/>
      <c r="K96" s="2"/>
      <c r="L96" s="2"/>
      <c r="M96" s="2"/>
      <c r="N96" s="2"/>
      <c r="O96" s="2"/>
      <c r="P96" s="2"/>
    </row>
    <row r="97" spans="1:16" ht="21" customHeight="1">
      <c r="A97" s="2" t="s">
        <v>482</v>
      </c>
      <c r="B97" s="2" t="s">
        <v>483</v>
      </c>
      <c r="C97" s="2"/>
      <c r="D97" s="2"/>
      <c r="E97" s="2" t="s">
        <v>546</v>
      </c>
      <c r="F97" s="2" t="s">
        <v>477</v>
      </c>
      <c r="G97" s="2"/>
      <c r="H97" s="2"/>
      <c r="I97" s="2"/>
      <c r="J97" s="2"/>
      <c r="K97" s="2"/>
      <c r="L97" s="2"/>
      <c r="M97" s="2"/>
      <c r="N97" s="2"/>
      <c r="O97" s="2"/>
      <c r="P97" s="2"/>
    </row>
    <row r="98" spans="1:16" ht="21" customHeight="1">
      <c r="A98" s="2" t="s">
        <v>484</v>
      </c>
      <c r="B98" s="2" t="s">
        <v>459</v>
      </c>
      <c r="C98" s="2"/>
      <c r="D98" s="2"/>
      <c r="E98" s="2"/>
      <c r="F98" s="2" t="s">
        <v>460</v>
      </c>
      <c r="G98" s="2"/>
      <c r="H98" s="2"/>
      <c r="I98" s="2"/>
      <c r="J98" s="2"/>
      <c r="K98" s="2"/>
      <c r="L98" s="2"/>
      <c r="M98" s="2"/>
      <c r="N98" s="2"/>
      <c r="O98" s="2"/>
      <c r="P98" s="2"/>
    </row>
    <row r="99" spans="1:16" ht="21" customHeight="1">
      <c r="A99" s="2" t="s">
        <v>485</v>
      </c>
      <c r="B99" s="2" t="s">
        <v>459</v>
      </c>
      <c r="C99" s="2"/>
      <c r="D99" s="2"/>
      <c r="E99" s="2"/>
      <c r="F99" s="2" t="s">
        <v>460</v>
      </c>
      <c r="G99" s="2"/>
      <c r="H99" s="2"/>
      <c r="I99" s="2"/>
      <c r="J99" s="2"/>
      <c r="K99" s="2"/>
      <c r="L99" s="2"/>
      <c r="M99" s="2"/>
      <c r="N99" s="2"/>
      <c r="O99" s="2"/>
      <c r="P99" s="2"/>
    </row>
    <row r="100" spans="1:16" ht="21" customHeight="1">
      <c r="A100" s="2" t="s">
        <v>486</v>
      </c>
      <c r="B100" s="2" t="s">
        <v>459</v>
      </c>
      <c r="C100" s="2"/>
      <c r="D100" s="2"/>
      <c r="E100" s="2"/>
      <c r="F100" s="2" t="s">
        <v>460</v>
      </c>
      <c r="G100" s="2"/>
      <c r="H100" s="2"/>
      <c r="I100" s="2"/>
      <c r="J100" s="2"/>
      <c r="K100" s="2"/>
      <c r="L100" s="2"/>
      <c r="M100" s="2"/>
      <c r="N100" s="2"/>
      <c r="O100" s="2"/>
      <c r="P100" s="2"/>
    </row>
    <row r="101" spans="1:16" ht="21" customHeight="1">
      <c r="A101" s="2" t="s">
        <v>487</v>
      </c>
      <c r="B101" s="2" t="s">
        <v>488</v>
      </c>
      <c r="C101" s="2"/>
      <c r="D101" s="2"/>
      <c r="E101" s="2" t="s">
        <v>19</v>
      </c>
      <c r="F101" s="2" t="s">
        <v>489</v>
      </c>
      <c r="G101" s="2"/>
      <c r="H101" s="2"/>
      <c r="I101" s="2"/>
      <c r="J101" s="2"/>
      <c r="K101" s="2"/>
      <c r="L101" s="2"/>
      <c r="M101" s="2"/>
      <c r="N101" s="2"/>
      <c r="O101" s="2"/>
      <c r="P101" s="2"/>
    </row>
    <row r="102" spans="1:16" ht="21" customHeight="1">
      <c r="A102" s="2" t="s">
        <v>490</v>
      </c>
      <c r="B102" s="2" t="s">
        <v>488</v>
      </c>
      <c r="C102" s="2"/>
      <c r="D102" s="2"/>
      <c r="E102" s="2" t="s">
        <v>19</v>
      </c>
      <c r="F102" s="2" t="s">
        <v>489</v>
      </c>
      <c r="G102" s="2"/>
      <c r="H102" s="2"/>
      <c r="I102" s="2"/>
      <c r="J102" s="2"/>
      <c r="K102" s="2"/>
      <c r="L102" s="2"/>
      <c r="M102" s="2"/>
      <c r="N102" s="2"/>
      <c r="O102" s="2"/>
      <c r="P102" s="2"/>
    </row>
    <row r="103" spans="1:16" ht="21" customHeight="1">
      <c r="A103" s="2"/>
      <c r="B103" s="2"/>
      <c r="C103" s="2"/>
      <c r="D103" s="2"/>
      <c r="E103" s="2"/>
      <c r="F103" s="2"/>
      <c r="G103" s="2"/>
      <c r="H103" s="2"/>
      <c r="I103" s="2"/>
      <c r="J103" s="2"/>
      <c r="K103" s="2"/>
      <c r="L103" s="2"/>
      <c r="M103" s="2"/>
      <c r="N103" s="2"/>
      <c r="O103" s="2"/>
      <c r="P103" s="2"/>
    </row>
    <row r="104" spans="1:16" ht="21" customHeight="1">
      <c r="A104" s="2"/>
      <c r="B104" s="2"/>
      <c r="C104" s="2"/>
      <c r="D104" s="2"/>
      <c r="E104" s="2"/>
      <c r="F104" s="2"/>
      <c r="G104" s="2"/>
      <c r="H104" s="2"/>
      <c r="I104" s="2"/>
      <c r="J104" s="2"/>
      <c r="K104" s="2"/>
      <c r="L104" s="2"/>
      <c r="M104" s="2"/>
      <c r="N104" s="2"/>
      <c r="O104" s="2"/>
      <c r="P104" s="2"/>
    </row>
    <row r="105" spans="1:16" ht="21" customHeight="1">
      <c r="A105" s="2"/>
      <c r="B105" s="2"/>
      <c r="C105" s="2"/>
      <c r="D105" s="2"/>
      <c r="E105" s="2"/>
      <c r="F105" s="2"/>
      <c r="G105" s="2"/>
      <c r="H105" s="2"/>
      <c r="I105" s="2"/>
      <c r="J105" s="2"/>
      <c r="K105" s="2"/>
      <c r="L105" s="2"/>
      <c r="M105" s="2"/>
      <c r="N105" s="2"/>
      <c r="O105" s="2"/>
      <c r="P105" s="2"/>
    </row>
    <row r="106" spans="1:16" ht="21" customHeight="1">
      <c r="A106" s="2"/>
      <c r="B106" s="2"/>
      <c r="C106" s="2"/>
      <c r="D106" s="2"/>
      <c r="E106" s="2"/>
      <c r="F106" s="2"/>
      <c r="G106" s="2"/>
      <c r="H106" s="2"/>
      <c r="I106" s="2"/>
      <c r="J106" s="2"/>
      <c r="K106" s="2"/>
      <c r="L106" s="2"/>
      <c r="M106" s="2"/>
      <c r="N106" s="2"/>
      <c r="O106" s="2"/>
      <c r="P106" s="2"/>
    </row>
    <row r="107" spans="1:16" ht="21" customHeight="1">
      <c r="A107" s="2"/>
      <c r="B107" s="2"/>
      <c r="C107" s="2"/>
      <c r="D107" s="2"/>
      <c r="E107" s="2"/>
      <c r="F107" s="2"/>
      <c r="G107" s="2"/>
      <c r="H107" s="2"/>
      <c r="I107" s="2"/>
      <c r="J107" s="2"/>
      <c r="K107" s="2"/>
      <c r="L107" s="2"/>
      <c r="M107" s="2"/>
      <c r="N107" s="2"/>
      <c r="O107" s="2"/>
      <c r="P107" s="2"/>
    </row>
    <row r="108" spans="1:16" ht="21" customHeight="1">
      <c r="A108" s="2"/>
      <c r="B108" s="2"/>
      <c r="C108" s="2"/>
      <c r="D108" s="2"/>
      <c r="E108" s="2"/>
      <c r="F108" s="2"/>
      <c r="G108" s="2"/>
      <c r="H108" s="2"/>
      <c r="I108" s="2"/>
      <c r="J108" s="2"/>
      <c r="K108" s="2"/>
      <c r="L108" s="2"/>
      <c r="M108" s="2"/>
      <c r="N108" s="2"/>
      <c r="O108" s="2"/>
      <c r="P108" s="2"/>
    </row>
    <row r="109" spans="1:16" ht="21" customHeight="1">
      <c r="A109" s="2"/>
      <c r="B109" s="2"/>
      <c r="C109" s="2"/>
      <c r="D109" s="2"/>
      <c r="E109" s="2"/>
      <c r="F109" s="2"/>
      <c r="G109" s="2"/>
      <c r="H109" s="2"/>
      <c r="I109" s="2"/>
      <c r="J109" s="2"/>
      <c r="K109" s="2"/>
      <c r="L109" s="2"/>
      <c r="M109" s="2"/>
      <c r="N109" s="2"/>
      <c r="O109" s="2"/>
      <c r="P109" s="2"/>
    </row>
    <row r="110" spans="1:16" ht="21" customHeight="1">
      <c r="A110" s="2"/>
      <c r="B110" s="2"/>
      <c r="C110" s="2"/>
      <c r="D110" s="2"/>
      <c r="E110" s="2"/>
      <c r="F110" s="2"/>
      <c r="G110" s="2"/>
      <c r="H110" s="2"/>
      <c r="I110" s="2"/>
      <c r="J110" s="2"/>
      <c r="K110" s="2"/>
      <c r="L110" s="2"/>
      <c r="M110" s="2"/>
      <c r="N110" s="2"/>
      <c r="O110" s="2"/>
      <c r="P110" s="2"/>
    </row>
    <row r="111" spans="1:16" ht="21" customHeight="1">
      <c r="A111" s="2"/>
      <c r="B111" s="2"/>
      <c r="C111" s="2"/>
      <c r="D111" s="2"/>
      <c r="E111" s="2"/>
      <c r="F111" s="2"/>
      <c r="G111" s="2"/>
      <c r="H111" s="2"/>
      <c r="I111" s="2"/>
      <c r="J111" s="2"/>
      <c r="K111" s="2"/>
      <c r="L111" s="2"/>
      <c r="M111" s="2"/>
      <c r="N111" s="2"/>
      <c r="O111" s="2"/>
      <c r="P111" s="2"/>
    </row>
    <row r="112" spans="1:16" ht="21" customHeight="1">
      <c r="A112" s="2"/>
      <c r="B112" s="2"/>
      <c r="C112" s="2"/>
      <c r="D112" s="2"/>
      <c r="E112" s="2"/>
      <c r="F112" s="2"/>
      <c r="G112" s="2"/>
      <c r="H112" s="2"/>
      <c r="I112" s="2"/>
      <c r="J112" s="2"/>
      <c r="K112" s="2"/>
      <c r="L112" s="2"/>
      <c r="M112" s="2"/>
      <c r="N112" s="2"/>
      <c r="O112" s="2"/>
      <c r="P112" s="2"/>
    </row>
    <row r="113" spans="1:16" ht="21" customHeight="1">
      <c r="A113" s="2"/>
      <c r="B113" s="2"/>
      <c r="C113" s="2"/>
      <c r="D113" s="2"/>
      <c r="E113" s="2"/>
      <c r="F113" s="2"/>
      <c r="G113" s="2"/>
      <c r="H113" s="2"/>
      <c r="I113" s="2"/>
      <c r="J113" s="2"/>
      <c r="K113" s="2"/>
      <c r="L113" s="2"/>
      <c r="M113" s="2"/>
      <c r="N113" s="2"/>
      <c r="O113" s="2"/>
      <c r="P113" s="2"/>
    </row>
    <row r="114" spans="1:16" ht="21" customHeight="1">
      <c r="A114" s="2"/>
      <c r="B114" s="2"/>
      <c r="C114" s="2"/>
      <c r="D114" s="2"/>
      <c r="E114" s="2"/>
      <c r="F114" s="2"/>
      <c r="G114" s="2"/>
      <c r="H114" s="2"/>
      <c r="I114" s="2"/>
      <c r="J114" s="2"/>
      <c r="K114" s="2"/>
      <c r="L114" s="2"/>
      <c r="M114" s="2"/>
      <c r="N114" s="2"/>
      <c r="O114" s="2"/>
      <c r="P114" s="2"/>
    </row>
    <row r="115" spans="1:16" ht="21" customHeight="1">
      <c r="A115" s="2"/>
      <c r="B115" s="2"/>
      <c r="C115" s="2"/>
      <c r="D115" s="2"/>
      <c r="E115" s="2"/>
      <c r="F115" s="2"/>
      <c r="G115" s="2"/>
      <c r="H115" s="2"/>
      <c r="I115" s="2"/>
      <c r="J115" s="2"/>
      <c r="K115" s="2"/>
      <c r="L115" s="2"/>
      <c r="M115" s="2"/>
      <c r="N115" s="2"/>
      <c r="O115" s="2"/>
      <c r="P115" s="2"/>
    </row>
    <row r="116" spans="1:16" ht="21" customHeight="1">
      <c r="A116" s="2"/>
      <c r="B116" s="2"/>
      <c r="C116" s="2"/>
      <c r="D116" s="2"/>
      <c r="E116" s="2"/>
      <c r="F116" s="2"/>
      <c r="G116" s="2"/>
      <c r="H116" s="2"/>
      <c r="I116" s="2"/>
      <c r="J116" s="2"/>
      <c r="K116" s="2"/>
      <c r="L116" s="2"/>
      <c r="M116" s="2"/>
      <c r="N116" s="2"/>
      <c r="O116" s="2"/>
      <c r="P116" s="2"/>
    </row>
    <row r="117" spans="1:16" ht="21" customHeight="1">
      <c r="A117" s="2"/>
      <c r="B117" s="2"/>
      <c r="C117" s="2"/>
      <c r="D117" s="2"/>
      <c r="E117" s="2"/>
      <c r="F117" s="2"/>
      <c r="G117" s="2"/>
      <c r="H117" s="2"/>
      <c r="I117" s="2"/>
      <c r="J117" s="2"/>
      <c r="K117" s="2"/>
      <c r="L117" s="2"/>
      <c r="M117" s="2"/>
      <c r="N117" s="2"/>
      <c r="O117" s="2"/>
      <c r="P117" s="2"/>
    </row>
    <row r="118" spans="1:16" ht="21" customHeight="1">
      <c r="A118" s="2"/>
      <c r="B118" s="2"/>
      <c r="C118" s="2"/>
      <c r="D118" s="2"/>
      <c r="E118" s="2"/>
      <c r="F118" s="2"/>
      <c r="G118" s="2"/>
      <c r="H118" s="2"/>
      <c r="I118" s="2"/>
      <c r="J118" s="2"/>
      <c r="K118" s="2"/>
      <c r="L118" s="2"/>
      <c r="M118" s="2"/>
      <c r="N118" s="2"/>
      <c r="O118" s="2"/>
      <c r="P118" s="2"/>
    </row>
    <row r="119" spans="1:16" ht="21" customHeight="1">
      <c r="A119" s="2"/>
      <c r="B119" s="2"/>
      <c r="C119" s="2"/>
      <c r="D119" s="2"/>
      <c r="E119" s="2"/>
      <c r="F119" s="2"/>
      <c r="G119" s="2"/>
      <c r="H119" s="2"/>
      <c r="I119" s="2"/>
      <c r="J119" s="2"/>
      <c r="K119" s="2"/>
      <c r="L119" s="2"/>
      <c r="M119" s="2"/>
      <c r="N119" s="2"/>
      <c r="O119" s="2"/>
      <c r="P119" s="2"/>
    </row>
    <row r="120" spans="1:16" ht="21" customHeight="1">
      <c r="A120" s="2"/>
      <c r="B120" s="2"/>
      <c r="C120" s="2"/>
      <c r="D120" s="2"/>
      <c r="E120" s="2"/>
      <c r="F120" s="2"/>
      <c r="G120" s="2"/>
      <c r="H120" s="2"/>
      <c r="I120" s="2"/>
      <c r="J120" s="2"/>
      <c r="K120" s="2"/>
      <c r="L120" s="2"/>
      <c r="M120" s="2"/>
      <c r="N120" s="2"/>
      <c r="O120" s="2"/>
      <c r="P120" s="2"/>
    </row>
    <row r="121" spans="1:16" ht="21" customHeight="1"/>
    <row r="122" spans="1:16" ht="21" customHeight="1"/>
    <row r="123" spans="1:16" ht="21" customHeight="1"/>
    <row r="124" spans="1:16" ht="21" customHeight="1"/>
    <row r="125" spans="1:16" ht="21" customHeight="1"/>
    <row r="126" spans="1:16" ht="21" customHeight="1"/>
    <row r="127" spans="1:16" ht="21" customHeight="1"/>
    <row r="128" spans="1:16" ht="21" customHeight="1"/>
    <row r="129" ht="21" customHeight="1"/>
    <row r="130" ht="21" customHeight="1"/>
    <row r="131" ht="21" customHeight="1"/>
    <row r="132" ht="21" customHeight="1"/>
    <row r="133" ht="21" customHeight="1"/>
    <row r="134" ht="21" customHeight="1"/>
    <row r="135" ht="21" customHeight="1"/>
    <row r="136" ht="21" customHeight="1"/>
    <row r="137" ht="21" customHeight="1"/>
    <row r="138" ht="21" customHeight="1"/>
    <row r="139" ht="21" customHeight="1"/>
    <row r="140" ht="21" customHeight="1"/>
    <row r="141" ht="21" customHeight="1"/>
    <row r="142" ht="21" customHeight="1"/>
    <row r="143" ht="21" customHeight="1"/>
    <row r="144" ht="21" customHeight="1"/>
    <row r="145" ht="21" customHeight="1"/>
    <row r="146" ht="21" customHeight="1"/>
    <row r="147" ht="21" customHeight="1"/>
    <row r="148" ht="21" customHeight="1"/>
    <row r="149" ht="21" customHeight="1"/>
    <row r="150" ht="21" customHeight="1"/>
    <row r="151" ht="21" customHeight="1"/>
    <row r="152" ht="21" customHeight="1"/>
    <row r="153" ht="21" customHeight="1"/>
    <row r="154" ht="21" customHeight="1"/>
    <row r="155" ht="21" customHeight="1"/>
    <row r="156" ht="21" customHeight="1"/>
    <row r="157" ht="21" customHeight="1"/>
    <row r="158" ht="21" customHeight="1"/>
    <row r="159" ht="21" customHeight="1"/>
    <row r="160" ht="21" customHeight="1"/>
    <row r="161" ht="21" customHeight="1"/>
    <row r="162" ht="21" customHeight="1"/>
    <row r="163" ht="21" customHeight="1"/>
    <row r="164" ht="21" customHeight="1"/>
    <row r="165" ht="21" customHeight="1"/>
    <row r="166" ht="21" customHeight="1"/>
    <row r="167" ht="21" customHeight="1"/>
    <row r="168" ht="21" customHeight="1"/>
    <row r="169" ht="21" customHeight="1"/>
    <row r="170" ht="21" customHeight="1"/>
    <row r="171" ht="21" customHeight="1"/>
    <row r="172" ht="21" customHeight="1"/>
    <row r="173" ht="21" customHeight="1"/>
    <row r="174" ht="21" customHeight="1"/>
    <row r="175" ht="21" customHeight="1"/>
    <row r="176" ht="21" customHeight="1"/>
    <row r="177" ht="21" customHeight="1"/>
    <row r="178" ht="21" customHeight="1"/>
    <row r="179" ht="21" customHeight="1"/>
    <row r="180" ht="21" customHeight="1"/>
    <row r="181" ht="21" customHeight="1"/>
    <row r="182" ht="21" customHeight="1"/>
    <row r="183" ht="21" customHeight="1"/>
    <row r="184" ht="21" customHeight="1"/>
    <row r="185" ht="21" customHeight="1"/>
    <row r="186" ht="21" customHeight="1"/>
    <row r="187" ht="21" customHeight="1"/>
    <row r="188" ht="21" customHeight="1"/>
    <row r="189" ht="21" customHeight="1"/>
    <row r="190" ht="21" customHeight="1"/>
    <row r="191" ht="21" customHeight="1"/>
    <row r="192" ht="21" customHeight="1"/>
    <row r="193" ht="21" customHeight="1"/>
    <row r="194" ht="21" customHeight="1"/>
    <row r="195" ht="21" customHeight="1"/>
    <row r="196" ht="21" customHeight="1"/>
    <row r="197" ht="21" customHeight="1"/>
    <row r="198" ht="21" customHeight="1"/>
    <row r="199" ht="21" customHeight="1"/>
    <row r="200" ht="21" customHeight="1"/>
    <row r="201" ht="21" customHeight="1"/>
    <row r="202" ht="21" customHeight="1"/>
    <row r="203" ht="21" customHeight="1"/>
    <row r="204" ht="21" customHeight="1"/>
    <row r="205" ht="21" customHeight="1"/>
    <row r="206" ht="21" customHeight="1"/>
    <row r="207" ht="21" customHeight="1"/>
    <row r="208" ht="21" customHeight="1"/>
    <row r="209" ht="21" customHeight="1"/>
    <row r="210" ht="21" customHeight="1"/>
    <row r="211" ht="21" customHeight="1"/>
    <row r="212" ht="21" customHeight="1"/>
    <row r="213" ht="21" customHeight="1"/>
    <row r="214" ht="21" customHeight="1"/>
    <row r="215" ht="21" customHeight="1"/>
    <row r="216" ht="21" customHeight="1"/>
    <row r="217" ht="21" customHeight="1"/>
    <row r="218" ht="21" customHeight="1"/>
    <row r="219" ht="21" customHeight="1"/>
    <row r="220" ht="21" customHeight="1"/>
    <row r="221" ht="21" customHeight="1"/>
    <row r="222" ht="21" customHeight="1"/>
    <row r="223" ht="21" customHeight="1"/>
    <row r="224" ht="21" customHeight="1"/>
    <row r="225" ht="21" customHeight="1"/>
    <row r="226" ht="21" customHeight="1"/>
    <row r="227" ht="21" customHeight="1"/>
    <row r="228" ht="21" customHeight="1"/>
    <row r="229" ht="21" customHeight="1"/>
    <row r="230" ht="21" customHeight="1"/>
    <row r="231" ht="21" customHeight="1"/>
    <row r="232" ht="21" customHeight="1"/>
    <row r="233" ht="21" customHeight="1"/>
    <row r="234" ht="21" customHeight="1"/>
    <row r="235" ht="21" customHeight="1"/>
    <row r="236" ht="21" customHeight="1"/>
    <row r="237" ht="21" customHeight="1"/>
    <row r="238" ht="21" customHeight="1"/>
    <row r="239" ht="21" customHeight="1"/>
    <row r="240" ht="21" customHeight="1"/>
    <row r="241" ht="21" customHeight="1"/>
    <row r="242" ht="21" customHeight="1"/>
    <row r="243" ht="21" customHeight="1"/>
    <row r="244" ht="21" customHeight="1"/>
    <row r="245" ht="21" customHeight="1"/>
    <row r="246" ht="21" customHeight="1"/>
    <row r="247" ht="21" customHeight="1"/>
    <row r="248" ht="21" customHeight="1"/>
    <row r="249" ht="21" customHeight="1"/>
    <row r="250" ht="21" customHeight="1"/>
    <row r="251" ht="21" customHeight="1"/>
    <row r="252" ht="21" customHeight="1"/>
    <row r="253" ht="21" customHeight="1"/>
    <row r="254" ht="21" customHeight="1"/>
    <row r="255" ht="21" customHeight="1"/>
    <row r="256" ht="21" customHeight="1"/>
    <row r="257" ht="21" customHeight="1"/>
    <row r="258" ht="21" customHeight="1"/>
    <row r="259" ht="21" customHeight="1"/>
    <row r="260" ht="21" customHeight="1"/>
    <row r="261" ht="21" customHeight="1"/>
    <row r="262" ht="21" customHeight="1"/>
    <row r="263" ht="21" customHeight="1"/>
    <row r="264" ht="21" customHeight="1"/>
    <row r="265" ht="21" customHeight="1"/>
    <row r="266" ht="21" customHeight="1"/>
    <row r="267" ht="21" customHeight="1"/>
    <row r="268" ht="21" customHeight="1"/>
    <row r="269" ht="21" customHeight="1"/>
    <row r="270" ht="21" customHeight="1"/>
    <row r="271" ht="21" customHeight="1"/>
    <row r="272" ht="21" customHeight="1"/>
    <row r="273" ht="21" customHeight="1"/>
    <row r="274" ht="21" customHeight="1"/>
    <row r="275" ht="21" customHeight="1"/>
    <row r="276" ht="21" customHeight="1"/>
    <row r="277" ht="21" customHeight="1"/>
    <row r="278" ht="21" customHeight="1"/>
    <row r="279" ht="21" customHeight="1"/>
    <row r="280" ht="21" customHeight="1"/>
    <row r="281" ht="21" customHeight="1"/>
    <row r="282" ht="21" customHeight="1"/>
    <row r="283" ht="21" customHeight="1"/>
    <row r="284" ht="21" customHeight="1"/>
    <row r="285" ht="21" customHeight="1"/>
    <row r="286" ht="21" customHeight="1"/>
    <row r="287" ht="21" customHeight="1"/>
    <row r="288" ht="21" customHeight="1"/>
    <row r="289" ht="21" customHeight="1"/>
    <row r="290" ht="21" customHeight="1"/>
    <row r="291" ht="21" customHeight="1"/>
    <row r="292" ht="21" customHeight="1"/>
    <row r="293" ht="21" customHeight="1"/>
    <row r="294" ht="21" customHeight="1"/>
    <row r="295" ht="21" customHeight="1"/>
    <row r="296" ht="21" customHeight="1"/>
    <row r="297" ht="21" customHeight="1"/>
    <row r="298" ht="21" customHeight="1"/>
    <row r="299" ht="21" customHeight="1"/>
    <row r="300" ht="21" customHeight="1"/>
    <row r="301" ht="21" customHeight="1"/>
    <row r="302" ht="21" customHeight="1"/>
    <row r="303" ht="21" customHeight="1"/>
    <row r="304" ht="21" customHeight="1"/>
    <row r="305" ht="21" customHeight="1"/>
    <row r="306" ht="21" customHeight="1"/>
    <row r="307" ht="21" customHeight="1"/>
    <row r="308" ht="21" customHeight="1"/>
    <row r="309" ht="21" customHeight="1"/>
    <row r="310" ht="21" customHeight="1"/>
    <row r="311" ht="21" customHeight="1"/>
    <row r="312" ht="21" customHeight="1"/>
    <row r="313" ht="21" customHeight="1"/>
    <row r="314" ht="21" customHeight="1"/>
    <row r="315" ht="21" customHeight="1"/>
    <row r="316" ht="21" customHeight="1"/>
    <row r="317" ht="21" customHeight="1"/>
    <row r="318" ht="21" customHeight="1"/>
    <row r="319" ht="21" customHeight="1"/>
    <row r="320" ht="21" customHeight="1"/>
    <row r="321" ht="21" customHeight="1"/>
    <row r="322" ht="21" customHeight="1"/>
    <row r="323" ht="21" customHeight="1"/>
    <row r="324" ht="21" customHeight="1"/>
    <row r="325" ht="21" customHeight="1"/>
    <row r="326" ht="21" customHeight="1"/>
    <row r="327" ht="21" customHeight="1"/>
    <row r="328" ht="21" customHeight="1"/>
    <row r="329" ht="21" customHeight="1"/>
    <row r="330" ht="21" customHeight="1"/>
    <row r="331" ht="21" customHeight="1"/>
    <row r="332" ht="21" customHeight="1"/>
    <row r="333" ht="21" customHeight="1"/>
    <row r="334" ht="21" customHeight="1"/>
    <row r="335" ht="21" customHeight="1"/>
    <row r="336" ht="21" customHeight="1"/>
    <row r="337" ht="21" customHeight="1"/>
    <row r="338" ht="21" customHeight="1"/>
    <row r="339" ht="21" customHeight="1"/>
    <row r="340" ht="21" customHeight="1"/>
    <row r="341" ht="21" customHeight="1"/>
    <row r="342" ht="21" customHeight="1"/>
    <row r="343" ht="21" customHeight="1"/>
    <row r="344" ht="21" customHeight="1"/>
    <row r="345" ht="21" customHeight="1"/>
    <row r="346" ht="21" customHeight="1"/>
    <row r="347" ht="21" customHeight="1"/>
    <row r="348" ht="21" customHeight="1"/>
    <row r="349" ht="21" customHeight="1"/>
    <row r="350" ht="21" customHeight="1"/>
    <row r="351" ht="21" customHeight="1"/>
    <row r="352" ht="21" customHeight="1"/>
    <row r="353" ht="21" customHeight="1"/>
    <row r="354" ht="21" customHeight="1"/>
    <row r="355" ht="21" customHeight="1"/>
    <row r="356" ht="21" customHeight="1"/>
    <row r="357" ht="21" customHeight="1"/>
    <row r="358" ht="21" customHeight="1"/>
    <row r="359" ht="21" customHeight="1"/>
    <row r="360" ht="21" customHeight="1"/>
    <row r="361" ht="21" customHeight="1"/>
    <row r="362" ht="21" customHeight="1"/>
    <row r="363" ht="21" customHeight="1"/>
    <row r="364" ht="21" customHeight="1"/>
    <row r="365" ht="21" customHeight="1"/>
    <row r="366" ht="21" customHeight="1"/>
    <row r="367" ht="21" customHeight="1"/>
    <row r="368" ht="21" customHeight="1"/>
    <row r="369" ht="21" customHeight="1"/>
    <row r="370" ht="21" customHeight="1"/>
    <row r="371" ht="21" customHeight="1"/>
    <row r="372" ht="21" customHeight="1"/>
    <row r="373" ht="21" customHeight="1"/>
    <row r="374" ht="21" customHeight="1"/>
    <row r="375" ht="21" customHeight="1"/>
    <row r="376" ht="21" customHeight="1"/>
    <row r="377" ht="21" customHeight="1"/>
    <row r="378" ht="21" customHeight="1"/>
    <row r="379" ht="21" customHeight="1"/>
    <row r="380" ht="21" customHeight="1"/>
    <row r="381" ht="21" customHeight="1"/>
    <row r="382" ht="21" customHeight="1"/>
    <row r="383" ht="21" customHeight="1"/>
    <row r="384" ht="21" customHeight="1"/>
    <row r="385" ht="21" customHeight="1"/>
    <row r="386" ht="21" customHeight="1"/>
    <row r="387" ht="21" customHeight="1"/>
    <row r="388" ht="21" customHeight="1"/>
    <row r="389" ht="21" customHeight="1"/>
    <row r="390" ht="21" customHeight="1"/>
    <row r="391" ht="21" customHeight="1"/>
    <row r="392" ht="21" customHeight="1"/>
    <row r="393" ht="21" customHeight="1"/>
    <row r="394" ht="21" customHeight="1"/>
    <row r="395" ht="21" customHeight="1"/>
    <row r="396" ht="21" customHeight="1"/>
    <row r="397" ht="21" customHeight="1"/>
    <row r="398" ht="21" customHeight="1"/>
    <row r="399" ht="21" customHeight="1"/>
    <row r="400" ht="21" customHeight="1"/>
    <row r="401" ht="21" customHeight="1"/>
    <row r="402" ht="21" customHeight="1"/>
    <row r="403" ht="21" customHeight="1"/>
    <row r="404" ht="21" customHeight="1"/>
    <row r="405" ht="21" customHeight="1"/>
    <row r="406" ht="21" customHeight="1"/>
    <row r="407" ht="21" customHeight="1"/>
    <row r="408" ht="21" customHeight="1"/>
    <row r="409" ht="21" customHeight="1"/>
    <row r="410" ht="21" customHeight="1"/>
    <row r="411" ht="21" customHeight="1"/>
    <row r="412" ht="21" customHeight="1"/>
    <row r="413" ht="21" customHeight="1"/>
    <row r="414" ht="21" customHeight="1"/>
    <row r="415" ht="21" customHeight="1"/>
    <row r="416" ht="21" customHeight="1"/>
    <row r="417" ht="21" customHeight="1"/>
    <row r="418" ht="21" customHeight="1"/>
    <row r="419" ht="21" customHeight="1"/>
    <row r="420" ht="21" customHeight="1"/>
    <row r="421" ht="21" customHeight="1"/>
    <row r="422" ht="21" customHeight="1"/>
    <row r="423" ht="21" customHeight="1"/>
    <row r="424" ht="21" customHeight="1"/>
    <row r="425" ht="21" customHeight="1"/>
    <row r="426" ht="21" customHeight="1"/>
    <row r="427" ht="21" customHeight="1"/>
    <row r="428" ht="21" customHeight="1"/>
    <row r="429" ht="21" customHeight="1"/>
    <row r="430" ht="21" customHeight="1"/>
    <row r="431" ht="21" customHeight="1"/>
    <row r="432" ht="21" customHeight="1"/>
    <row r="433" ht="21" customHeight="1"/>
    <row r="434" ht="21" customHeight="1"/>
    <row r="435" ht="21" customHeight="1"/>
    <row r="436" ht="21" customHeight="1"/>
    <row r="437" ht="21" customHeight="1"/>
    <row r="438" ht="21" customHeight="1"/>
    <row r="439" ht="21" customHeight="1"/>
    <row r="440" ht="21" customHeight="1"/>
    <row r="441" ht="21" customHeight="1"/>
    <row r="442" ht="21" customHeight="1"/>
    <row r="443" ht="21" customHeight="1"/>
    <row r="444" ht="21" customHeight="1"/>
    <row r="445" ht="21" customHeight="1"/>
    <row r="446" ht="21" customHeight="1"/>
    <row r="447" ht="21" customHeight="1"/>
    <row r="448" ht="21" customHeight="1"/>
    <row r="449" ht="21" customHeight="1"/>
    <row r="450" ht="21" customHeight="1"/>
    <row r="451" ht="21" customHeight="1"/>
    <row r="452" ht="21" customHeight="1"/>
    <row r="453" ht="21" customHeight="1"/>
    <row r="454" ht="21" customHeight="1"/>
    <row r="455" ht="21" customHeight="1"/>
    <row r="456" ht="21" customHeight="1"/>
    <row r="457" ht="21" customHeight="1"/>
    <row r="458" ht="21" customHeight="1"/>
    <row r="459" ht="21" customHeight="1"/>
    <row r="460" ht="21" customHeight="1"/>
    <row r="461" ht="21" customHeight="1"/>
    <row r="462" ht="21" customHeight="1"/>
    <row r="463" ht="21" customHeight="1"/>
    <row r="464" ht="21" customHeight="1"/>
    <row r="465" ht="21" customHeight="1"/>
    <row r="466" ht="21" customHeight="1"/>
    <row r="467" ht="21" customHeight="1"/>
    <row r="468" ht="21" customHeight="1"/>
    <row r="469" ht="21" customHeight="1"/>
    <row r="470" ht="21" customHeight="1"/>
    <row r="471" ht="21" customHeight="1"/>
    <row r="472" ht="21" customHeight="1"/>
    <row r="473" ht="21" customHeight="1"/>
    <row r="474" ht="21" customHeight="1"/>
    <row r="475" ht="21" customHeight="1"/>
    <row r="476" ht="21" customHeight="1"/>
    <row r="477" ht="21" customHeight="1"/>
    <row r="478" ht="21" customHeight="1"/>
    <row r="479" ht="21" customHeight="1"/>
    <row r="480" ht="21" customHeight="1"/>
    <row r="481" ht="21" customHeight="1"/>
    <row r="482" ht="21" customHeight="1"/>
    <row r="483" ht="21" customHeight="1"/>
    <row r="484" ht="21" customHeight="1"/>
    <row r="485" ht="21" customHeight="1"/>
    <row r="486" ht="21" customHeight="1"/>
    <row r="487" ht="21" customHeight="1"/>
    <row r="488" ht="21" customHeight="1"/>
    <row r="489" ht="21" customHeight="1"/>
    <row r="490" ht="21" customHeight="1"/>
    <row r="491" ht="21" customHeight="1"/>
    <row r="492" ht="21" customHeight="1"/>
    <row r="493" ht="21" customHeight="1"/>
    <row r="494" ht="21" customHeight="1"/>
    <row r="495" ht="21" customHeight="1"/>
    <row r="496" ht="21" customHeight="1"/>
    <row r="497" ht="21" customHeight="1"/>
    <row r="498" ht="21" customHeight="1"/>
    <row r="499" ht="21" customHeight="1"/>
    <row r="500" ht="21" customHeight="1"/>
    <row r="501" ht="21" customHeight="1"/>
    <row r="502" ht="21" customHeight="1"/>
    <row r="503" ht="21" customHeight="1"/>
    <row r="504" ht="21" customHeight="1"/>
    <row r="505" ht="21" customHeight="1"/>
    <row r="506" ht="21" customHeight="1"/>
    <row r="507" ht="21" customHeight="1"/>
    <row r="508" ht="21" customHeight="1"/>
    <row r="509" ht="21" customHeight="1"/>
    <row r="510" ht="21" customHeight="1"/>
    <row r="511" ht="21" customHeight="1"/>
    <row r="512" ht="21" customHeight="1"/>
    <row r="513" ht="21" customHeight="1"/>
    <row r="514" ht="21" customHeight="1"/>
    <row r="515" ht="21" customHeight="1"/>
    <row r="516" ht="21" customHeight="1"/>
    <row r="517" ht="21" customHeight="1"/>
    <row r="518" ht="21" customHeight="1"/>
    <row r="519" ht="21" customHeight="1"/>
    <row r="520" ht="21" customHeight="1"/>
    <row r="521" ht="21" customHeight="1"/>
    <row r="522" ht="21" customHeight="1"/>
    <row r="523" ht="21" customHeight="1"/>
    <row r="524" ht="21" customHeight="1"/>
    <row r="525" ht="21" customHeight="1"/>
    <row r="526" ht="21" customHeight="1"/>
    <row r="527" ht="21" customHeight="1"/>
    <row r="528" ht="21" customHeight="1"/>
    <row r="529" ht="21" customHeight="1"/>
    <row r="530" ht="21" customHeight="1"/>
    <row r="531" ht="21" customHeight="1"/>
    <row r="532" ht="21" customHeight="1"/>
    <row r="533" ht="21" customHeight="1"/>
    <row r="534" ht="21" customHeight="1"/>
    <row r="535" ht="21" customHeight="1"/>
    <row r="536" ht="21" customHeight="1"/>
    <row r="537" ht="21" customHeight="1"/>
    <row r="538" ht="21" customHeight="1"/>
    <row r="539" ht="21" customHeight="1"/>
    <row r="540" ht="21" customHeight="1"/>
    <row r="541" ht="21" customHeight="1"/>
    <row r="542" ht="21" customHeight="1"/>
    <row r="543" ht="21" customHeight="1"/>
    <row r="544" ht="21" customHeight="1"/>
    <row r="545" ht="21" customHeight="1"/>
    <row r="546" ht="21" customHeight="1"/>
    <row r="547" ht="21" customHeight="1"/>
    <row r="548" ht="21" customHeight="1"/>
    <row r="549" ht="21" customHeight="1"/>
    <row r="550" ht="21" customHeight="1"/>
    <row r="551" ht="21" customHeight="1"/>
    <row r="552" ht="21" customHeight="1"/>
    <row r="553" ht="21" customHeight="1"/>
    <row r="554" ht="21" customHeight="1"/>
    <row r="555" ht="21" customHeight="1"/>
    <row r="556" ht="21" customHeight="1"/>
    <row r="557" ht="21" customHeight="1"/>
    <row r="558" ht="21" customHeight="1"/>
    <row r="559" ht="21" customHeight="1"/>
    <row r="560" ht="21" customHeight="1"/>
    <row r="561" ht="21" customHeight="1"/>
    <row r="562" ht="21" customHeight="1"/>
    <row r="563" ht="21" customHeight="1"/>
    <row r="564" ht="21" customHeight="1"/>
    <row r="565" ht="21" customHeight="1"/>
    <row r="566" ht="21" customHeight="1"/>
    <row r="567" ht="21" customHeight="1"/>
    <row r="568" ht="21" customHeight="1"/>
    <row r="569" ht="21" customHeight="1"/>
    <row r="570" ht="21" customHeight="1"/>
    <row r="571" ht="21" customHeight="1"/>
    <row r="572" ht="21" customHeight="1"/>
    <row r="573" ht="21" customHeight="1"/>
    <row r="574" ht="21" customHeight="1"/>
    <row r="575" ht="21" customHeight="1"/>
    <row r="576" ht="21" customHeight="1"/>
    <row r="577" ht="21" customHeight="1"/>
    <row r="578" ht="21" customHeight="1"/>
    <row r="579" ht="21" customHeight="1"/>
    <row r="580" ht="21" customHeight="1"/>
    <row r="581" ht="21" customHeight="1"/>
    <row r="582" ht="21" customHeight="1"/>
    <row r="583" ht="21" customHeight="1"/>
    <row r="584" ht="21" customHeight="1"/>
    <row r="585" ht="21" customHeight="1"/>
    <row r="586" ht="21" customHeight="1"/>
    <row r="587" ht="21" customHeight="1"/>
    <row r="588" ht="21" customHeight="1"/>
    <row r="589" ht="21" customHeight="1"/>
    <row r="590" ht="21" customHeight="1"/>
    <row r="591" ht="21" customHeight="1"/>
    <row r="592" ht="21" customHeight="1"/>
    <row r="593" ht="21" customHeight="1"/>
    <row r="594" ht="21" customHeight="1"/>
    <row r="595" ht="21" customHeight="1"/>
    <row r="596" ht="21" customHeight="1"/>
    <row r="597" ht="21" customHeight="1"/>
    <row r="598" ht="21" customHeight="1"/>
    <row r="599" ht="21" customHeight="1"/>
    <row r="600" ht="21" customHeight="1"/>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P600"/>
  <sheetViews>
    <sheetView showGridLines="0" workbookViewId="0">
      <pane ySplit="1" topLeftCell="A2" activePane="bottomLeft" state="frozen"/>
      <selection pane="bottomLeft"/>
    </sheetView>
  </sheetViews>
  <sheetFormatPr defaultRowHeight="14.25"/>
  <cols>
    <col min="1" max="1" width="20" customWidth="1"/>
    <col min="2" max="2" width="55" customWidth="1"/>
    <col min="3" max="7" width="20" customWidth="1"/>
  </cols>
  <sheetData>
    <row r="1" spans="1:16" ht="21" customHeight="1">
      <c r="A1" s="6" t="s">
        <v>11</v>
      </c>
      <c r="B1" s="6" t="s">
        <v>12</v>
      </c>
      <c r="C1" s="6" t="s">
        <v>13</v>
      </c>
      <c r="D1" s="6" t="s">
        <v>9</v>
      </c>
      <c r="E1" s="6" t="s">
        <v>40</v>
      </c>
      <c r="F1" s="2"/>
      <c r="G1" s="2"/>
      <c r="H1" s="2"/>
      <c r="I1" s="2"/>
      <c r="J1" s="2"/>
      <c r="K1" s="2"/>
      <c r="L1" s="2"/>
      <c r="M1" s="2"/>
      <c r="N1" s="2"/>
      <c r="O1" s="2"/>
      <c r="P1" s="2"/>
    </row>
    <row r="2" spans="1:16" ht="21" customHeight="1">
      <c r="A2" s="2" t="s">
        <v>595</v>
      </c>
      <c r="B2" s="2" t="s">
        <v>596</v>
      </c>
      <c r="C2" s="7">
        <v>7.8069490000000005E-2</v>
      </c>
      <c r="D2" s="14" t="s">
        <v>491</v>
      </c>
      <c r="E2" s="2" t="s">
        <v>107</v>
      </c>
      <c r="F2" s="2"/>
      <c r="G2" s="2"/>
      <c r="H2" s="2"/>
      <c r="I2" s="2"/>
      <c r="J2" s="2"/>
      <c r="K2" s="2"/>
      <c r="L2" s="2"/>
      <c r="M2" s="2"/>
      <c r="N2" s="2"/>
      <c r="O2" s="2"/>
      <c r="P2" s="2"/>
    </row>
    <row r="3" spans="1:16" ht="21" customHeight="1">
      <c r="A3" s="2" t="s">
        <v>597</v>
      </c>
      <c r="B3" s="2" t="s">
        <v>598</v>
      </c>
      <c r="C3" s="7">
        <v>7.8020560000000003E-2</v>
      </c>
      <c r="D3" s="14" t="s">
        <v>491</v>
      </c>
      <c r="E3" s="2" t="s">
        <v>107</v>
      </c>
      <c r="F3" s="2"/>
      <c r="G3" s="2"/>
      <c r="H3" s="2"/>
      <c r="I3" s="2"/>
      <c r="J3" s="2"/>
      <c r="K3" s="2"/>
      <c r="L3" s="2"/>
      <c r="M3" s="2"/>
      <c r="N3" s="2"/>
      <c r="O3" s="2"/>
      <c r="P3" s="2"/>
    </row>
    <row r="4" spans="1:16" ht="21" customHeight="1">
      <c r="A4" s="2" t="s">
        <v>492</v>
      </c>
      <c r="B4" s="2" t="s">
        <v>493</v>
      </c>
      <c r="C4" s="7">
        <v>5.7253780000000004E-2</v>
      </c>
      <c r="D4" s="14" t="s">
        <v>491</v>
      </c>
      <c r="E4" s="2" t="s">
        <v>107</v>
      </c>
      <c r="F4" s="2"/>
      <c r="G4" s="2"/>
      <c r="H4" s="2"/>
      <c r="I4" s="2"/>
      <c r="J4" s="2"/>
      <c r="K4" s="2"/>
      <c r="L4" s="2"/>
      <c r="M4" s="2"/>
      <c r="N4" s="2"/>
      <c r="O4" s="2"/>
      <c r="P4" s="2"/>
    </row>
    <row r="5" spans="1:16" ht="21" customHeight="1">
      <c r="A5" s="2" t="s">
        <v>599</v>
      </c>
      <c r="B5" s="2" t="s">
        <v>600</v>
      </c>
      <c r="C5" s="7">
        <v>5.289423E-2</v>
      </c>
      <c r="D5" s="14" t="s">
        <v>491</v>
      </c>
      <c r="E5" s="2" t="s">
        <v>107</v>
      </c>
      <c r="F5" s="2"/>
      <c r="G5" s="2"/>
      <c r="H5" s="2"/>
      <c r="I5" s="2"/>
      <c r="J5" s="2"/>
      <c r="K5" s="2"/>
      <c r="L5" s="2"/>
      <c r="M5" s="2"/>
      <c r="N5" s="2"/>
      <c r="O5" s="2"/>
      <c r="P5" s="2"/>
    </row>
    <row r="6" spans="1:16" ht="21" customHeight="1">
      <c r="A6" s="2" t="s">
        <v>601</v>
      </c>
      <c r="B6" s="2" t="s">
        <v>602</v>
      </c>
      <c r="C6" s="7">
        <v>5.1878630000000002E-2</v>
      </c>
      <c r="D6" s="14" t="s">
        <v>491</v>
      </c>
      <c r="E6" s="2" t="s">
        <v>107</v>
      </c>
      <c r="F6" s="2"/>
      <c r="G6" s="2"/>
      <c r="H6" s="2"/>
      <c r="I6" s="2"/>
      <c r="J6" s="2"/>
      <c r="K6" s="2"/>
      <c r="L6" s="2"/>
      <c r="M6" s="2"/>
      <c r="N6" s="2"/>
      <c r="O6" s="2"/>
      <c r="P6" s="2"/>
    </row>
    <row r="7" spans="1:16" ht="21" customHeight="1">
      <c r="A7" s="2" t="s">
        <v>603</v>
      </c>
      <c r="B7" s="2" t="s">
        <v>604</v>
      </c>
      <c r="C7" s="7">
        <v>4.9173799999999997E-2</v>
      </c>
      <c r="D7" s="14" t="s">
        <v>491</v>
      </c>
      <c r="E7" s="2" t="s">
        <v>107</v>
      </c>
      <c r="F7" s="2"/>
      <c r="G7" s="2"/>
      <c r="H7" s="2"/>
      <c r="I7" s="2"/>
      <c r="J7" s="2"/>
      <c r="K7" s="2"/>
      <c r="L7" s="2"/>
      <c r="M7" s="2"/>
      <c r="N7" s="2"/>
      <c r="O7" s="2"/>
      <c r="P7" s="2"/>
    </row>
    <row r="8" spans="1:16" ht="21" customHeight="1">
      <c r="A8" s="2" t="s">
        <v>605</v>
      </c>
      <c r="B8" s="2" t="s">
        <v>606</v>
      </c>
      <c r="C8" s="7">
        <v>4.8899999999999999E-2</v>
      </c>
      <c r="D8" s="14" t="s">
        <v>491</v>
      </c>
      <c r="E8" s="2" t="s">
        <v>107</v>
      </c>
      <c r="F8" s="2"/>
      <c r="G8" s="2"/>
      <c r="H8" s="2"/>
      <c r="I8" s="2"/>
      <c r="J8" s="2"/>
      <c r="K8" s="2"/>
      <c r="L8" s="2"/>
      <c r="M8" s="2"/>
      <c r="N8" s="2"/>
      <c r="O8" s="2"/>
      <c r="P8" s="2"/>
    </row>
    <row r="9" spans="1:16" ht="21" customHeight="1">
      <c r="A9" s="2" t="s">
        <v>607</v>
      </c>
      <c r="B9" s="2" t="s">
        <v>608</v>
      </c>
      <c r="C9" s="7">
        <v>4.7899999999999998E-2</v>
      </c>
      <c r="D9" s="14" t="s">
        <v>491</v>
      </c>
      <c r="E9" s="2" t="s">
        <v>107</v>
      </c>
      <c r="F9" s="2"/>
      <c r="G9" s="2"/>
      <c r="H9" s="2"/>
      <c r="I9" s="2"/>
      <c r="J9" s="2"/>
      <c r="K9" s="2"/>
      <c r="L9" s="2"/>
      <c r="M9" s="2"/>
      <c r="N9" s="2"/>
      <c r="O9" s="2"/>
      <c r="P9" s="2"/>
    </row>
    <row r="10" spans="1:16" ht="21" customHeight="1">
      <c r="A10" s="2" t="s">
        <v>609</v>
      </c>
      <c r="B10" s="2" t="s">
        <v>610</v>
      </c>
      <c r="C10" s="7">
        <v>4.3058039999999999E-2</v>
      </c>
      <c r="D10" s="14" t="s">
        <v>491</v>
      </c>
      <c r="E10" s="2" t="s">
        <v>107</v>
      </c>
      <c r="F10" s="2"/>
      <c r="G10" s="2"/>
      <c r="H10" s="2"/>
      <c r="I10" s="2"/>
      <c r="J10" s="2"/>
      <c r="K10" s="2"/>
      <c r="L10" s="2"/>
      <c r="M10" s="2"/>
      <c r="N10" s="2"/>
      <c r="O10" s="2"/>
      <c r="P10" s="2"/>
    </row>
    <row r="11" spans="1:16" ht="21" customHeight="1">
      <c r="A11" s="2" t="s">
        <v>611</v>
      </c>
      <c r="B11" s="2" t="s">
        <v>612</v>
      </c>
      <c r="C11" s="7">
        <v>4.1399999999999999E-2</v>
      </c>
      <c r="D11" s="14" t="s">
        <v>491</v>
      </c>
      <c r="E11" s="2" t="s">
        <v>107</v>
      </c>
      <c r="F11" s="2"/>
      <c r="G11" s="2"/>
      <c r="H11" s="2"/>
      <c r="I11" s="2"/>
      <c r="J11" s="2"/>
      <c r="K11" s="2"/>
      <c r="L11" s="2"/>
      <c r="M11" s="2"/>
      <c r="N11" s="2"/>
      <c r="O11" s="2"/>
      <c r="P11" s="2"/>
    </row>
    <row r="12" spans="1:16" ht="21" customHeight="1">
      <c r="A12" s="2" t="s">
        <v>613</v>
      </c>
      <c r="B12" s="2" t="s">
        <v>614</v>
      </c>
      <c r="C12" s="7">
        <v>3.7986039999999999E-2</v>
      </c>
      <c r="D12" s="14" t="s">
        <v>491</v>
      </c>
      <c r="E12" s="2" t="s">
        <v>107</v>
      </c>
      <c r="F12" s="2"/>
      <c r="G12" s="2"/>
      <c r="H12" s="2"/>
      <c r="I12" s="2"/>
      <c r="J12" s="2"/>
      <c r="K12" s="2"/>
      <c r="L12" s="2"/>
      <c r="M12" s="2"/>
      <c r="N12" s="2"/>
      <c r="O12" s="2"/>
      <c r="P12" s="2"/>
    </row>
    <row r="13" spans="1:16" ht="21" customHeight="1">
      <c r="A13" s="2" t="s">
        <v>615</v>
      </c>
      <c r="B13" s="2" t="s">
        <v>616</v>
      </c>
      <c r="C13" s="7">
        <v>3.7319939999999996E-2</v>
      </c>
      <c r="D13" s="14" t="s">
        <v>491</v>
      </c>
      <c r="E13" s="2" t="s">
        <v>107</v>
      </c>
      <c r="F13" s="2"/>
      <c r="G13" s="2"/>
      <c r="H13" s="2"/>
      <c r="I13" s="2"/>
      <c r="J13" s="2"/>
      <c r="K13" s="2"/>
      <c r="L13" s="2"/>
      <c r="M13" s="2"/>
      <c r="N13" s="2"/>
      <c r="O13" s="2"/>
      <c r="P13" s="2"/>
    </row>
    <row r="14" spans="1:16" ht="21" customHeight="1">
      <c r="A14" s="2" t="s">
        <v>617</v>
      </c>
      <c r="B14" s="2" t="s">
        <v>618</v>
      </c>
      <c r="C14" s="7">
        <v>3.6699999999999997E-2</v>
      </c>
      <c r="D14" s="14" t="s">
        <v>491</v>
      </c>
      <c r="E14" s="2" t="s">
        <v>107</v>
      </c>
      <c r="F14" s="2"/>
      <c r="G14" s="2"/>
      <c r="H14" s="2"/>
      <c r="I14" s="2"/>
      <c r="J14" s="2"/>
      <c r="K14" s="2"/>
      <c r="L14" s="2"/>
      <c r="M14" s="2"/>
      <c r="N14" s="2"/>
      <c r="O14" s="2"/>
      <c r="P14" s="2"/>
    </row>
    <row r="15" spans="1:16" ht="21" customHeight="1">
      <c r="A15" s="2" t="s">
        <v>619</v>
      </c>
      <c r="B15" s="2" t="s">
        <v>620</v>
      </c>
      <c r="C15" s="7">
        <v>3.5900000000000001E-2</v>
      </c>
      <c r="D15" s="14" t="s">
        <v>491</v>
      </c>
      <c r="E15" s="2" t="s">
        <v>107</v>
      </c>
      <c r="F15" s="2"/>
      <c r="G15" s="2"/>
      <c r="H15" s="2"/>
      <c r="I15" s="2"/>
      <c r="J15" s="2"/>
      <c r="K15" s="2"/>
      <c r="L15" s="2"/>
      <c r="M15" s="2"/>
      <c r="N15" s="2"/>
      <c r="O15" s="2"/>
      <c r="P15" s="2"/>
    </row>
    <row r="16" spans="1:16" ht="21" customHeight="1">
      <c r="A16" s="2" t="s">
        <v>621</v>
      </c>
      <c r="B16" s="2" t="s">
        <v>622</v>
      </c>
      <c r="C16" s="7">
        <v>3.32E-2</v>
      </c>
      <c r="D16" s="14" t="s">
        <v>491</v>
      </c>
      <c r="E16" s="2" t="s">
        <v>107</v>
      </c>
      <c r="F16" s="2"/>
      <c r="G16" s="2"/>
      <c r="H16" s="2"/>
      <c r="I16" s="2"/>
      <c r="J16" s="2"/>
      <c r="K16" s="2"/>
      <c r="L16" s="2"/>
      <c r="M16" s="2"/>
      <c r="N16" s="2"/>
      <c r="O16" s="2"/>
      <c r="P16" s="2"/>
    </row>
    <row r="17" spans="1:16" ht="21" customHeight="1">
      <c r="A17" s="2" t="s">
        <v>494</v>
      </c>
      <c r="B17" s="2" t="s">
        <v>495</v>
      </c>
      <c r="C17" s="7">
        <v>3.1624020000000003E-2</v>
      </c>
      <c r="D17" s="14" t="s">
        <v>491</v>
      </c>
      <c r="E17" s="2" t="s">
        <v>107</v>
      </c>
      <c r="F17" s="2"/>
      <c r="G17" s="2"/>
      <c r="H17" s="2"/>
      <c r="I17" s="2"/>
      <c r="J17" s="2"/>
      <c r="K17" s="2"/>
      <c r="L17" s="2"/>
      <c r="M17" s="2"/>
      <c r="N17" s="2"/>
      <c r="O17" s="2"/>
      <c r="P17" s="2"/>
    </row>
    <row r="18" spans="1:16" ht="21" customHeight="1">
      <c r="A18" s="2" t="s">
        <v>623</v>
      </c>
      <c r="B18" s="2" t="s">
        <v>624</v>
      </c>
      <c r="C18" s="7">
        <v>3.1604390000000003E-2</v>
      </c>
      <c r="D18" s="14" t="s">
        <v>491</v>
      </c>
      <c r="E18" s="2" t="s">
        <v>107</v>
      </c>
      <c r="F18" s="2"/>
      <c r="G18" s="2"/>
      <c r="H18" s="2"/>
      <c r="I18" s="2"/>
      <c r="J18" s="2"/>
      <c r="K18" s="2"/>
      <c r="L18" s="2"/>
      <c r="M18" s="2"/>
      <c r="N18" s="2"/>
      <c r="O18" s="2"/>
      <c r="P18" s="2"/>
    </row>
    <row r="19" spans="1:16" ht="21" customHeight="1">
      <c r="A19" s="2" t="s">
        <v>625</v>
      </c>
      <c r="B19" s="2" t="s">
        <v>626</v>
      </c>
      <c r="C19" s="7">
        <v>3.0018909999999999E-2</v>
      </c>
      <c r="D19" s="14" t="s">
        <v>491</v>
      </c>
      <c r="E19" s="2" t="s">
        <v>107</v>
      </c>
      <c r="F19" s="2"/>
      <c r="G19" s="2"/>
      <c r="H19" s="2"/>
      <c r="I19" s="2"/>
      <c r="J19" s="2"/>
      <c r="K19" s="2"/>
      <c r="L19" s="2"/>
      <c r="M19" s="2"/>
      <c r="N19" s="2"/>
      <c r="O19" s="2"/>
      <c r="P19" s="2"/>
    </row>
    <row r="20" spans="1:16" ht="21" customHeight="1">
      <c r="A20" s="2"/>
      <c r="B20" s="2"/>
      <c r="C20" s="7"/>
      <c r="D20" s="14"/>
      <c r="E20" s="2"/>
      <c r="F20" s="2"/>
      <c r="G20" s="2"/>
      <c r="H20" s="2"/>
      <c r="I20" s="2"/>
      <c r="J20" s="2"/>
      <c r="K20" s="2"/>
      <c r="L20" s="2"/>
      <c r="M20" s="2"/>
      <c r="N20" s="2"/>
      <c r="O20" s="2"/>
      <c r="P20" s="2"/>
    </row>
    <row r="21" spans="1:16" ht="21" customHeight="1">
      <c r="A21" s="2"/>
      <c r="B21" s="2"/>
      <c r="C21" s="7"/>
      <c r="D21" s="14"/>
      <c r="E21" s="2"/>
      <c r="F21" s="2"/>
      <c r="G21" s="2"/>
      <c r="H21" s="2"/>
      <c r="I21" s="2"/>
      <c r="J21" s="2"/>
      <c r="K21" s="2"/>
      <c r="L21" s="2"/>
      <c r="M21" s="2"/>
      <c r="N21" s="2"/>
      <c r="O21" s="2"/>
      <c r="P21" s="2"/>
    </row>
    <row r="22" spans="1:16" ht="21" customHeight="1">
      <c r="A22" s="2"/>
      <c r="B22" s="2"/>
      <c r="C22" s="7"/>
      <c r="D22" s="14"/>
      <c r="E22" s="2"/>
      <c r="F22" s="2"/>
      <c r="G22" s="2"/>
      <c r="H22" s="2"/>
      <c r="I22" s="2"/>
      <c r="J22" s="2"/>
      <c r="K22" s="2"/>
      <c r="L22" s="2"/>
      <c r="M22" s="2"/>
      <c r="N22" s="2"/>
      <c r="O22" s="2"/>
      <c r="P22" s="2"/>
    </row>
    <row r="23" spans="1:16" ht="21" customHeight="1">
      <c r="A23" s="2"/>
      <c r="B23" s="2"/>
      <c r="C23" s="7"/>
      <c r="D23" s="14"/>
      <c r="E23" s="2"/>
      <c r="F23" s="2"/>
      <c r="G23" s="2"/>
      <c r="H23" s="2"/>
      <c r="I23" s="2"/>
      <c r="J23" s="2"/>
      <c r="K23" s="2"/>
      <c r="L23" s="2"/>
      <c r="M23" s="2"/>
      <c r="N23" s="2"/>
      <c r="O23" s="2"/>
      <c r="P23" s="2"/>
    </row>
    <row r="24" spans="1:16" ht="21" customHeight="1">
      <c r="A24" s="2"/>
      <c r="B24" s="2"/>
      <c r="C24" s="7"/>
      <c r="D24" s="14"/>
      <c r="E24" s="2"/>
      <c r="F24" s="2"/>
      <c r="G24" s="2"/>
      <c r="H24" s="2"/>
      <c r="I24" s="2"/>
      <c r="J24" s="2"/>
      <c r="K24" s="2"/>
      <c r="L24" s="2"/>
      <c r="M24" s="2"/>
      <c r="N24" s="2"/>
      <c r="O24" s="2"/>
      <c r="P24" s="2"/>
    </row>
    <row r="25" spans="1:16" ht="21" customHeight="1">
      <c r="A25" s="2"/>
      <c r="B25" s="2"/>
      <c r="C25" s="7"/>
      <c r="D25" s="14"/>
      <c r="E25" s="2"/>
      <c r="F25" s="2"/>
      <c r="G25" s="2"/>
      <c r="H25" s="2"/>
      <c r="I25" s="2"/>
      <c r="J25" s="2"/>
      <c r="K25" s="2"/>
      <c r="L25" s="2"/>
      <c r="M25" s="2"/>
      <c r="N25" s="2"/>
      <c r="O25" s="2"/>
      <c r="P25" s="2"/>
    </row>
    <row r="26" spans="1:16" ht="21" customHeight="1">
      <c r="A26" s="2"/>
      <c r="B26" s="2"/>
      <c r="C26" s="7"/>
      <c r="D26" s="14"/>
      <c r="E26" s="2"/>
      <c r="F26" s="2"/>
      <c r="G26" s="2"/>
      <c r="H26" s="2"/>
      <c r="I26" s="2"/>
      <c r="J26" s="2"/>
      <c r="K26" s="2"/>
      <c r="L26" s="2"/>
      <c r="M26" s="2"/>
      <c r="N26" s="2"/>
      <c r="O26" s="2"/>
      <c r="P26" s="2"/>
    </row>
    <row r="27" spans="1:16" ht="21" customHeight="1">
      <c r="A27" s="2"/>
      <c r="B27" s="2"/>
      <c r="C27" s="7"/>
      <c r="D27" s="14"/>
      <c r="E27" s="2"/>
      <c r="F27" s="2"/>
      <c r="G27" s="2"/>
      <c r="H27" s="2"/>
      <c r="I27" s="2"/>
      <c r="J27" s="2"/>
      <c r="K27" s="2"/>
      <c r="L27" s="2"/>
      <c r="M27" s="2"/>
      <c r="N27" s="2"/>
      <c r="O27" s="2"/>
      <c r="P27" s="2"/>
    </row>
    <row r="28" spans="1:16" ht="21" customHeight="1">
      <c r="A28" s="2"/>
      <c r="B28" s="2"/>
      <c r="C28" s="7"/>
      <c r="D28" s="14"/>
      <c r="E28" s="2"/>
      <c r="F28" s="2"/>
      <c r="G28" s="2"/>
      <c r="H28" s="2"/>
      <c r="I28" s="2"/>
      <c r="J28" s="2"/>
      <c r="K28" s="2"/>
      <c r="L28" s="2"/>
      <c r="M28" s="2"/>
      <c r="N28" s="2"/>
      <c r="O28" s="2"/>
      <c r="P28" s="2"/>
    </row>
    <row r="29" spans="1:16" ht="21" customHeight="1">
      <c r="A29" s="2"/>
      <c r="B29" s="2"/>
      <c r="C29" s="7"/>
      <c r="D29" s="14"/>
      <c r="E29" s="2"/>
      <c r="F29" s="2"/>
      <c r="G29" s="2"/>
      <c r="H29" s="2"/>
      <c r="I29" s="2"/>
      <c r="J29" s="2"/>
      <c r="K29" s="2"/>
      <c r="L29" s="2"/>
      <c r="M29" s="2"/>
      <c r="N29" s="2"/>
      <c r="O29" s="2"/>
      <c r="P29" s="2"/>
    </row>
    <row r="30" spans="1:16" ht="21" customHeight="1">
      <c r="A30" s="2"/>
      <c r="B30" s="2"/>
      <c r="C30" s="7"/>
      <c r="D30" s="14"/>
      <c r="E30" s="2"/>
      <c r="F30" s="2"/>
      <c r="G30" s="2"/>
      <c r="H30" s="2"/>
      <c r="I30" s="2"/>
      <c r="J30" s="2"/>
      <c r="K30" s="2"/>
      <c r="L30" s="2"/>
      <c r="M30" s="2"/>
      <c r="N30" s="2"/>
      <c r="O30" s="2"/>
      <c r="P30" s="2"/>
    </row>
    <row r="31" spans="1:16" ht="21" customHeight="1">
      <c r="A31" s="2"/>
      <c r="B31" s="2"/>
      <c r="C31" s="7"/>
      <c r="D31" s="14"/>
      <c r="E31" s="2"/>
      <c r="F31" s="2"/>
      <c r="G31" s="2"/>
      <c r="H31" s="2"/>
      <c r="I31" s="2"/>
      <c r="J31" s="2"/>
      <c r="K31" s="2"/>
      <c r="L31" s="2"/>
      <c r="M31" s="2"/>
      <c r="N31" s="2"/>
      <c r="O31" s="2"/>
      <c r="P31" s="2"/>
    </row>
    <row r="32" spans="1:16" ht="21" customHeight="1">
      <c r="A32" s="2"/>
      <c r="B32" s="2"/>
      <c r="C32" s="7"/>
      <c r="D32" s="14"/>
      <c r="E32" s="2"/>
      <c r="F32" s="2"/>
      <c r="G32" s="2"/>
      <c r="H32" s="2"/>
      <c r="I32" s="2"/>
      <c r="J32" s="2"/>
      <c r="K32" s="2"/>
      <c r="L32" s="2"/>
      <c r="M32" s="2"/>
      <c r="N32" s="2"/>
      <c r="O32" s="2"/>
      <c r="P32" s="2"/>
    </row>
    <row r="33" spans="1:16" ht="21" customHeight="1">
      <c r="A33" s="2"/>
      <c r="B33" s="2"/>
      <c r="C33" s="7"/>
      <c r="D33" s="14"/>
      <c r="E33" s="2"/>
      <c r="F33" s="2"/>
      <c r="G33" s="2"/>
      <c r="H33" s="2"/>
      <c r="I33" s="2"/>
      <c r="J33" s="2"/>
      <c r="K33" s="2"/>
      <c r="L33" s="2"/>
      <c r="M33" s="2"/>
      <c r="N33" s="2"/>
      <c r="O33" s="2"/>
      <c r="P33" s="2"/>
    </row>
    <row r="34" spans="1:16" ht="21" customHeight="1">
      <c r="A34" s="2"/>
      <c r="B34" s="2"/>
      <c r="C34" s="7"/>
      <c r="D34" s="14"/>
      <c r="E34" s="2"/>
      <c r="F34" s="2"/>
      <c r="G34" s="2"/>
      <c r="H34" s="2"/>
      <c r="I34" s="2"/>
      <c r="J34" s="2"/>
      <c r="K34" s="2"/>
      <c r="L34" s="2"/>
      <c r="M34" s="2"/>
      <c r="N34" s="2"/>
      <c r="O34" s="2"/>
      <c r="P34" s="2"/>
    </row>
    <row r="35" spans="1:16" ht="21" customHeight="1">
      <c r="A35" s="2"/>
      <c r="B35" s="2"/>
      <c r="C35" s="7"/>
      <c r="D35" s="14"/>
      <c r="E35" s="2"/>
      <c r="F35" s="2"/>
      <c r="G35" s="2"/>
      <c r="H35" s="2"/>
      <c r="I35" s="2"/>
      <c r="J35" s="2"/>
      <c r="K35" s="2"/>
      <c r="L35" s="2"/>
      <c r="M35" s="2"/>
      <c r="N35" s="2"/>
      <c r="O35" s="2"/>
      <c r="P35" s="2"/>
    </row>
    <row r="36" spans="1:16" ht="21" customHeight="1">
      <c r="A36" s="2"/>
      <c r="B36" s="2"/>
      <c r="C36" s="7"/>
      <c r="D36" s="14"/>
      <c r="E36" s="2"/>
      <c r="F36" s="2"/>
      <c r="G36" s="2"/>
      <c r="H36" s="2"/>
      <c r="I36" s="2"/>
      <c r="J36" s="2"/>
      <c r="K36" s="2"/>
      <c r="L36" s="2"/>
      <c r="M36" s="2"/>
      <c r="N36" s="2"/>
      <c r="O36" s="2"/>
      <c r="P36" s="2"/>
    </row>
    <row r="37" spans="1:16" ht="21" customHeight="1">
      <c r="A37" s="2"/>
      <c r="B37" s="2"/>
      <c r="C37" s="7"/>
      <c r="D37" s="14"/>
      <c r="E37" s="2"/>
      <c r="F37" s="2"/>
      <c r="G37" s="2"/>
      <c r="H37" s="2"/>
      <c r="I37" s="2"/>
      <c r="J37" s="2"/>
      <c r="K37" s="2"/>
      <c r="L37" s="2"/>
      <c r="M37" s="2"/>
      <c r="N37" s="2"/>
      <c r="O37" s="2"/>
      <c r="P37" s="2"/>
    </row>
    <row r="38" spans="1:16" ht="21" customHeight="1">
      <c r="A38" s="2"/>
      <c r="B38" s="2"/>
      <c r="C38" s="7"/>
      <c r="D38" s="14"/>
      <c r="E38" s="2"/>
      <c r="F38" s="2"/>
      <c r="G38" s="2"/>
      <c r="H38" s="2"/>
      <c r="I38" s="2"/>
      <c r="J38" s="2"/>
      <c r="K38" s="2"/>
      <c r="L38" s="2"/>
      <c r="M38" s="2"/>
      <c r="N38" s="2"/>
      <c r="O38" s="2"/>
      <c r="P38" s="2"/>
    </row>
    <row r="39" spans="1:16" ht="21" customHeight="1">
      <c r="A39" s="2"/>
      <c r="B39" s="2"/>
      <c r="C39" s="7"/>
      <c r="D39" s="14"/>
      <c r="E39" s="2"/>
      <c r="F39" s="2"/>
      <c r="G39" s="2"/>
      <c r="H39" s="2"/>
      <c r="I39" s="2"/>
      <c r="J39" s="2"/>
      <c r="K39" s="2"/>
      <c r="L39" s="2"/>
      <c r="M39" s="2"/>
      <c r="N39" s="2"/>
      <c r="O39" s="2"/>
      <c r="P39" s="2"/>
    </row>
    <row r="40" spans="1:16" ht="21" customHeight="1">
      <c r="A40" s="2"/>
      <c r="B40" s="2"/>
      <c r="C40" s="7"/>
      <c r="D40" s="14"/>
      <c r="E40" s="2"/>
      <c r="F40" s="2"/>
      <c r="G40" s="2"/>
      <c r="H40" s="2"/>
      <c r="I40" s="2"/>
      <c r="J40" s="2"/>
      <c r="K40" s="2"/>
      <c r="L40" s="2"/>
      <c r="M40" s="2"/>
      <c r="N40" s="2"/>
      <c r="O40" s="2"/>
      <c r="P40" s="2"/>
    </row>
    <row r="41" spans="1:16" ht="21" customHeight="1">
      <c r="A41" s="2"/>
      <c r="B41" s="2"/>
      <c r="C41" s="7"/>
      <c r="D41" s="14"/>
      <c r="E41" s="2"/>
      <c r="F41" s="2"/>
      <c r="G41" s="2"/>
      <c r="H41" s="2"/>
      <c r="I41" s="2"/>
      <c r="J41" s="2"/>
      <c r="K41" s="2"/>
      <c r="L41" s="2"/>
      <c r="M41" s="2"/>
      <c r="N41" s="2"/>
      <c r="O41" s="2"/>
      <c r="P41" s="2"/>
    </row>
    <row r="42" spans="1:16" ht="21" customHeight="1">
      <c r="A42" s="2"/>
      <c r="B42" s="2"/>
      <c r="C42" s="7"/>
      <c r="D42" s="14"/>
      <c r="E42" s="2"/>
      <c r="F42" s="2"/>
      <c r="G42" s="2"/>
      <c r="H42" s="2"/>
      <c r="I42" s="2"/>
      <c r="J42" s="2"/>
      <c r="K42" s="2"/>
      <c r="L42" s="2"/>
      <c r="M42" s="2"/>
      <c r="N42" s="2"/>
      <c r="O42" s="2"/>
      <c r="P42" s="2"/>
    </row>
    <row r="43" spans="1:16" ht="21" customHeight="1">
      <c r="A43" s="2"/>
      <c r="B43" s="2"/>
      <c r="C43" s="7"/>
      <c r="D43" s="14"/>
      <c r="E43" s="2"/>
      <c r="F43" s="2"/>
      <c r="G43" s="2"/>
      <c r="H43" s="2"/>
      <c r="I43" s="2"/>
      <c r="J43" s="2"/>
      <c r="K43" s="2"/>
      <c r="L43" s="2"/>
      <c r="M43" s="2"/>
      <c r="N43" s="2"/>
      <c r="O43" s="2"/>
      <c r="P43" s="2"/>
    </row>
    <row r="44" spans="1:16" ht="21" customHeight="1">
      <c r="A44" s="2"/>
      <c r="B44" s="2"/>
      <c r="C44" s="7"/>
      <c r="D44" s="14"/>
      <c r="E44" s="2"/>
      <c r="F44" s="2"/>
      <c r="G44" s="2"/>
      <c r="H44" s="2"/>
      <c r="I44" s="2"/>
      <c r="J44" s="2"/>
      <c r="K44" s="2"/>
      <c r="L44" s="2"/>
      <c r="M44" s="2"/>
      <c r="N44" s="2"/>
      <c r="O44" s="2"/>
      <c r="P44" s="2"/>
    </row>
    <row r="45" spans="1:16" ht="21" customHeight="1">
      <c r="A45" s="2"/>
      <c r="B45" s="2"/>
      <c r="C45" s="7"/>
      <c r="D45" s="14"/>
      <c r="E45" s="2"/>
      <c r="F45" s="2"/>
      <c r="G45" s="2"/>
      <c r="H45" s="2"/>
      <c r="I45" s="2"/>
      <c r="J45" s="2"/>
      <c r="K45" s="2"/>
      <c r="L45" s="2"/>
      <c r="M45" s="2"/>
      <c r="N45" s="2"/>
      <c r="O45" s="2"/>
      <c r="P45" s="2"/>
    </row>
    <row r="46" spans="1:16" ht="21" customHeight="1">
      <c r="A46" s="2"/>
      <c r="B46" s="2"/>
      <c r="C46" s="7"/>
      <c r="D46" s="14"/>
      <c r="E46" s="2"/>
      <c r="F46" s="2"/>
      <c r="G46" s="2"/>
      <c r="H46" s="2"/>
      <c r="I46" s="2"/>
      <c r="J46" s="2"/>
      <c r="K46" s="2"/>
      <c r="L46" s="2"/>
      <c r="M46" s="2"/>
      <c r="N46" s="2"/>
      <c r="O46" s="2"/>
      <c r="P46" s="2"/>
    </row>
    <row r="47" spans="1:16" ht="21" customHeight="1">
      <c r="A47" s="2"/>
      <c r="B47" s="2"/>
      <c r="C47" s="7"/>
      <c r="D47" s="14"/>
      <c r="E47" s="2"/>
      <c r="F47" s="2"/>
      <c r="G47" s="2"/>
      <c r="H47" s="2"/>
      <c r="I47" s="2"/>
      <c r="J47" s="2"/>
      <c r="K47" s="2"/>
      <c r="L47" s="2"/>
      <c r="M47" s="2"/>
      <c r="N47" s="2"/>
      <c r="O47" s="2"/>
      <c r="P47" s="2"/>
    </row>
    <row r="48" spans="1:16" ht="21" customHeight="1">
      <c r="A48" s="2"/>
      <c r="B48" s="2"/>
      <c r="C48" s="7"/>
      <c r="D48" s="14"/>
      <c r="E48" s="2"/>
      <c r="F48" s="2"/>
      <c r="G48" s="2"/>
      <c r="H48" s="2"/>
      <c r="I48" s="2"/>
      <c r="J48" s="2"/>
      <c r="K48" s="2"/>
      <c r="L48" s="2"/>
      <c r="M48" s="2"/>
      <c r="N48" s="2"/>
      <c r="O48" s="2"/>
      <c r="P48" s="2"/>
    </row>
    <row r="49" spans="1:16" ht="21" customHeight="1">
      <c r="A49" s="2"/>
      <c r="B49" s="2"/>
      <c r="C49" s="7"/>
      <c r="D49" s="14"/>
      <c r="E49" s="2"/>
      <c r="F49" s="2"/>
      <c r="G49" s="2"/>
      <c r="H49" s="2"/>
      <c r="I49" s="2"/>
      <c r="J49" s="2"/>
      <c r="K49" s="2"/>
      <c r="L49" s="2"/>
      <c r="M49" s="2"/>
      <c r="N49" s="2"/>
      <c r="O49" s="2"/>
      <c r="P49" s="2"/>
    </row>
    <row r="50" spans="1:16" ht="21" customHeight="1">
      <c r="A50" s="2"/>
      <c r="B50" s="2"/>
      <c r="C50" s="7"/>
      <c r="D50" s="14"/>
      <c r="E50" s="2"/>
      <c r="F50" s="2"/>
      <c r="G50" s="2"/>
      <c r="H50" s="2"/>
      <c r="I50" s="2"/>
      <c r="J50" s="2"/>
      <c r="K50" s="2"/>
      <c r="L50" s="2"/>
      <c r="M50" s="2"/>
      <c r="N50" s="2"/>
      <c r="O50" s="2"/>
      <c r="P50" s="2"/>
    </row>
    <row r="51" spans="1:16" ht="21" customHeight="1">
      <c r="A51" s="2"/>
      <c r="B51" s="2"/>
      <c r="C51" s="7"/>
      <c r="D51" s="14"/>
      <c r="E51" s="2"/>
      <c r="F51" s="2"/>
      <c r="G51" s="2"/>
      <c r="H51" s="2"/>
      <c r="I51" s="2"/>
      <c r="J51" s="2"/>
      <c r="K51" s="2"/>
      <c r="L51" s="2"/>
      <c r="M51" s="2"/>
      <c r="N51" s="2"/>
      <c r="O51" s="2"/>
      <c r="P51" s="2"/>
    </row>
    <row r="52" spans="1:16" ht="21" customHeight="1">
      <c r="A52" s="2"/>
      <c r="B52" s="2"/>
      <c r="C52" s="7"/>
      <c r="D52" s="14"/>
      <c r="E52" s="2"/>
      <c r="F52" s="2"/>
      <c r="G52" s="2"/>
      <c r="H52" s="2"/>
      <c r="I52" s="2"/>
      <c r="J52" s="2"/>
      <c r="K52" s="2"/>
      <c r="L52" s="2"/>
      <c r="M52" s="2"/>
      <c r="N52" s="2"/>
      <c r="O52" s="2"/>
      <c r="P52" s="2"/>
    </row>
    <row r="53" spans="1:16" ht="21" customHeight="1">
      <c r="A53" s="2"/>
      <c r="B53" s="2"/>
      <c r="C53" s="7"/>
      <c r="D53" s="14"/>
      <c r="E53" s="2"/>
      <c r="F53" s="2"/>
      <c r="G53" s="2"/>
      <c r="H53" s="2"/>
      <c r="I53" s="2"/>
      <c r="J53" s="2"/>
      <c r="K53" s="2"/>
      <c r="L53" s="2"/>
      <c r="M53" s="2"/>
      <c r="N53" s="2"/>
      <c r="O53" s="2"/>
      <c r="P53" s="2"/>
    </row>
    <row r="54" spans="1:16" ht="21" customHeight="1">
      <c r="A54" s="2"/>
      <c r="B54" s="2"/>
      <c r="C54" s="7"/>
      <c r="D54" s="14"/>
      <c r="E54" s="2"/>
      <c r="F54" s="2"/>
      <c r="G54" s="2"/>
      <c r="H54" s="2"/>
      <c r="I54" s="2"/>
      <c r="J54" s="2"/>
      <c r="K54" s="2"/>
      <c r="L54" s="2"/>
      <c r="M54" s="2"/>
      <c r="N54" s="2"/>
      <c r="O54" s="2"/>
      <c r="P54" s="2"/>
    </row>
    <row r="55" spans="1:16" ht="21" customHeight="1">
      <c r="A55" s="2"/>
      <c r="B55" s="2"/>
      <c r="C55" s="7"/>
      <c r="D55" s="14"/>
      <c r="E55" s="2"/>
      <c r="F55" s="2"/>
      <c r="G55" s="2"/>
      <c r="H55" s="2"/>
      <c r="I55" s="2"/>
      <c r="J55" s="2"/>
      <c r="K55" s="2"/>
      <c r="L55" s="2"/>
      <c r="M55" s="2"/>
      <c r="N55" s="2"/>
      <c r="O55" s="2"/>
      <c r="P55" s="2"/>
    </row>
    <row r="56" spans="1:16" ht="21" customHeight="1">
      <c r="A56" s="2"/>
      <c r="B56" s="2"/>
      <c r="C56" s="7"/>
      <c r="D56" s="14"/>
      <c r="E56" s="2"/>
      <c r="F56" s="2"/>
      <c r="G56" s="2"/>
      <c r="H56" s="2"/>
      <c r="I56" s="2"/>
      <c r="J56" s="2"/>
      <c r="K56" s="2"/>
      <c r="L56" s="2"/>
      <c r="M56" s="2"/>
      <c r="N56" s="2"/>
      <c r="O56" s="2"/>
      <c r="P56" s="2"/>
    </row>
    <row r="57" spans="1:16" ht="21" customHeight="1">
      <c r="A57" s="2"/>
      <c r="B57" s="2"/>
      <c r="C57" s="7"/>
      <c r="D57" s="14"/>
      <c r="E57" s="2"/>
      <c r="F57" s="2"/>
      <c r="G57" s="2"/>
      <c r="H57" s="2"/>
      <c r="I57" s="2"/>
      <c r="J57" s="2"/>
      <c r="K57" s="2"/>
      <c r="L57" s="2"/>
      <c r="M57" s="2"/>
      <c r="N57" s="2"/>
      <c r="O57" s="2"/>
      <c r="P57" s="2"/>
    </row>
    <row r="58" spans="1:16" ht="21" customHeight="1">
      <c r="A58" s="2"/>
      <c r="B58" s="2"/>
      <c r="C58" s="7"/>
      <c r="D58" s="14"/>
      <c r="E58" s="2"/>
      <c r="F58" s="2"/>
      <c r="G58" s="2"/>
      <c r="H58" s="2"/>
      <c r="I58" s="2"/>
      <c r="J58" s="2"/>
      <c r="K58" s="2"/>
      <c r="L58" s="2"/>
      <c r="M58" s="2"/>
      <c r="N58" s="2"/>
      <c r="O58" s="2"/>
      <c r="P58" s="2"/>
    </row>
    <row r="59" spans="1:16" ht="21" customHeight="1">
      <c r="A59" s="2"/>
      <c r="B59" s="2"/>
      <c r="C59" s="7"/>
      <c r="D59" s="14"/>
      <c r="E59" s="2"/>
      <c r="F59" s="2"/>
      <c r="G59" s="2"/>
      <c r="H59" s="2"/>
      <c r="I59" s="2"/>
      <c r="J59" s="2"/>
      <c r="K59" s="2"/>
      <c r="L59" s="2"/>
      <c r="M59" s="2"/>
      <c r="N59" s="2"/>
      <c r="O59" s="2"/>
      <c r="P59" s="2"/>
    </row>
    <row r="60" spans="1:16" ht="21" customHeight="1">
      <c r="A60" s="2"/>
      <c r="B60" s="2"/>
      <c r="C60" s="7"/>
      <c r="D60" s="14"/>
      <c r="E60" s="2"/>
      <c r="F60" s="2"/>
      <c r="G60" s="2"/>
      <c r="H60" s="2"/>
      <c r="I60" s="2"/>
      <c r="J60" s="2"/>
      <c r="K60" s="2"/>
      <c r="L60" s="2"/>
      <c r="M60" s="2"/>
      <c r="N60" s="2"/>
      <c r="O60" s="2"/>
      <c r="P60" s="2"/>
    </row>
    <row r="61" spans="1:16" ht="21" customHeight="1">
      <c r="A61" s="2"/>
      <c r="B61" s="2"/>
      <c r="C61" s="7"/>
      <c r="D61" s="14"/>
      <c r="E61" s="2"/>
      <c r="F61" s="2"/>
      <c r="G61" s="2"/>
      <c r="H61" s="2"/>
      <c r="I61" s="2"/>
      <c r="J61" s="2"/>
      <c r="K61" s="2"/>
      <c r="L61" s="2"/>
      <c r="M61" s="2"/>
      <c r="N61" s="2"/>
      <c r="O61" s="2"/>
      <c r="P61" s="2"/>
    </row>
    <row r="62" spans="1:16" ht="21" customHeight="1">
      <c r="A62" s="2"/>
      <c r="B62" s="2"/>
      <c r="C62" s="7"/>
      <c r="D62" s="14"/>
      <c r="E62" s="2"/>
      <c r="F62" s="2"/>
      <c r="G62" s="2"/>
      <c r="H62" s="2"/>
      <c r="I62" s="2"/>
      <c r="J62" s="2"/>
      <c r="K62" s="2"/>
      <c r="L62" s="2"/>
      <c r="M62" s="2"/>
      <c r="N62" s="2"/>
      <c r="O62" s="2"/>
      <c r="P62" s="2"/>
    </row>
    <row r="63" spans="1:16" ht="21" customHeight="1">
      <c r="A63" s="2"/>
      <c r="B63" s="2"/>
      <c r="C63" s="7"/>
      <c r="D63" s="14"/>
      <c r="E63" s="2"/>
      <c r="F63" s="2"/>
      <c r="G63" s="2"/>
      <c r="H63" s="2"/>
      <c r="I63" s="2"/>
      <c r="J63" s="2"/>
      <c r="K63" s="2"/>
      <c r="L63" s="2"/>
      <c r="M63" s="2"/>
      <c r="N63" s="2"/>
      <c r="O63" s="2"/>
      <c r="P63" s="2"/>
    </row>
    <row r="64" spans="1:16" ht="21" customHeight="1">
      <c r="A64" s="2"/>
      <c r="B64" s="2"/>
      <c r="C64" s="7"/>
      <c r="D64" s="14"/>
      <c r="E64" s="2"/>
      <c r="F64" s="2"/>
      <c r="G64" s="2"/>
      <c r="H64" s="2"/>
      <c r="I64" s="2"/>
      <c r="J64" s="2"/>
      <c r="K64" s="2"/>
      <c r="L64" s="2"/>
      <c r="M64" s="2"/>
      <c r="N64" s="2"/>
      <c r="O64" s="2"/>
      <c r="P64" s="2"/>
    </row>
    <row r="65" spans="1:16" ht="21" customHeight="1">
      <c r="A65" s="2"/>
      <c r="B65" s="2"/>
      <c r="C65" s="7"/>
      <c r="D65" s="14"/>
      <c r="E65" s="2"/>
      <c r="F65" s="2"/>
      <c r="G65" s="2"/>
      <c r="H65" s="2"/>
      <c r="I65" s="2"/>
      <c r="J65" s="2"/>
      <c r="K65" s="2"/>
      <c r="L65" s="2"/>
      <c r="M65" s="2"/>
      <c r="N65" s="2"/>
      <c r="O65" s="2"/>
      <c r="P65" s="2"/>
    </row>
    <row r="66" spans="1:16" ht="21" customHeight="1">
      <c r="A66" s="2"/>
      <c r="B66" s="2"/>
      <c r="C66" s="7"/>
      <c r="D66" s="14"/>
      <c r="E66" s="2"/>
      <c r="F66" s="2"/>
      <c r="G66" s="2"/>
      <c r="H66" s="2"/>
      <c r="I66" s="2"/>
      <c r="J66" s="2"/>
      <c r="K66" s="2"/>
      <c r="L66" s="2"/>
      <c r="M66" s="2"/>
      <c r="N66" s="2"/>
      <c r="O66" s="2"/>
      <c r="P66" s="2"/>
    </row>
    <row r="67" spans="1:16" ht="21" customHeight="1">
      <c r="A67" s="2"/>
      <c r="B67" s="2"/>
      <c r="C67" s="7"/>
      <c r="D67" s="14"/>
      <c r="E67" s="2"/>
      <c r="F67" s="2"/>
      <c r="G67" s="2"/>
      <c r="H67" s="2"/>
      <c r="I67" s="2"/>
      <c r="J67" s="2"/>
      <c r="K67" s="2"/>
      <c r="L67" s="2"/>
      <c r="M67" s="2"/>
      <c r="N67" s="2"/>
      <c r="O67" s="2"/>
      <c r="P67" s="2"/>
    </row>
    <row r="68" spans="1:16" ht="21" customHeight="1">
      <c r="A68" s="2"/>
      <c r="B68" s="2"/>
      <c r="C68" s="7"/>
      <c r="D68" s="14"/>
      <c r="E68" s="2"/>
      <c r="F68" s="2"/>
      <c r="G68" s="2"/>
      <c r="H68" s="2"/>
      <c r="I68" s="2"/>
      <c r="J68" s="2"/>
      <c r="K68" s="2"/>
      <c r="L68" s="2"/>
      <c r="M68" s="2"/>
      <c r="N68" s="2"/>
      <c r="O68" s="2"/>
      <c r="P68" s="2"/>
    </row>
    <row r="69" spans="1:16" ht="21" customHeight="1">
      <c r="A69" s="2"/>
      <c r="B69" s="2"/>
      <c r="C69" s="7"/>
      <c r="D69" s="14"/>
      <c r="E69" s="2"/>
      <c r="F69" s="2"/>
      <c r="G69" s="2"/>
      <c r="H69" s="2"/>
      <c r="I69" s="2"/>
      <c r="J69" s="2"/>
      <c r="K69" s="2"/>
      <c r="L69" s="2"/>
      <c r="M69" s="2"/>
      <c r="N69" s="2"/>
      <c r="O69" s="2"/>
      <c r="P69" s="2"/>
    </row>
    <row r="70" spans="1:16" ht="21" customHeight="1">
      <c r="A70" s="2"/>
      <c r="B70" s="2"/>
      <c r="C70" s="7"/>
      <c r="D70" s="14"/>
      <c r="E70" s="2"/>
      <c r="F70" s="2"/>
      <c r="G70" s="2"/>
      <c r="H70" s="2"/>
      <c r="I70" s="2"/>
      <c r="J70" s="2"/>
      <c r="K70" s="2"/>
      <c r="L70" s="2"/>
      <c r="M70" s="2"/>
      <c r="N70" s="2"/>
      <c r="O70" s="2"/>
      <c r="P70" s="2"/>
    </row>
    <row r="71" spans="1:16" ht="21" customHeight="1">
      <c r="A71" s="2"/>
      <c r="B71" s="2"/>
      <c r="C71" s="7"/>
      <c r="D71" s="14"/>
      <c r="E71" s="2"/>
      <c r="F71" s="2"/>
      <c r="G71" s="2"/>
      <c r="H71" s="2"/>
      <c r="I71" s="2"/>
      <c r="J71" s="2"/>
      <c r="K71" s="2"/>
      <c r="L71" s="2"/>
      <c r="M71" s="2"/>
      <c r="N71" s="2"/>
      <c r="O71" s="2"/>
      <c r="P71" s="2"/>
    </row>
    <row r="72" spans="1:16" ht="21" customHeight="1">
      <c r="A72" s="2"/>
      <c r="B72" s="2"/>
      <c r="C72" s="7"/>
      <c r="D72" s="14"/>
      <c r="E72" s="2"/>
      <c r="F72" s="2"/>
      <c r="G72" s="2"/>
      <c r="H72" s="2"/>
      <c r="I72" s="2"/>
      <c r="J72" s="2"/>
      <c r="K72" s="2"/>
      <c r="L72" s="2"/>
      <c r="M72" s="2"/>
      <c r="N72" s="2"/>
      <c r="O72" s="2"/>
      <c r="P72" s="2"/>
    </row>
    <row r="73" spans="1:16" ht="21" customHeight="1">
      <c r="A73" s="2"/>
      <c r="B73" s="2"/>
      <c r="C73" s="7"/>
      <c r="D73" s="14"/>
      <c r="E73" s="2"/>
      <c r="F73" s="2"/>
      <c r="G73" s="2"/>
      <c r="H73" s="2"/>
      <c r="I73" s="2"/>
      <c r="J73" s="2"/>
      <c r="K73" s="2"/>
      <c r="L73" s="2"/>
      <c r="M73" s="2"/>
      <c r="N73" s="2"/>
      <c r="O73" s="2"/>
      <c r="P73" s="2"/>
    </row>
    <row r="74" spans="1:16" ht="21" customHeight="1">
      <c r="A74" s="2"/>
      <c r="B74" s="2"/>
      <c r="C74" s="7"/>
      <c r="D74" s="14"/>
      <c r="E74" s="2"/>
      <c r="F74" s="2"/>
      <c r="G74" s="2"/>
      <c r="H74" s="2"/>
      <c r="I74" s="2"/>
      <c r="J74" s="2"/>
      <c r="K74" s="2"/>
      <c r="L74" s="2"/>
      <c r="M74" s="2"/>
      <c r="N74" s="2"/>
      <c r="O74" s="2"/>
      <c r="P74" s="2"/>
    </row>
    <row r="75" spans="1:16" ht="21" customHeight="1">
      <c r="A75" s="2"/>
      <c r="B75" s="2"/>
      <c r="C75" s="7"/>
      <c r="D75" s="14"/>
      <c r="E75" s="2"/>
      <c r="F75" s="2"/>
      <c r="G75" s="2"/>
      <c r="H75" s="2"/>
      <c r="I75" s="2"/>
      <c r="J75" s="2"/>
      <c r="K75" s="2"/>
      <c r="L75" s="2"/>
      <c r="M75" s="2"/>
      <c r="N75" s="2"/>
      <c r="O75" s="2"/>
      <c r="P75" s="2"/>
    </row>
    <row r="76" spans="1:16" ht="21" customHeight="1">
      <c r="A76" s="2"/>
      <c r="B76" s="2"/>
      <c r="C76" s="7"/>
      <c r="D76" s="14"/>
      <c r="E76" s="2"/>
      <c r="F76" s="2"/>
      <c r="G76" s="2"/>
      <c r="H76" s="2"/>
      <c r="I76" s="2"/>
      <c r="J76" s="2"/>
      <c r="K76" s="2"/>
      <c r="L76" s="2"/>
      <c r="M76" s="2"/>
      <c r="N76" s="2"/>
      <c r="O76" s="2"/>
      <c r="P76" s="2"/>
    </row>
    <row r="77" spans="1:16" ht="21" customHeight="1">
      <c r="A77" s="2"/>
      <c r="B77" s="2"/>
      <c r="C77" s="7"/>
      <c r="D77" s="14"/>
      <c r="E77" s="2"/>
      <c r="F77" s="2"/>
      <c r="G77" s="2"/>
      <c r="H77" s="2"/>
      <c r="I77" s="2"/>
      <c r="J77" s="2"/>
      <c r="K77" s="2"/>
      <c r="L77" s="2"/>
      <c r="M77" s="2"/>
      <c r="N77" s="2"/>
      <c r="O77" s="2"/>
      <c r="P77" s="2"/>
    </row>
    <row r="78" spans="1:16" ht="21" customHeight="1">
      <c r="A78" s="2"/>
      <c r="B78" s="2"/>
      <c r="C78" s="7"/>
      <c r="D78" s="14"/>
      <c r="E78" s="2"/>
      <c r="F78" s="2"/>
      <c r="G78" s="2"/>
      <c r="H78" s="2"/>
      <c r="I78" s="2"/>
      <c r="J78" s="2"/>
      <c r="K78" s="2"/>
      <c r="L78" s="2"/>
      <c r="M78" s="2"/>
      <c r="N78" s="2"/>
      <c r="O78" s="2"/>
      <c r="P78" s="2"/>
    </row>
    <row r="79" spans="1:16" ht="21" customHeight="1">
      <c r="A79" s="2"/>
      <c r="B79" s="2"/>
      <c r="C79" s="7"/>
      <c r="D79" s="14"/>
      <c r="E79" s="2"/>
      <c r="F79" s="2"/>
      <c r="G79" s="2"/>
      <c r="H79" s="2"/>
      <c r="I79" s="2"/>
      <c r="J79" s="2"/>
      <c r="K79" s="2"/>
      <c r="L79" s="2"/>
      <c r="M79" s="2"/>
      <c r="N79" s="2"/>
      <c r="O79" s="2"/>
      <c r="P79" s="2"/>
    </row>
    <row r="80" spans="1:16" ht="21" customHeight="1">
      <c r="A80" s="2"/>
      <c r="B80" s="2"/>
      <c r="C80" s="7"/>
      <c r="D80" s="14"/>
      <c r="E80" s="2"/>
      <c r="F80" s="2"/>
      <c r="G80" s="2"/>
      <c r="H80" s="2"/>
      <c r="I80" s="2"/>
      <c r="J80" s="2"/>
      <c r="K80" s="2"/>
      <c r="L80" s="2"/>
      <c r="M80" s="2"/>
      <c r="N80" s="2"/>
      <c r="O80" s="2"/>
      <c r="P80" s="2"/>
    </row>
    <row r="81" spans="1:16" ht="21" customHeight="1">
      <c r="A81" s="2"/>
      <c r="B81" s="2"/>
      <c r="C81" s="7"/>
      <c r="D81" s="14"/>
      <c r="E81" s="2"/>
      <c r="F81" s="2"/>
      <c r="G81" s="2"/>
      <c r="H81" s="2"/>
      <c r="I81" s="2"/>
      <c r="J81" s="2"/>
      <c r="K81" s="2"/>
      <c r="L81" s="2"/>
      <c r="M81" s="2"/>
      <c r="N81" s="2"/>
      <c r="O81" s="2"/>
      <c r="P81" s="2"/>
    </row>
    <row r="82" spans="1:16" ht="21" customHeight="1">
      <c r="A82" s="2"/>
      <c r="B82" s="2"/>
      <c r="C82" s="7"/>
      <c r="D82" s="14"/>
      <c r="E82" s="2"/>
      <c r="F82" s="2"/>
      <c r="G82" s="2"/>
      <c r="H82" s="2"/>
      <c r="I82" s="2"/>
      <c r="J82" s="2"/>
      <c r="K82" s="2"/>
      <c r="L82" s="2"/>
      <c r="M82" s="2"/>
      <c r="N82" s="2"/>
      <c r="O82" s="2"/>
      <c r="P82" s="2"/>
    </row>
    <row r="83" spans="1:16" ht="21" customHeight="1">
      <c r="A83" s="2"/>
      <c r="B83" s="2"/>
      <c r="C83" s="7"/>
      <c r="D83" s="14"/>
      <c r="E83" s="2"/>
      <c r="F83" s="2"/>
      <c r="G83" s="2"/>
      <c r="H83" s="2"/>
      <c r="I83" s="2"/>
      <c r="J83" s="2"/>
      <c r="K83" s="2"/>
      <c r="L83" s="2"/>
      <c r="M83" s="2"/>
      <c r="N83" s="2"/>
      <c r="O83" s="2"/>
      <c r="P83" s="2"/>
    </row>
    <row r="84" spans="1:16" ht="21" customHeight="1">
      <c r="A84" s="2"/>
      <c r="B84" s="2"/>
      <c r="C84" s="7"/>
      <c r="D84" s="14"/>
      <c r="E84" s="2"/>
      <c r="F84" s="2"/>
      <c r="G84" s="2"/>
      <c r="H84" s="2"/>
      <c r="I84" s="2"/>
      <c r="J84" s="2"/>
      <c r="K84" s="2"/>
      <c r="L84" s="2"/>
      <c r="M84" s="2"/>
      <c r="N84" s="2"/>
      <c r="O84" s="2"/>
      <c r="P84" s="2"/>
    </row>
    <row r="85" spans="1:16" ht="21" customHeight="1">
      <c r="A85" s="2"/>
      <c r="B85" s="2"/>
      <c r="C85" s="7"/>
      <c r="D85" s="14"/>
      <c r="E85" s="2"/>
      <c r="F85" s="2"/>
      <c r="G85" s="2"/>
      <c r="H85" s="2"/>
      <c r="I85" s="2"/>
      <c r="J85" s="2"/>
      <c r="K85" s="2"/>
      <c r="L85" s="2"/>
      <c r="M85" s="2"/>
      <c r="N85" s="2"/>
      <c r="O85" s="2"/>
      <c r="P85" s="2"/>
    </row>
    <row r="86" spans="1:16" ht="21" customHeight="1">
      <c r="A86" s="2"/>
      <c r="B86" s="2"/>
      <c r="C86" s="7"/>
      <c r="D86" s="14"/>
      <c r="E86" s="2"/>
      <c r="F86" s="2"/>
      <c r="G86" s="2"/>
      <c r="H86" s="2"/>
      <c r="I86" s="2"/>
      <c r="J86" s="2"/>
      <c r="K86" s="2"/>
      <c r="L86" s="2"/>
      <c r="M86" s="2"/>
      <c r="N86" s="2"/>
      <c r="O86" s="2"/>
      <c r="P86" s="2"/>
    </row>
    <row r="87" spans="1:16" ht="21" customHeight="1">
      <c r="A87" s="2"/>
      <c r="B87" s="2"/>
      <c r="C87" s="7"/>
      <c r="D87" s="14"/>
      <c r="E87" s="2"/>
      <c r="F87" s="2"/>
      <c r="G87" s="2"/>
      <c r="H87" s="2"/>
      <c r="I87" s="2"/>
      <c r="J87" s="2"/>
      <c r="K87" s="2"/>
      <c r="L87" s="2"/>
      <c r="M87" s="2"/>
      <c r="N87" s="2"/>
      <c r="O87" s="2"/>
      <c r="P87" s="2"/>
    </row>
    <row r="88" spans="1:16" ht="21" customHeight="1">
      <c r="A88" s="2"/>
      <c r="B88" s="2"/>
      <c r="C88" s="7"/>
      <c r="D88" s="14"/>
      <c r="E88" s="2"/>
      <c r="F88" s="2"/>
      <c r="G88" s="2"/>
      <c r="H88" s="2"/>
      <c r="I88" s="2"/>
      <c r="J88" s="2"/>
      <c r="K88" s="2"/>
      <c r="L88" s="2"/>
      <c r="M88" s="2"/>
      <c r="N88" s="2"/>
      <c r="O88" s="2"/>
      <c r="P88" s="2"/>
    </row>
    <row r="89" spans="1:16" ht="21" customHeight="1">
      <c r="A89" s="2"/>
      <c r="B89" s="2"/>
      <c r="C89" s="7"/>
      <c r="D89" s="14"/>
      <c r="E89" s="2"/>
      <c r="F89" s="2"/>
      <c r="G89" s="2"/>
      <c r="H89" s="2"/>
      <c r="I89" s="2"/>
      <c r="J89" s="2"/>
      <c r="K89" s="2"/>
      <c r="L89" s="2"/>
      <c r="M89" s="2"/>
      <c r="N89" s="2"/>
      <c r="O89" s="2"/>
      <c r="P89" s="2"/>
    </row>
    <row r="90" spans="1:16" ht="21" customHeight="1">
      <c r="A90" s="2"/>
      <c r="B90" s="2"/>
      <c r="C90" s="7"/>
      <c r="D90" s="14"/>
      <c r="E90" s="2"/>
      <c r="F90" s="2"/>
      <c r="G90" s="2"/>
      <c r="H90" s="2"/>
      <c r="I90" s="2"/>
      <c r="J90" s="2"/>
      <c r="K90" s="2"/>
      <c r="L90" s="2"/>
      <c r="M90" s="2"/>
      <c r="N90" s="2"/>
      <c r="O90" s="2"/>
      <c r="P90" s="2"/>
    </row>
    <row r="91" spans="1:16" ht="21" customHeight="1">
      <c r="A91" s="2"/>
      <c r="B91" s="2"/>
      <c r="C91" s="7"/>
      <c r="D91" s="14"/>
      <c r="E91" s="2"/>
      <c r="F91" s="2"/>
      <c r="G91" s="2"/>
      <c r="H91" s="2"/>
      <c r="I91" s="2"/>
      <c r="J91" s="2"/>
      <c r="K91" s="2"/>
      <c r="L91" s="2"/>
      <c r="M91" s="2"/>
      <c r="N91" s="2"/>
      <c r="O91" s="2"/>
      <c r="P91" s="2"/>
    </row>
    <row r="92" spans="1:16" ht="21" customHeight="1">
      <c r="A92" s="2"/>
      <c r="B92" s="2"/>
      <c r="C92" s="7"/>
      <c r="D92" s="14"/>
      <c r="E92" s="2"/>
      <c r="F92" s="2"/>
      <c r="G92" s="2"/>
      <c r="H92" s="2"/>
      <c r="I92" s="2"/>
      <c r="J92" s="2"/>
      <c r="K92" s="2"/>
      <c r="L92" s="2"/>
      <c r="M92" s="2"/>
      <c r="N92" s="2"/>
      <c r="O92" s="2"/>
      <c r="P92" s="2"/>
    </row>
    <row r="93" spans="1:16" ht="21" customHeight="1">
      <c r="A93" s="2"/>
      <c r="B93" s="2"/>
      <c r="C93" s="7"/>
      <c r="D93" s="14"/>
      <c r="E93" s="2"/>
      <c r="F93" s="2"/>
      <c r="G93" s="2"/>
      <c r="H93" s="2"/>
      <c r="I93" s="2"/>
      <c r="J93" s="2"/>
      <c r="K93" s="2"/>
      <c r="L93" s="2"/>
      <c r="M93" s="2"/>
      <c r="N93" s="2"/>
      <c r="O93" s="2"/>
      <c r="P93" s="2"/>
    </row>
    <row r="94" spans="1:16" ht="21" customHeight="1">
      <c r="A94" s="2"/>
      <c r="B94" s="2"/>
      <c r="C94" s="7"/>
      <c r="D94" s="14"/>
      <c r="E94" s="2"/>
      <c r="F94" s="2"/>
      <c r="G94" s="2"/>
      <c r="H94" s="2"/>
      <c r="I94" s="2"/>
      <c r="J94" s="2"/>
      <c r="K94" s="2"/>
      <c r="L94" s="2"/>
      <c r="M94" s="2"/>
      <c r="N94" s="2"/>
      <c r="O94" s="2"/>
      <c r="P94" s="2"/>
    </row>
    <row r="95" spans="1:16" ht="21" customHeight="1">
      <c r="A95" s="2"/>
      <c r="B95" s="2"/>
      <c r="C95" s="7"/>
      <c r="D95" s="14"/>
      <c r="E95" s="2"/>
      <c r="F95" s="2"/>
      <c r="G95" s="2"/>
      <c r="H95" s="2"/>
      <c r="I95" s="2"/>
      <c r="J95" s="2"/>
      <c r="K95" s="2"/>
      <c r="L95" s="2"/>
      <c r="M95" s="2"/>
      <c r="N95" s="2"/>
      <c r="O95" s="2"/>
      <c r="P95" s="2"/>
    </row>
    <row r="96" spans="1:16" ht="21" customHeight="1">
      <c r="A96" s="2"/>
      <c r="B96" s="2"/>
      <c r="C96" s="7"/>
      <c r="D96" s="14"/>
      <c r="E96" s="2"/>
      <c r="F96" s="2"/>
      <c r="G96" s="2"/>
      <c r="H96" s="2"/>
      <c r="I96" s="2"/>
      <c r="J96" s="2"/>
      <c r="K96" s="2"/>
      <c r="L96" s="2"/>
      <c r="M96" s="2"/>
      <c r="N96" s="2"/>
      <c r="O96" s="2"/>
      <c r="P96" s="2"/>
    </row>
    <row r="97" spans="1:16" ht="21" customHeight="1">
      <c r="A97" s="2"/>
      <c r="B97" s="2"/>
      <c r="C97" s="7"/>
      <c r="D97" s="14"/>
      <c r="E97" s="2"/>
      <c r="F97" s="2"/>
      <c r="G97" s="2"/>
      <c r="H97" s="2"/>
      <c r="I97" s="2"/>
      <c r="J97" s="2"/>
      <c r="K97" s="2"/>
      <c r="L97" s="2"/>
      <c r="M97" s="2"/>
      <c r="N97" s="2"/>
      <c r="O97" s="2"/>
      <c r="P97" s="2"/>
    </row>
    <row r="98" spans="1:16" ht="21" customHeight="1">
      <c r="A98" s="2"/>
      <c r="B98" s="2"/>
      <c r="C98" s="7"/>
      <c r="D98" s="14"/>
      <c r="E98" s="2"/>
      <c r="F98" s="2"/>
      <c r="G98" s="2"/>
      <c r="H98" s="2"/>
      <c r="I98" s="2"/>
      <c r="J98" s="2"/>
      <c r="K98" s="2"/>
      <c r="L98" s="2"/>
      <c r="M98" s="2"/>
      <c r="N98" s="2"/>
      <c r="O98" s="2"/>
      <c r="P98" s="2"/>
    </row>
    <row r="99" spans="1:16" ht="21" customHeight="1">
      <c r="A99" s="2"/>
      <c r="B99" s="2"/>
      <c r="C99" s="7"/>
      <c r="D99" s="14"/>
      <c r="E99" s="2"/>
      <c r="F99" s="2"/>
      <c r="G99" s="2"/>
      <c r="H99" s="2"/>
      <c r="I99" s="2"/>
      <c r="J99" s="2"/>
      <c r="K99" s="2"/>
      <c r="L99" s="2"/>
      <c r="M99" s="2"/>
      <c r="N99" s="2"/>
      <c r="O99" s="2"/>
      <c r="P99" s="2"/>
    </row>
    <row r="100" spans="1:16" ht="21" customHeight="1">
      <c r="A100" s="2"/>
      <c r="B100" s="2"/>
      <c r="C100" s="7"/>
      <c r="D100" s="14"/>
      <c r="E100" s="2"/>
      <c r="F100" s="2"/>
      <c r="G100" s="2"/>
      <c r="H100" s="2"/>
      <c r="I100" s="2"/>
      <c r="J100" s="2"/>
      <c r="K100" s="2"/>
      <c r="L100" s="2"/>
      <c r="M100" s="2"/>
      <c r="N100" s="2"/>
      <c r="O100" s="2"/>
      <c r="P100" s="2"/>
    </row>
    <row r="101" spans="1:16" ht="21" customHeight="1">
      <c r="A101" s="2"/>
      <c r="B101" s="2"/>
      <c r="C101" s="7"/>
      <c r="D101" s="14"/>
      <c r="E101" s="2"/>
      <c r="F101" s="2"/>
      <c r="G101" s="2"/>
      <c r="H101" s="2"/>
      <c r="I101" s="2"/>
      <c r="J101" s="2"/>
      <c r="K101" s="2"/>
      <c r="L101" s="2"/>
      <c r="M101" s="2"/>
      <c r="N101" s="2"/>
      <c r="O101" s="2"/>
      <c r="P101" s="2"/>
    </row>
    <row r="102" spans="1:16" ht="21" customHeight="1">
      <c r="A102" s="2"/>
      <c r="B102" s="2"/>
      <c r="C102" s="7"/>
      <c r="D102" s="2"/>
      <c r="E102" s="2"/>
      <c r="F102" s="2"/>
      <c r="G102" s="2"/>
      <c r="H102" s="2"/>
      <c r="I102" s="2"/>
      <c r="J102" s="2"/>
      <c r="K102" s="2"/>
      <c r="L102" s="2"/>
      <c r="M102" s="2"/>
      <c r="N102" s="2"/>
      <c r="O102" s="2"/>
      <c r="P102" s="2"/>
    </row>
    <row r="103" spans="1:16" ht="21" customHeight="1">
      <c r="A103" s="2"/>
      <c r="B103" s="2"/>
      <c r="C103" s="7"/>
      <c r="D103" s="2"/>
      <c r="E103" s="2"/>
      <c r="F103" s="2"/>
      <c r="G103" s="2"/>
      <c r="H103" s="2"/>
      <c r="I103" s="2"/>
      <c r="J103" s="2"/>
      <c r="K103" s="2"/>
      <c r="L103" s="2"/>
      <c r="M103" s="2"/>
      <c r="N103" s="2"/>
      <c r="O103" s="2"/>
      <c r="P103" s="2"/>
    </row>
    <row r="104" spans="1:16" ht="21" customHeight="1">
      <c r="A104" s="2"/>
      <c r="B104" s="2"/>
      <c r="C104" s="7"/>
      <c r="D104" s="2"/>
      <c r="E104" s="2"/>
      <c r="F104" s="2"/>
      <c r="G104" s="2"/>
      <c r="H104" s="2"/>
      <c r="I104" s="2"/>
      <c r="J104" s="2"/>
      <c r="K104" s="2"/>
      <c r="L104" s="2"/>
      <c r="M104" s="2"/>
      <c r="N104" s="2"/>
      <c r="O104" s="2"/>
      <c r="P104" s="2"/>
    </row>
    <row r="105" spans="1:16" ht="21" customHeight="1">
      <c r="A105" s="2"/>
      <c r="B105" s="2"/>
      <c r="C105" s="7"/>
      <c r="D105" s="2"/>
      <c r="E105" s="2"/>
      <c r="F105" s="2"/>
      <c r="G105" s="2"/>
      <c r="H105" s="2"/>
      <c r="I105" s="2"/>
      <c r="J105" s="2"/>
      <c r="K105" s="2"/>
      <c r="L105" s="2"/>
      <c r="M105" s="2"/>
      <c r="N105" s="2"/>
      <c r="O105" s="2"/>
      <c r="P105" s="2"/>
    </row>
    <row r="106" spans="1:16" ht="21" customHeight="1">
      <c r="A106" s="2"/>
      <c r="B106" s="2"/>
      <c r="C106" s="7"/>
      <c r="D106" s="2"/>
      <c r="E106" s="2"/>
      <c r="F106" s="2"/>
      <c r="G106" s="2"/>
      <c r="H106" s="2"/>
      <c r="I106" s="2"/>
      <c r="J106" s="2"/>
      <c r="K106" s="2"/>
      <c r="L106" s="2"/>
      <c r="M106" s="2"/>
      <c r="N106" s="2"/>
      <c r="O106" s="2"/>
      <c r="P106" s="2"/>
    </row>
    <row r="107" spans="1:16" ht="21" customHeight="1">
      <c r="A107" s="2"/>
      <c r="B107" s="2"/>
      <c r="C107" s="7"/>
      <c r="D107" s="2"/>
      <c r="E107" s="2"/>
      <c r="F107" s="2"/>
      <c r="G107" s="2"/>
      <c r="H107" s="2"/>
      <c r="I107" s="2"/>
      <c r="J107" s="2"/>
      <c r="K107" s="2"/>
      <c r="L107" s="2"/>
      <c r="M107" s="2"/>
      <c r="N107" s="2"/>
      <c r="O107" s="2"/>
      <c r="P107" s="2"/>
    </row>
    <row r="108" spans="1:16" ht="21" customHeight="1">
      <c r="A108" s="2"/>
      <c r="B108" s="2"/>
      <c r="C108" s="7"/>
      <c r="D108" s="2"/>
      <c r="E108" s="2"/>
      <c r="F108" s="2"/>
      <c r="G108" s="2"/>
      <c r="H108" s="2"/>
      <c r="I108" s="2"/>
      <c r="J108" s="2"/>
      <c r="K108" s="2"/>
      <c r="L108" s="2"/>
      <c r="M108" s="2"/>
      <c r="N108" s="2"/>
      <c r="O108" s="2"/>
      <c r="P108" s="2"/>
    </row>
    <row r="109" spans="1:16" ht="21" customHeight="1">
      <c r="A109" s="2"/>
      <c r="B109" s="2"/>
      <c r="C109" s="7"/>
      <c r="D109" s="2"/>
      <c r="E109" s="2"/>
      <c r="F109" s="2"/>
      <c r="G109" s="2"/>
      <c r="H109" s="2"/>
      <c r="I109" s="2"/>
      <c r="J109" s="2"/>
      <c r="K109" s="2"/>
      <c r="L109" s="2"/>
      <c r="M109" s="2"/>
      <c r="N109" s="2"/>
      <c r="O109" s="2"/>
      <c r="P109" s="2"/>
    </row>
    <row r="110" spans="1:16" ht="21" customHeight="1">
      <c r="A110" s="2"/>
      <c r="B110" s="2"/>
      <c r="C110" s="7"/>
      <c r="D110" s="2"/>
      <c r="E110" s="2"/>
      <c r="F110" s="2"/>
      <c r="G110" s="2"/>
      <c r="H110" s="2"/>
      <c r="I110" s="2"/>
      <c r="J110" s="2"/>
      <c r="K110" s="2"/>
      <c r="L110" s="2"/>
      <c r="M110" s="2"/>
      <c r="N110" s="2"/>
      <c r="O110" s="2"/>
      <c r="P110" s="2"/>
    </row>
    <row r="111" spans="1:16" ht="21" customHeight="1">
      <c r="A111" s="2"/>
      <c r="B111" s="2"/>
      <c r="C111" s="7"/>
      <c r="D111" s="2"/>
      <c r="E111" s="2"/>
      <c r="F111" s="2"/>
      <c r="G111" s="2"/>
      <c r="H111" s="2"/>
      <c r="I111" s="2"/>
      <c r="J111" s="2"/>
      <c r="K111" s="2"/>
      <c r="L111" s="2"/>
      <c r="M111" s="2"/>
      <c r="N111" s="2"/>
      <c r="O111" s="2"/>
      <c r="P111" s="2"/>
    </row>
    <row r="112" spans="1:16" ht="21" customHeight="1">
      <c r="A112" s="2"/>
      <c r="B112" s="2"/>
      <c r="C112" s="7"/>
      <c r="D112" s="2"/>
      <c r="E112" s="2"/>
      <c r="F112" s="2"/>
      <c r="G112" s="2"/>
      <c r="H112" s="2"/>
      <c r="I112" s="2"/>
      <c r="J112" s="2"/>
      <c r="K112" s="2"/>
      <c r="L112" s="2"/>
      <c r="M112" s="2"/>
      <c r="N112" s="2"/>
      <c r="O112" s="2"/>
      <c r="P112" s="2"/>
    </row>
    <row r="113" spans="1:16" ht="21" customHeight="1">
      <c r="A113" s="2"/>
      <c r="B113" s="2"/>
      <c r="C113" s="7"/>
      <c r="D113" s="2"/>
      <c r="E113" s="2"/>
      <c r="F113" s="2"/>
      <c r="G113" s="2"/>
      <c r="H113" s="2"/>
      <c r="I113" s="2"/>
      <c r="J113" s="2"/>
      <c r="K113" s="2"/>
      <c r="L113" s="2"/>
      <c r="M113" s="2"/>
      <c r="N113" s="2"/>
      <c r="O113" s="2"/>
      <c r="P113" s="2"/>
    </row>
    <row r="114" spans="1:16" ht="21" customHeight="1">
      <c r="A114" s="2"/>
      <c r="B114" s="2"/>
      <c r="C114" s="7"/>
      <c r="D114" s="2"/>
      <c r="E114" s="2"/>
      <c r="F114" s="2"/>
      <c r="G114" s="2"/>
      <c r="H114" s="2"/>
      <c r="I114" s="2"/>
      <c r="J114" s="2"/>
      <c r="K114" s="2"/>
      <c r="L114" s="2"/>
      <c r="M114" s="2"/>
      <c r="N114" s="2"/>
      <c r="O114" s="2"/>
      <c r="P114" s="2"/>
    </row>
    <row r="115" spans="1:16" ht="21" customHeight="1">
      <c r="A115" s="2"/>
      <c r="B115" s="2"/>
      <c r="C115" s="7"/>
      <c r="D115" s="2"/>
      <c r="E115" s="2"/>
      <c r="F115" s="2"/>
      <c r="G115" s="2"/>
      <c r="H115" s="2"/>
      <c r="I115" s="2"/>
      <c r="J115" s="2"/>
      <c r="K115" s="2"/>
      <c r="L115" s="2"/>
      <c r="M115" s="2"/>
      <c r="N115" s="2"/>
      <c r="O115" s="2"/>
      <c r="P115" s="2"/>
    </row>
    <row r="116" spans="1:16" ht="21" customHeight="1">
      <c r="A116" s="2"/>
      <c r="B116" s="2"/>
      <c r="C116" s="7"/>
      <c r="D116" s="2"/>
      <c r="E116" s="2"/>
      <c r="F116" s="2"/>
      <c r="G116" s="2"/>
      <c r="H116" s="2"/>
      <c r="I116" s="2"/>
      <c r="J116" s="2"/>
      <c r="K116" s="2"/>
      <c r="L116" s="2"/>
      <c r="M116" s="2"/>
      <c r="N116" s="2"/>
      <c r="O116" s="2"/>
      <c r="P116" s="2"/>
    </row>
    <row r="117" spans="1:16" ht="21" customHeight="1">
      <c r="A117" s="2"/>
      <c r="B117" s="2"/>
      <c r="C117" s="7"/>
      <c r="D117" s="2"/>
      <c r="E117" s="2"/>
      <c r="F117" s="2"/>
      <c r="G117" s="2"/>
      <c r="H117" s="2"/>
      <c r="I117" s="2"/>
      <c r="J117" s="2"/>
      <c r="K117" s="2"/>
      <c r="L117" s="2"/>
      <c r="M117" s="2"/>
      <c r="N117" s="2"/>
      <c r="O117" s="2"/>
      <c r="P117" s="2"/>
    </row>
    <row r="118" spans="1:16" ht="21" customHeight="1">
      <c r="A118" s="2"/>
      <c r="B118" s="2"/>
      <c r="C118" s="7"/>
      <c r="D118" s="2"/>
      <c r="E118" s="2"/>
      <c r="F118" s="2"/>
      <c r="G118" s="2"/>
      <c r="H118" s="2"/>
      <c r="I118" s="2"/>
      <c r="J118" s="2"/>
      <c r="K118" s="2"/>
      <c r="L118" s="2"/>
      <c r="M118" s="2"/>
      <c r="N118" s="2"/>
      <c r="O118" s="2"/>
      <c r="P118" s="2"/>
    </row>
    <row r="119" spans="1:16" ht="21" customHeight="1">
      <c r="A119" s="2"/>
      <c r="B119" s="2"/>
      <c r="C119" s="7"/>
      <c r="D119" s="2"/>
      <c r="E119" s="2"/>
      <c r="F119" s="2"/>
      <c r="G119" s="2"/>
      <c r="H119" s="2"/>
      <c r="I119" s="2"/>
      <c r="J119" s="2"/>
      <c r="K119" s="2"/>
      <c r="L119" s="2"/>
      <c r="M119" s="2"/>
      <c r="N119" s="2"/>
      <c r="O119" s="2"/>
      <c r="P119" s="2"/>
    </row>
    <row r="120" spans="1:16" ht="21" customHeight="1">
      <c r="A120" s="2"/>
      <c r="B120" s="2"/>
      <c r="C120" s="7"/>
      <c r="D120" s="2"/>
      <c r="E120" s="2"/>
      <c r="F120" s="2"/>
      <c r="G120" s="2"/>
      <c r="H120" s="2"/>
      <c r="I120" s="2"/>
      <c r="J120" s="2"/>
      <c r="K120" s="2"/>
      <c r="L120" s="2"/>
      <c r="M120" s="2"/>
      <c r="N120" s="2"/>
      <c r="O120" s="2"/>
      <c r="P120" s="2"/>
    </row>
    <row r="121" spans="1:16" ht="21" customHeight="1">
      <c r="C121" s="8"/>
    </row>
    <row r="122" spans="1:16" ht="21" customHeight="1">
      <c r="C122" s="8"/>
    </row>
    <row r="123" spans="1:16" ht="21" customHeight="1">
      <c r="C123" s="8"/>
    </row>
    <row r="124" spans="1:16" ht="21" customHeight="1">
      <c r="C124" s="8"/>
    </row>
    <row r="125" spans="1:16" ht="21" customHeight="1">
      <c r="C125" s="8"/>
    </row>
    <row r="126" spans="1:16" ht="21" customHeight="1">
      <c r="C126" s="8"/>
    </row>
    <row r="127" spans="1:16" ht="21" customHeight="1">
      <c r="C127" s="8"/>
    </row>
    <row r="128" spans="1:16" ht="21" customHeight="1">
      <c r="C128" s="8"/>
    </row>
    <row r="129" spans="3:3" ht="21" customHeight="1">
      <c r="C129" s="8"/>
    </row>
    <row r="130" spans="3:3" ht="21" customHeight="1">
      <c r="C130" s="8"/>
    </row>
    <row r="131" spans="3:3" ht="21" customHeight="1">
      <c r="C131" s="8"/>
    </row>
    <row r="132" spans="3:3" ht="21" customHeight="1">
      <c r="C132" s="8"/>
    </row>
    <row r="133" spans="3:3" ht="21" customHeight="1">
      <c r="C133" s="8"/>
    </row>
    <row r="134" spans="3:3" ht="21" customHeight="1">
      <c r="C134" s="8"/>
    </row>
    <row r="135" spans="3:3" ht="21" customHeight="1">
      <c r="C135" s="8"/>
    </row>
    <row r="136" spans="3:3" ht="21" customHeight="1">
      <c r="C136" s="8"/>
    </row>
    <row r="137" spans="3:3" ht="21" customHeight="1">
      <c r="C137" s="8"/>
    </row>
    <row r="138" spans="3:3" ht="21" customHeight="1">
      <c r="C138" s="8"/>
    </row>
    <row r="139" spans="3:3" ht="21" customHeight="1">
      <c r="C139" s="8"/>
    </row>
    <row r="140" spans="3:3" ht="21" customHeight="1">
      <c r="C140" s="8"/>
    </row>
    <row r="141" spans="3:3" ht="21" customHeight="1">
      <c r="C141" s="8"/>
    </row>
    <row r="142" spans="3:3" ht="21" customHeight="1">
      <c r="C142" s="8"/>
    </row>
    <row r="143" spans="3:3" ht="21" customHeight="1">
      <c r="C143" s="8"/>
    </row>
    <row r="144" spans="3:3" ht="21" customHeight="1">
      <c r="C144" s="8"/>
    </row>
    <row r="145" spans="3:3" ht="21" customHeight="1">
      <c r="C145" s="8"/>
    </row>
    <row r="146" spans="3:3" ht="21" customHeight="1">
      <c r="C146" s="8"/>
    </row>
    <row r="147" spans="3:3" ht="21" customHeight="1">
      <c r="C147" s="8"/>
    </row>
    <row r="148" spans="3:3" ht="21" customHeight="1">
      <c r="C148" s="8"/>
    </row>
    <row r="149" spans="3:3" ht="21" customHeight="1">
      <c r="C149" s="8"/>
    </row>
    <row r="150" spans="3:3" ht="21" customHeight="1">
      <c r="C150" s="8"/>
    </row>
    <row r="151" spans="3:3" ht="21" customHeight="1">
      <c r="C151" s="8"/>
    </row>
    <row r="152" spans="3:3" ht="21" customHeight="1">
      <c r="C152" s="8"/>
    </row>
    <row r="153" spans="3:3" ht="21" customHeight="1">
      <c r="C153" s="8"/>
    </row>
    <row r="154" spans="3:3" ht="21" customHeight="1">
      <c r="C154" s="8"/>
    </row>
    <row r="155" spans="3:3" ht="21" customHeight="1">
      <c r="C155" s="8"/>
    </row>
    <row r="156" spans="3:3" ht="21" customHeight="1">
      <c r="C156" s="8"/>
    </row>
    <row r="157" spans="3:3" ht="21" customHeight="1">
      <c r="C157" s="8"/>
    </row>
    <row r="158" spans="3:3" ht="21" customHeight="1">
      <c r="C158" s="8"/>
    </row>
    <row r="159" spans="3:3" ht="21" customHeight="1">
      <c r="C159" s="8"/>
    </row>
    <row r="160" spans="3:3" ht="21" customHeight="1">
      <c r="C160" s="8"/>
    </row>
    <row r="161" spans="3:3" ht="21" customHeight="1">
      <c r="C161" s="8"/>
    </row>
    <row r="162" spans="3:3" ht="21" customHeight="1">
      <c r="C162" s="8"/>
    </row>
    <row r="163" spans="3:3" ht="21" customHeight="1">
      <c r="C163" s="8"/>
    </row>
    <row r="164" spans="3:3" ht="21" customHeight="1">
      <c r="C164" s="8"/>
    </row>
    <row r="165" spans="3:3" ht="21" customHeight="1">
      <c r="C165" s="8"/>
    </row>
    <row r="166" spans="3:3" ht="21" customHeight="1">
      <c r="C166" s="8"/>
    </row>
    <row r="167" spans="3:3" ht="21" customHeight="1">
      <c r="C167" s="8"/>
    </row>
    <row r="168" spans="3:3" ht="21" customHeight="1">
      <c r="C168" s="8"/>
    </row>
    <row r="169" spans="3:3" ht="21" customHeight="1">
      <c r="C169" s="8"/>
    </row>
    <row r="170" spans="3:3" ht="21" customHeight="1">
      <c r="C170" s="8"/>
    </row>
    <row r="171" spans="3:3" ht="21" customHeight="1">
      <c r="C171" s="8"/>
    </row>
    <row r="172" spans="3:3" ht="21" customHeight="1">
      <c r="C172" s="8"/>
    </row>
    <row r="173" spans="3:3" ht="21" customHeight="1">
      <c r="C173" s="8"/>
    </row>
    <row r="174" spans="3:3" ht="21" customHeight="1">
      <c r="C174" s="8"/>
    </row>
    <row r="175" spans="3:3" ht="21" customHeight="1">
      <c r="C175" s="8"/>
    </row>
    <row r="176" spans="3:3" ht="21" customHeight="1">
      <c r="C176" s="8"/>
    </row>
    <row r="177" spans="3:3" ht="21" customHeight="1">
      <c r="C177" s="8"/>
    </row>
    <row r="178" spans="3:3" ht="21" customHeight="1">
      <c r="C178" s="8"/>
    </row>
    <row r="179" spans="3:3" ht="21" customHeight="1">
      <c r="C179" s="8"/>
    </row>
    <row r="180" spans="3:3" ht="21" customHeight="1">
      <c r="C180" s="8"/>
    </row>
    <row r="181" spans="3:3" ht="21" customHeight="1">
      <c r="C181" s="8"/>
    </row>
    <row r="182" spans="3:3" ht="21" customHeight="1">
      <c r="C182" s="8"/>
    </row>
    <row r="183" spans="3:3" ht="21" customHeight="1">
      <c r="C183" s="8"/>
    </row>
    <row r="184" spans="3:3" ht="21" customHeight="1">
      <c r="C184" s="8"/>
    </row>
    <row r="185" spans="3:3" ht="21" customHeight="1">
      <c r="C185" s="8"/>
    </row>
    <row r="186" spans="3:3" ht="21" customHeight="1">
      <c r="C186" s="8"/>
    </row>
    <row r="187" spans="3:3" ht="21" customHeight="1">
      <c r="C187" s="8"/>
    </row>
    <row r="188" spans="3:3" ht="21" customHeight="1">
      <c r="C188" s="8"/>
    </row>
    <row r="189" spans="3:3" ht="21" customHeight="1">
      <c r="C189" s="8"/>
    </row>
    <row r="190" spans="3:3" ht="21" customHeight="1">
      <c r="C190" s="8"/>
    </row>
    <row r="191" spans="3:3" ht="21" customHeight="1">
      <c r="C191" s="8"/>
    </row>
    <row r="192" spans="3:3" ht="21" customHeight="1">
      <c r="C192" s="8"/>
    </row>
    <row r="193" spans="3:3" ht="21" customHeight="1">
      <c r="C193" s="8"/>
    </row>
    <row r="194" spans="3:3" ht="21" customHeight="1">
      <c r="C194" s="8"/>
    </row>
    <row r="195" spans="3:3" ht="21" customHeight="1">
      <c r="C195" s="8"/>
    </row>
    <row r="196" spans="3:3" ht="21" customHeight="1">
      <c r="C196" s="8"/>
    </row>
    <row r="197" spans="3:3" ht="21" customHeight="1">
      <c r="C197" s="8"/>
    </row>
    <row r="198" spans="3:3" ht="21" customHeight="1">
      <c r="C198" s="8"/>
    </row>
    <row r="199" spans="3:3" ht="21" customHeight="1">
      <c r="C199" s="8"/>
    </row>
    <row r="200" spans="3:3" ht="21" customHeight="1">
      <c r="C200" s="8"/>
    </row>
    <row r="201" spans="3:3" ht="21" customHeight="1">
      <c r="C201" s="8"/>
    </row>
    <row r="202" spans="3:3" ht="21" customHeight="1">
      <c r="C202" s="8"/>
    </row>
    <row r="203" spans="3:3" ht="21" customHeight="1">
      <c r="C203" s="8"/>
    </row>
    <row r="204" spans="3:3" ht="21" customHeight="1">
      <c r="C204" s="8"/>
    </row>
    <row r="205" spans="3:3" ht="21" customHeight="1">
      <c r="C205" s="8"/>
    </row>
    <row r="206" spans="3:3" ht="21" customHeight="1">
      <c r="C206" s="8"/>
    </row>
    <row r="207" spans="3:3" ht="21" customHeight="1">
      <c r="C207" s="8"/>
    </row>
    <row r="208" spans="3:3" ht="21" customHeight="1">
      <c r="C208" s="8"/>
    </row>
    <row r="209" spans="3:3" ht="21" customHeight="1">
      <c r="C209" s="8"/>
    </row>
    <row r="210" spans="3:3" ht="21" customHeight="1">
      <c r="C210" s="8"/>
    </row>
    <row r="211" spans="3:3" ht="21" customHeight="1">
      <c r="C211" s="8"/>
    </row>
    <row r="212" spans="3:3" ht="21" customHeight="1">
      <c r="C212" s="8"/>
    </row>
    <row r="213" spans="3:3" ht="21" customHeight="1">
      <c r="C213" s="8"/>
    </row>
    <row r="214" spans="3:3" ht="21" customHeight="1">
      <c r="C214" s="8"/>
    </row>
    <row r="215" spans="3:3" ht="21" customHeight="1">
      <c r="C215" s="8"/>
    </row>
    <row r="216" spans="3:3" ht="21" customHeight="1">
      <c r="C216" s="8"/>
    </row>
    <row r="217" spans="3:3" ht="21" customHeight="1">
      <c r="C217" s="8"/>
    </row>
    <row r="218" spans="3:3" ht="21" customHeight="1">
      <c r="C218" s="8"/>
    </row>
    <row r="219" spans="3:3" ht="21" customHeight="1">
      <c r="C219" s="8"/>
    </row>
    <row r="220" spans="3:3" ht="21" customHeight="1">
      <c r="C220" s="8"/>
    </row>
    <row r="221" spans="3:3" ht="21" customHeight="1">
      <c r="C221" s="8"/>
    </row>
    <row r="222" spans="3:3" ht="21" customHeight="1">
      <c r="C222" s="8"/>
    </row>
    <row r="223" spans="3:3" ht="21" customHeight="1">
      <c r="C223" s="8"/>
    </row>
    <row r="224" spans="3:3" ht="21" customHeight="1">
      <c r="C224" s="8"/>
    </row>
    <row r="225" spans="3:3" ht="21" customHeight="1">
      <c r="C225" s="8"/>
    </row>
    <row r="226" spans="3:3" ht="21" customHeight="1">
      <c r="C226" s="8"/>
    </row>
    <row r="227" spans="3:3" ht="21" customHeight="1">
      <c r="C227" s="8"/>
    </row>
    <row r="228" spans="3:3" ht="21" customHeight="1">
      <c r="C228" s="8"/>
    </row>
    <row r="229" spans="3:3" ht="21" customHeight="1">
      <c r="C229" s="8"/>
    </row>
    <row r="230" spans="3:3" ht="21" customHeight="1">
      <c r="C230" s="8"/>
    </row>
    <row r="231" spans="3:3" ht="21" customHeight="1">
      <c r="C231" s="8"/>
    </row>
    <row r="232" spans="3:3" ht="21" customHeight="1">
      <c r="C232" s="8"/>
    </row>
    <row r="233" spans="3:3" ht="21" customHeight="1">
      <c r="C233" s="8"/>
    </row>
    <row r="234" spans="3:3" ht="21" customHeight="1">
      <c r="C234" s="8"/>
    </row>
    <row r="235" spans="3:3" ht="21" customHeight="1">
      <c r="C235" s="8"/>
    </row>
    <row r="236" spans="3:3" ht="21" customHeight="1">
      <c r="C236" s="8"/>
    </row>
    <row r="237" spans="3:3" ht="21" customHeight="1">
      <c r="C237" s="8"/>
    </row>
    <row r="238" spans="3:3" ht="21" customHeight="1">
      <c r="C238" s="8"/>
    </row>
    <row r="239" spans="3:3" ht="21" customHeight="1">
      <c r="C239" s="8"/>
    </row>
    <row r="240" spans="3:3" ht="21" customHeight="1">
      <c r="C240" s="8"/>
    </row>
    <row r="241" spans="3:3" ht="21" customHeight="1">
      <c r="C241" s="8"/>
    </row>
    <row r="242" spans="3:3" ht="21" customHeight="1">
      <c r="C242" s="8"/>
    </row>
    <row r="243" spans="3:3" ht="21" customHeight="1">
      <c r="C243" s="8"/>
    </row>
    <row r="244" spans="3:3" ht="21" customHeight="1">
      <c r="C244" s="8"/>
    </row>
    <row r="245" spans="3:3" ht="21" customHeight="1">
      <c r="C245" s="8"/>
    </row>
    <row r="246" spans="3:3" ht="21" customHeight="1">
      <c r="C246" s="8"/>
    </row>
    <row r="247" spans="3:3" ht="21" customHeight="1">
      <c r="C247" s="8"/>
    </row>
    <row r="248" spans="3:3" ht="21" customHeight="1">
      <c r="C248" s="8"/>
    </row>
    <row r="249" spans="3:3" ht="21" customHeight="1">
      <c r="C249" s="8"/>
    </row>
    <row r="250" spans="3:3" ht="21" customHeight="1">
      <c r="C250" s="8"/>
    </row>
    <row r="251" spans="3:3" ht="21" customHeight="1">
      <c r="C251" s="8"/>
    </row>
    <row r="252" spans="3:3" ht="21" customHeight="1">
      <c r="C252" s="8"/>
    </row>
    <row r="253" spans="3:3" ht="21" customHeight="1">
      <c r="C253" s="8"/>
    </row>
    <row r="254" spans="3:3" ht="21" customHeight="1">
      <c r="C254" s="8"/>
    </row>
    <row r="255" spans="3:3" ht="21" customHeight="1">
      <c r="C255" s="8"/>
    </row>
    <row r="256" spans="3:3" ht="21" customHeight="1">
      <c r="C256" s="8"/>
    </row>
    <row r="257" spans="3:3" ht="21" customHeight="1">
      <c r="C257" s="8"/>
    </row>
    <row r="258" spans="3:3" ht="21" customHeight="1">
      <c r="C258" s="8"/>
    </row>
    <row r="259" spans="3:3" ht="21" customHeight="1">
      <c r="C259" s="8"/>
    </row>
    <row r="260" spans="3:3" ht="21" customHeight="1">
      <c r="C260" s="8"/>
    </row>
    <row r="261" spans="3:3" ht="21" customHeight="1">
      <c r="C261" s="8"/>
    </row>
    <row r="262" spans="3:3" ht="21" customHeight="1">
      <c r="C262" s="8"/>
    </row>
    <row r="263" spans="3:3" ht="21" customHeight="1">
      <c r="C263" s="8"/>
    </row>
    <row r="264" spans="3:3" ht="21" customHeight="1">
      <c r="C264" s="8"/>
    </row>
    <row r="265" spans="3:3" ht="21" customHeight="1">
      <c r="C265" s="8"/>
    </row>
    <row r="266" spans="3:3" ht="21" customHeight="1">
      <c r="C266" s="8"/>
    </row>
    <row r="267" spans="3:3" ht="21" customHeight="1">
      <c r="C267" s="8"/>
    </row>
    <row r="268" spans="3:3" ht="21" customHeight="1">
      <c r="C268" s="8"/>
    </row>
    <row r="269" spans="3:3" ht="21" customHeight="1">
      <c r="C269" s="8"/>
    </row>
    <row r="270" spans="3:3" ht="21" customHeight="1">
      <c r="C270" s="8"/>
    </row>
    <row r="271" spans="3:3" ht="21" customHeight="1">
      <c r="C271" s="8"/>
    </row>
    <row r="272" spans="3:3" ht="21" customHeight="1">
      <c r="C272" s="8"/>
    </row>
    <row r="273" spans="3:3" ht="21" customHeight="1">
      <c r="C273" s="8"/>
    </row>
    <row r="274" spans="3:3" ht="21" customHeight="1">
      <c r="C274" s="8"/>
    </row>
    <row r="275" spans="3:3" ht="21" customHeight="1">
      <c r="C275" s="8"/>
    </row>
    <row r="276" spans="3:3" ht="21" customHeight="1">
      <c r="C276" s="8"/>
    </row>
    <row r="277" spans="3:3" ht="21" customHeight="1">
      <c r="C277" s="8"/>
    </row>
    <row r="278" spans="3:3" ht="21" customHeight="1">
      <c r="C278" s="8"/>
    </row>
    <row r="279" spans="3:3" ht="21" customHeight="1">
      <c r="C279" s="8"/>
    </row>
    <row r="280" spans="3:3" ht="21" customHeight="1">
      <c r="C280" s="8"/>
    </row>
    <row r="281" spans="3:3" ht="21" customHeight="1">
      <c r="C281" s="8"/>
    </row>
    <row r="282" spans="3:3" ht="21" customHeight="1">
      <c r="C282" s="8"/>
    </row>
    <row r="283" spans="3:3" ht="21" customHeight="1">
      <c r="C283" s="8"/>
    </row>
    <row r="284" spans="3:3" ht="21" customHeight="1">
      <c r="C284" s="8"/>
    </row>
    <row r="285" spans="3:3" ht="21" customHeight="1">
      <c r="C285" s="8"/>
    </row>
    <row r="286" spans="3:3" ht="21" customHeight="1">
      <c r="C286" s="8"/>
    </row>
    <row r="287" spans="3:3" ht="21" customHeight="1">
      <c r="C287" s="8"/>
    </row>
    <row r="288" spans="3:3" ht="21" customHeight="1">
      <c r="C288" s="8"/>
    </row>
    <row r="289" spans="3:3" ht="21" customHeight="1">
      <c r="C289" s="8"/>
    </row>
    <row r="290" spans="3:3" ht="21" customHeight="1">
      <c r="C290" s="8"/>
    </row>
    <row r="291" spans="3:3" ht="21" customHeight="1">
      <c r="C291" s="8"/>
    </row>
    <row r="292" spans="3:3" ht="21" customHeight="1">
      <c r="C292" s="8"/>
    </row>
    <row r="293" spans="3:3" ht="21" customHeight="1">
      <c r="C293" s="8"/>
    </row>
    <row r="294" spans="3:3" ht="21" customHeight="1">
      <c r="C294" s="8"/>
    </row>
    <row r="295" spans="3:3" ht="21" customHeight="1">
      <c r="C295" s="8"/>
    </row>
    <row r="296" spans="3:3" ht="21" customHeight="1">
      <c r="C296" s="8"/>
    </row>
    <row r="297" spans="3:3" ht="21" customHeight="1">
      <c r="C297" s="8"/>
    </row>
    <row r="298" spans="3:3" ht="21" customHeight="1">
      <c r="C298" s="8"/>
    </row>
    <row r="299" spans="3:3" ht="21" customHeight="1">
      <c r="C299" s="8"/>
    </row>
    <row r="300" spans="3:3" ht="21" customHeight="1">
      <c r="C300" s="8"/>
    </row>
    <row r="301" spans="3:3" ht="21" customHeight="1"/>
    <row r="302" spans="3:3" ht="21" customHeight="1"/>
    <row r="303" spans="3:3" ht="21" customHeight="1"/>
    <row r="304" spans="3:3" ht="21" customHeight="1"/>
    <row r="305" ht="21" customHeight="1"/>
    <row r="306" ht="21" customHeight="1"/>
    <row r="307" ht="21" customHeight="1"/>
    <row r="308" ht="21" customHeight="1"/>
    <row r="309" ht="21" customHeight="1"/>
    <row r="310" ht="21" customHeight="1"/>
    <row r="311" ht="21" customHeight="1"/>
    <row r="312" ht="21" customHeight="1"/>
    <row r="313" ht="21" customHeight="1"/>
    <row r="314" ht="21" customHeight="1"/>
    <row r="315" ht="21" customHeight="1"/>
    <row r="316" ht="21" customHeight="1"/>
    <row r="317" ht="21" customHeight="1"/>
    <row r="318" ht="21" customHeight="1"/>
    <row r="319" ht="21" customHeight="1"/>
    <row r="320" ht="21" customHeight="1"/>
    <row r="321" ht="21" customHeight="1"/>
    <row r="322" ht="21" customHeight="1"/>
    <row r="323" ht="21" customHeight="1"/>
    <row r="324" ht="21" customHeight="1"/>
    <row r="325" ht="21" customHeight="1"/>
    <row r="326" ht="21" customHeight="1"/>
    <row r="327" ht="21" customHeight="1"/>
    <row r="328" ht="21" customHeight="1"/>
    <row r="329" ht="21" customHeight="1"/>
    <row r="330" ht="21" customHeight="1"/>
    <row r="331" ht="21" customHeight="1"/>
    <row r="332" ht="21" customHeight="1"/>
    <row r="333" ht="21" customHeight="1"/>
    <row r="334" ht="21" customHeight="1"/>
    <row r="335" ht="21" customHeight="1"/>
    <row r="336" ht="21" customHeight="1"/>
    <row r="337" ht="21" customHeight="1"/>
    <row r="338" ht="21" customHeight="1"/>
    <row r="339" ht="21" customHeight="1"/>
    <row r="340" ht="21" customHeight="1"/>
    <row r="341" ht="21" customHeight="1"/>
    <row r="342" ht="21" customHeight="1"/>
    <row r="343" ht="21" customHeight="1"/>
    <row r="344" ht="21" customHeight="1"/>
    <row r="345" ht="21" customHeight="1"/>
    <row r="346" ht="21" customHeight="1"/>
    <row r="347" ht="21" customHeight="1"/>
    <row r="348" ht="21" customHeight="1"/>
    <row r="349" ht="21" customHeight="1"/>
    <row r="350" ht="21" customHeight="1"/>
    <row r="351" ht="21" customHeight="1"/>
    <row r="352" ht="21" customHeight="1"/>
    <row r="353" ht="21" customHeight="1"/>
    <row r="354" ht="21" customHeight="1"/>
    <row r="355" ht="21" customHeight="1"/>
    <row r="356" ht="21" customHeight="1"/>
    <row r="357" ht="21" customHeight="1"/>
    <row r="358" ht="21" customHeight="1"/>
    <row r="359" ht="21" customHeight="1"/>
    <row r="360" ht="21" customHeight="1"/>
    <row r="361" ht="21" customHeight="1"/>
    <row r="362" ht="21" customHeight="1"/>
    <row r="363" ht="21" customHeight="1"/>
    <row r="364" ht="21" customHeight="1"/>
    <row r="365" ht="21" customHeight="1"/>
    <row r="366" ht="21" customHeight="1"/>
    <row r="367" ht="21" customHeight="1"/>
    <row r="368" ht="21" customHeight="1"/>
    <row r="369" ht="21" customHeight="1"/>
    <row r="370" ht="21" customHeight="1"/>
    <row r="371" ht="21" customHeight="1"/>
    <row r="372" ht="21" customHeight="1"/>
    <row r="373" ht="21" customHeight="1"/>
    <row r="374" ht="21" customHeight="1"/>
    <row r="375" ht="21" customHeight="1"/>
    <row r="376" ht="21" customHeight="1"/>
    <row r="377" ht="21" customHeight="1"/>
    <row r="378" ht="21" customHeight="1"/>
    <row r="379" ht="21" customHeight="1"/>
    <row r="380" ht="21" customHeight="1"/>
    <row r="381" ht="21" customHeight="1"/>
    <row r="382" ht="21" customHeight="1"/>
    <row r="383" ht="21" customHeight="1"/>
    <row r="384" ht="21" customHeight="1"/>
    <row r="385" ht="21" customHeight="1"/>
    <row r="386" ht="21" customHeight="1"/>
    <row r="387" ht="21" customHeight="1"/>
    <row r="388" ht="21" customHeight="1"/>
    <row r="389" ht="21" customHeight="1"/>
    <row r="390" ht="21" customHeight="1"/>
    <row r="391" ht="21" customHeight="1"/>
    <row r="392" ht="21" customHeight="1"/>
    <row r="393" ht="21" customHeight="1"/>
    <row r="394" ht="21" customHeight="1"/>
    <row r="395" ht="21" customHeight="1"/>
    <row r="396" ht="21" customHeight="1"/>
    <row r="397" ht="21" customHeight="1"/>
    <row r="398" ht="21" customHeight="1"/>
    <row r="399" ht="21" customHeight="1"/>
    <row r="400" ht="21" customHeight="1"/>
    <row r="401" ht="21" customHeight="1"/>
    <row r="402" ht="21" customHeight="1"/>
    <row r="403" ht="21" customHeight="1"/>
    <row r="404" ht="21" customHeight="1"/>
    <row r="405" ht="21" customHeight="1"/>
    <row r="406" ht="21" customHeight="1"/>
    <row r="407" ht="21" customHeight="1"/>
    <row r="408" ht="21" customHeight="1"/>
    <row r="409" ht="21" customHeight="1"/>
    <row r="410" ht="21" customHeight="1"/>
    <row r="411" ht="21" customHeight="1"/>
    <row r="412" ht="21" customHeight="1"/>
    <row r="413" ht="21" customHeight="1"/>
    <row r="414" ht="21" customHeight="1"/>
    <row r="415" ht="21" customHeight="1"/>
    <row r="416" ht="21" customHeight="1"/>
    <row r="417" ht="21" customHeight="1"/>
    <row r="418" ht="21" customHeight="1"/>
    <row r="419" ht="21" customHeight="1"/>
    <row r="420" ht="21" customHeight="1"/>
    <row r="421" ht="21" customHeight="1"/>
    <row r="422" ht="21" customHeight="1"/>
    <row r="423" ht="21" customHeight="1"/>
    <row r="424" ht="21" customHeight="1"/>
    <row r="425" ht="21" customHeight="1"/>
    <row r="426" ht="21" customHeight="1"/>
    <row r="427" ht="21" customHeight="1"/>
    <row r="428" ht="21" customHeight="1"/>
    <row r="429" ht="21" customHeight="1"/>
    <row r="430" ht="21" customHeight="1"/>
    <row r="431" ht="21" customHeight="1"/>
    <row r="432" ht="21" customHeight="1"/>
    <row r="433" ht="21" customHeight="1"/>
    <row r="434" ht="21" customHeight="1"/>
    <row r="435" ht="21" customHeight="1"/>
    <row r="436" ht="21" customHeight="1"/>
    <row r="437" ht="21" customHeight="1"/>
    <row r="438" ht="21" customHeight="1"/>
    <row r="439" ht="21" customHeight="1"/>
    <row r="440" ht="21" customHeight="1"/>
    <row r="441" ht="21" customHeight="1"/>
    <row r="442" ht="21" customHeight="1"/>
    <row r="443" ht="21" customHeight="1"/>
    <row r="444" ht="21" customHeight="1"/>
    <row r="445" ht="21" customHeight="1"/>
    <row r="446" ht="21" customHeight="1"/>
    <row r="447" ht="21" customHeight="1"/>
    <row r="448" ht="21" customHeight="1"/>
    <row r="449" ht="21" customHeight="1"/>
    <row r="450" ht="21" customHeight="1"/>
    <row r="451" ht="21" customHeight="1"/>
    <row r="452" ht="21" customHeight="1"/>
    <row r="453" ht="21" customHeight="1"/>
    <row r="454" ht="21" customHeight="1"/>
    <row r="455" ht="21" customHeight="1"/>
    <row r="456" ht="21" customHeight="1"/>
    <row r="457" ht="21" customHeight="1"/>
    <row r="458" ht="21" customHeight="1"/>
    <row r="459" ht="21" customHeight="1"/>
    <row r="460" ht="21" customHeight="1"/>
    <row r="461" ht="21" customHeight="1"/>
    <row r="462" ht="21" customHeight="1"/>
    <row r="463" ht="21" customHeight="1"/>
    <row r="464" ht="21" customHeight="1"/>
    <row r="465" ht="21" customHeight="1"/>
    <row r="466" ht="21" customHeight="1"/>
    <row r="467" ht="21" customHeight="1"/>
    <row r="468" ht="21" customHeight="1"/>
    <row r="469" ht="21" customHeight="1"/>
    <row r="470" ht="21" customHeight="1"/>
    <row r="471" ht="21" customHeight="1"/>
    <row r="472" ht="21" customHeight="1"/>
    <row r="473" ht="21" customHeight="1"/>
    <row r="474" ht="21" customHeight="1"/>
    <row r="475" ht="21" customHeight="1"/>
    <row r="476" ht="21" customHeight="1"/>
    <row r="477" ht="21" customHeight="1"/>
    <row r="478" ht="21" customHeight="1"/>
    <row r="479" ht="21" customHeight="1"/>
    <row r="480" ht="21" customHeight="1"/>
    <row r="481" ht="21" customHeight="1"/>
    <row r="482" ht="21" customHeight="1"/>
    <row r="483" ht="21" customHeight="1"/>
    <row r="484" ht="21" customHeight="1"/>
    <row r="485" ht="21" customHeight="1"/>
    <row r="486" ht="21" customHeight="1"/>
    <row r="487" ht="21" customHeight="1"/>
    <row r="488" ht="21" customHeight="1"/>
    <row r="489" ht="21" customHeight="1"/>
    <row r="490" ht="21" customHeight="1"/>
    <row r="491" ht="21" customHeight="1"/>
    <row r="492" ht="21" customHeight="1"/>
    <row r="493" ht="21" customHeight="1"/>
    <row r="494" ht="21" customHeight="1"/>
    <row r="495" ht="21" customHeight="1"/>
    <row r="496" ht="21" customHeight="1"/>
    <row r="497" ht="21" customHeight="1"/>
    <row r="498" ht="21" customHeight="1"/>
    <row r="499" ht="21" customHeight="1"/>
    <row r="500" ht="21" customHeight="1"/>
    <row r="501" ht="21" customHeight="1"/>
    <row r="502" ht="21" customHeight="1"/>
    <row r="503" ht="21" customHeight="1"/>
    <row r="504" ht="21" customHeight="1"/>
    <row r="505" ht="21" customHeight="1"/>
    <row r="506" ht="21" customHeight="1"/>
    <row r="507" ht="21" customHeight="1"/>
    <row r="508" ht="21" customHeight="1"/>
    <row r="509" ht="21" customHeight="1"/>
    <row r="510" ht="21" customHeight="1"/>
    <row r="511" ht="21" customHeight="1"/>
    <row r="512" ht="21" customHeight="1"/>
    <row r="513" ht="21" customHeight="1"/>
    <row r="514" ht="21" customHeight="1"/>
    <row r="515" ht="21" customHeight="1"/>
    <row r="516" ht="21" customHeight="1"/>
    <row r="517" ht="21" customHeight="1"/>
    <row r="518" ht="21" customHeight="1"/>
    <row r="519" ht="21" customHeight="1"/>
    <row r="520" ht="21" customHeight="1"/>
    <row r="521" ht="21" customHeight="1"/>
    <row r="522" ht="21" customHeight="1"/>
    <row r="523" ht="21" customHeight="1"/>
    <row r="524" ht="21" customHeight="1"/>
    <row r="525" ht="21" customHeight="1"/>
    <row r="526" ht="21" customHeight="1"/>
    <row r="527" ht="21" customHeight="1"/>
    <row r="528" ht="21" customHeight="1"/>
    <row r="529" ht="21" customHeight="1"/>
    <row r="530" ht="21" customHeight="1"/>
    <row r="531" ht="21" customHeight="1"/>
    <row r="532" ht="21" customHeight="1"/>
    <row r="533" ht="21" customHeight="1"/>
    <row r="534" ht="21" customHeight="1"/>
    <row r="535" ht="21" customHeight="1"/>
    <row r="536" ht="21" customHeight="1"/>
    <row r="537" ht="21" customHeight="1"/>
    <row r="538" ht="21" customHeight="1"/>
    <row r="539" ht="21" customHeight="1"/>
    <row r="540" ht="21" customHeight="1"/>
    <row r="541" ht="21" customHeight="1"/>
    <row r="542" ht="21" customHeight="1"/>
    <row r="543" ht="21" customHeight="1"/>
    <row r="544" ht="21" customHeight="1"/>
    <row r="545" ht="21" customHeight="1"/>
    <row r="546" ht="21" customHeight="1"/>
    <row r="547" ht="21" customHeight="1"/>
    <row r="548" ht="21" customHeight="1"/>
    <row r="549" ht="21" customHeight="1"/>
    <row r="550" ht="21" customHeight="1"/>
    <row r="551" ht="21" customHeight="1"/>
    <row r="552" ht="21" customHeight="1"/>
    <row r="553" ht="21" customHeight="1"/>
    <row r="554" ht="21" customHeight="1"/>
    <row r="555" ht="21" customHeight="1"/>
    <row r="556" ht="21" customHeight="1"/>
    <row r="557" ht="21" customHeight="1"/>
    <row r="558" ht="21" customHeight="1"/>
    <row r="559" ht="21" customHeight="1"/>
    <row r="560" ht="21" customHeight="1"/>
    <row r="561" ht="21" customHeight="1"/>
    <row r="562" ht="21" customHeight="1"/>
    <row r="563" ht="21" customHeight="1"/>
    <row r="564" ht="21" customHeight="1"/>
    <row r="565" ht="21" customHeight="1"/>
    <row r="566" ht="21" customHeight="1"/>
    <row r="567" ht="21" customHeight="1"/>
    <row r="568" ht="21" customHeight="1"/>
    <row r="569" ht="21" customHeight="1"/>
    <row r="570" ht="21" customHeight="1"/>
    <row r="571" ht="21" customHeight="1"/>
    <row r="572" ht="21" customHeight="1"/>
    <row r="573" ht="21" customHeight="1"/>
    <row r="574" ht="21" customHeight="1"/>
    <row r="575" ht="21" customHeight="1"/>
    <row r="576" ht="21" customHeight="1"/>
    <row r="577" ht="21" customHeight="1"/>
    <row r="578" ht="21" customHeight="1"/>
    <row r="579" ht="21" customHeight="1"/>
    <row r="580" ht="21" customHeight="1"/>
    <row r="581" ht="21" customHeight="1"/>
    <row r="582" ht="21" customHeight="1"/>
    <row r="583" ht="21" customHeight="1"/>
    <row r="584" ht="21" customHeight="1"/>
    <row r="585" ht="21" customHeight="1"/>
    <row r="586" ht="21" customHeight="1"/>
    <row r="587" ht="21" customHeight="1"/>
    <row r="588" ht="21" customHeight="1"/>
    <row r="589" ht="21" customHeight="1"/>
    <row r="590" ht="21" customHeight="1"/>
    <row r="591" ht="21" customHeight="1"/>
    <row r="592" ht="21" customHeight="1"/>
    <row r="593" ht="21" customHeight="1"/>
    <row r="594" ht="21" customHeight="1"/>
    <row r="595" ht="21" customHeight="1"/>
    <row r="596" ht="21" customHeight="1"/>
    <row r="597" ht="21" customHeight="1"/>
    <row r="598" ht="21" customHeight="1"/>
    <row r="599" ht="21" customHeight="1"/>
    <row r="600" ht="21" customHeight="1"/>
  </sheetData>
  <sortState xmlns:xlrd2="http://schemas.microsoft.com/office/spreadsheetml/2017/richdata2" ref="A2:E19">
    <sortCondition descending="1" ref="C2"/>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P600"/>
  <sheetViews>
    <sheetView showGridLines="0" workbookViewId="0">
      <pane ySplit="1" topLeftCell="A2" activePane="bottomLeft" state="frozen"/>
      <selection pane="bottomLeft"/>
    </sheetView>
  </sheetViews>
  <sheetFormatPr defaultRowHeight="14.25"/>
  <cols>
    <col min="1" max="2" width="20" customWidth="1"/>
    <col min="3" max="3" width="39" customWidth="1"/>
    <col min="4" max="4" width="20" customWidth="1"/>
    <col min="5" max="5" width="59" customWidth="1"/>
    <col min="6" max="7" width="20" customWidth="1"/>
  </cols>
  <sheetData>
    <row r="1" spans="1:16" ht="21" customHeight="1">
      <c r="A1" s="6" t="s">
        <v>7</v>
      </c>
      <c r="B1" s="6" t="s">
        <v>8</v>
      </c>
      <c r="C1" s="6" t="s">
        <v>496</v>
      </c>
      <c r="D1" s="6" t="s">
        <v>9</v>
      </c>
      <c r="E1" s="6" t="s">
        <v>40</v>
      </c>
      <c r="F1" s="2"/>
      <c r="G1" s="2"/>
      <c r="H1" s="2"/>
      <c r="I1" s="2"/>
      <c r="J1" s="2"/>
      <c r="K1" s="2"/>
      <c r="L1" s="2"/>
      <c r="M1" s="2"/>
      <c r="N1" s="2"/>
      <c r="O1" s="2"/>
      <c r="P1" s="2"/>
    </row>
    <row r="2" spans="1:16" ht="21" customHeight="1">
      <c r="A2" s="2" t="s">
        <v>499</v>
      </c>
      <c r="B2" s="7">
        <v>-0.18068681913281881</v>
      </c>
      <c r="C2" s="2" t="s">
        <v>497</v>
      </c>
      <c r="D2" s="14">
        <v>46304</v>
      </c>
      <c r="E2" s="2" t="s">
        <v>498</v>
      </c>
      <c r="F2" s="2"/>
      <c r="G2" s="2"/>
      <c r="H2" s="2"/>
      <c r="I2" s="2"/>
      <c r="J2" s="2"/>
      <c r="K2" s="2"/>
      <c r="L2" s="2"/>
      <c r="M2" s="2"/>
      <c r="N2" s="2"/>
      <c r="O2" s="2"/>
      <c r="P2" s="2"/>
    </row>
    <row r="3" spans="1:16" ht="21" customHeight="1">
      <c r="A3" s="2"/>
      <c r="B3" s="7"/>
      <c r="C3" s="2"/>
      <c r="D3" s="14"/>
      <c r="E3" s="2"/>
      <c r="F3" s="2"/>
      <c r="G3" s="2"/>
      <c r="H3" s="2"/>
      <c r="I3" s="2"/>
      <c r="J3" s="2"/>
      <c r="K3" s="2"/>
      <c r="L3" s="2"/>
      <c r="M3" s="2"/>
      <c r="N3" s="2"/>
      <c r="O3" s="2"/>
      <c r="P3" s="2"/>
    </row>
    <row r="4" spans="1:16" ht="21" customHeight="1">
      <c r="A4" s="2"/>
      <c r="B4" s="7"/>
      <c r="C4" s="2"/>
      <c r="D4" s="14"/>
      <c r="E4" s="2"/>
      <c r="F4" s="2"/>
      <c r="G4" s="2"/>
      <c r="H4" s="2"/>
      <c r="I4" s="2"/>
      <c r="J4" s="2"/>
      <c r="K4" s="2"/>
      <c r="L4" s="2"/>
      <c r="M4" s="2"/>
      <c r="N4" s="2"/>
      <c r="O4" s="2"/>
      <c r="P4" s="2"/>
    </row>
    <row r="5" spans="1:16" ht="21" customHeight="1">
      <c r="A5" s="2"/>
      <c r="B5" s="7"/>
      <c r="C5" s="2"/>
      <c r="D5" s="14"/>
      <c r="E5" s="2"/>
      <c r="F5" s="2"/>
      <c r="G5" s="2"/>
      <c r="H5" s="2"/>
      <c r="I5" s="2"/>
      <c r="J5" s="2"/>
      <c r="K5" s="2"/>
      <c r="L5" s="2"/>
      <c r="M5" s="2"/>
      <c r="N5" s="2"/>
      <c r="O5" s="2"/>
      <c r="P5" s="2"/>
    </row>
    <row r="6" spans="1:16" ht="21" customHeight="1">
      <c r="A6" s="2"/>
      <c r="B6" s="7"/>
      <c r="C6" s="2"/>
      <c r="D6" s="14"/>
      <c r="E6" s="2"/>
      <c r="F6" s="2"/>
      <c r="G6" s="2"/>
      <c r="H6" s="2"/>
      <c r="I6" s="2"/>
      <c r="J6" s="2"/>
      <c r="K6" s="2"/>
      <c r="L6" s="2"/>
      <c r="M6" s="2"/>
      <c r="N6" s="2"/>
      <c r="O6" s="2"/>
      <c r="P6" s="2"/>
    </row>
    <row r="7" spans="1:16" ht="21" customHeight="1">
      <c r="A7" s="2"/>
      <c r="B7" s="7"/>
      <c r="C7" s="2"/>
      <c r="D7" s="14"/>
      <c r="E7" s="2"/>
      <c r="F7" s="2"/>
      <c r="G7" s="2"/>
      <c r="H7" s="2"/>
      <c r="I7" s="2"/>
      <c r="J7" s="2"/>
      <c r="K7" s="2"/>
      <c r="L7" s="2"/>
      <c r="M7" s="2"/>
      <c r="N7" s="2"/>
      <c r="O7" s="2"/>
      <c r="P7" s="2"/>
    </row>
    <row r="8" spans="1:16" ht="21" customHeight="1">
      <c r="A8" s="2"/>
      <c r="B8" s="7"/>
      <c r="C8" s="2"/>
      <c r="D8" s="14"/>
      <c r="E8" s="2"/>
      <c r="F8" s="2"/>
      <c r="G8" s="2"/>
      <c r="H8" s="2"/>
      <c r="I8" s="2"/>
      <c r="J8" s="2"/>
      <c r="K8" s="2"/>
      <c r="L8" s="2"/>
      <c r="M8" s="2"/>
      <c r="N8" s="2"/>
      <c r="O8" s="2"/>
      <c r="P8" s="2"/>
    </row>
    <row r="9" spans="1:16" ht="21" customHeight="1">
      <c r="A9" s="2"/>
      <c r="B9" s="7"/>
      <c r="C9" s="2"/>
      <c r="D9" s="14"/>
      <c r="E9" s="2"/>
      <c r="F9" s="2"/>
      <c r="G9" s="2"/>
      <c r="H9" s="2"/>
      <c r="I9" s="2"/>
      <c r="J9" s="2"/>
      <c r="K9" s="2"/>
      <c r="L9" s="2"/>
      <c r="M9" s="2"/>
      <c r="N9" s="2"/>
      <c r="O9" s="2"/>
      <c r="P9" s="2"/>
    </row>
    <row r="10" spans="1:16" ht="21" customHeight="1">
      <c r="A10" s="2"/>
      <c r="B10" s="7"/>
      <c r="C10" s="2"/>
      <c r="D10" s="14"/>
      <c r="E10" s="2"/>
      <c r="F10" s="2"/>
      <c r="G10" s="2"/>
      <c r="H10" s="2"/>
      <c r="I10" s="2"/>
      <c r="J10" s="2"/>
      <c r="K10" s="2"/>
      <c r="L10" s="2"/>
      <c r="M10" s="2"/>
      <c r="N10" s="2"/>
      <c r="O10" s="2"/>
      <c r="P10" s="2"/>
    </row>
    <row r="11" spans="1:16" ht="21" customHeight="1">
      <c r="A11" s="2"/>
      <c r="B11" s="7"/>
      <c r="C11" s="2"/>
      <c r="D11" s="14"/>
      <c r="E11" s="2"/>
      <c r="F11" s="2"/>
      <c r="G11" s="2"/>
      <c r="H11" s="2"/>
      <c r="I11" s="2"/>
      <c r="J11" s="2"/>
      <c r="K11" s="2"/>
      <c r="L11" s="2"/>
      <c r="M11" s="2"/>
      <c r="N11" s="2"/>
      <c r="O11" s="2"/>
      <c r="P11" s="2"/>
    </row>
    <row r="12" spans="1:16" ht="21" customHeight="1">
      <c r="A12" s="2"/>
      <c r="B12" s="7"/>
      <c r="C12" s="2"/>
      <c r="D12" s="14"/>
      <c r="E12" s="2"/>
      <c r="F12" s="2"/>
      <c r="G12" s="2"/>
      <c r="H12" s="2"/>
      <c r="I12" s="2"/>
      <c r="J12" s="2"/>
      <c r="K12" s="2"/>
      <c r="L12" s="2"/>
      <c r="M12" s="2"/>
      <c r="N12" s="2"/>
      <c r="O12" s="2"/>
      <c r="P12" s="2"/>
    </row>
    <row r="13" spans="1:16" ht="21" customHeight="1">
      <c r="A13" s="2"/>
      <c r="B13" s="7"/>
      <c r="C13" s="2"/>
      <c r="D13" s="14"/>
      <c r="E13" s="2"/>
      <c r="F13" s="2"/>
      <c r="G13" s="2"/>
      <c r="H13" s="2"/>
      <c r="I13" s="2"/>
      <c r="J13" s="2"/>
      <c r="K13" s="2"/>
      <c r="L13" s="2"/>
      <c r="M13" s="2"/>
      <c r="N13" s="2"/>
      <c r="O13" s="2"/>
      <c r="P13" s="2"/>
    </row>
    <row r="14" spans="1:16" ht="21" customHeight="1">
      <c r="A14" s="2"/>
      <c r="B14" s="7"/>
      <c r="C14" s="2"/>
      <c r="D14" s="2"/>
      <c r="E14" s="2"/>
      <c r="F14" s="2"/>
      <c r="G14" s="2"/>
      <c r="H14" s="2"/>
      <c r="I14" s="2"/>
      <c r="J14" s="2"/>
      <c r="K14" s="2"/>
      <c r="L14" s="2"/>
      <c r="M14" s="2"/>
      <c r="N14" s="2"/>
      <c r="O14" s="2"/>
      <c r="P14" s="2"/>
    </row>
    <row r="15" spans="1:16" ht="21" customHeight="1">
      <c r="A15" s="2"/>
      <c r="B15" s="7"/>
      <c r="C15" s="2"/>
      <c r="D15" s="2"/>
      <c r="E15" s="2"/>
      <c r="F15" s="2"/>
      <c r="G15" s="2"/>
      <c r="H15" s="2"/>
      <c r="I15" s="2"/>
      <c r="J15" s="2"/>
      <c r="K15" s="2"/>
      <c r="L15" s="2"/>
      <c r="M15" s="2"/>
      <c r="N15" s="2"/>
      <c r="O15" s="2"/>
      <c r="P15" s="2"/>
    </row>
    <row r="16" spans="1:16" ht="21" customHeight="1">
      <c r="A16" s="2"/>
      <c r="B16" s="7"/>
      <c r="C16" s="2"/>
      <c r="D16" s="2"/>
      <c r="E16" s="2"/>
      <c r="F16" s="2"/>
      <c r="G16" s="2"/>
      <c r="H16" s="2"/>
      <c r="I16" s="2"/>
      <c r="J16" s="2"/>
      <c r="K16" s="2"/>
      <c r="L16" s="2"/>
      <c r="M16" s="2"/>
      <c r="N16" s="2"/>
      <c r="O16" s="2"/>
      <c r="P16" s="2"/>
    </row>
    <row r="17" spans="1:16" ht="21" customHeight="1">
      <c r="A17" s="2"/>
      <c r="B17" s="7"/>
      <c r="C17" s="2"/>
      <c r="D17" s="2"/>
      <c r="E17" s="2"/>
      <c r="F17" s="2"/>
      <c r="G17" s="2"/>
      <c r="H17" s="2"/>
      <c r="I17" s="2"/>
      <c r="J17" s="2"/>
      <c r="K17" s="2"/>
      <c r="L17" s="2"/>
      <c r="M17" s="2"/>
      <c r="N17" s="2"/>
      <c r="O17" s="2"/>
      <c r="P17" s="2"/>
    </row>
    <row r="18" spans="1:16" ht="21" customHeight="1">
      <c r="A18" s="2"/>
      <c r="B18" s="7"/>
      <c r="C18" s="2"/>
      <c r="D18" s="2"/>
      <c r="E18" s="2"/>
      <c r="F18" s="2"/>
      <c r="G18" s="2"/>
      <c r="H18" s="2"/>
      <c r="I18" s="2"/>
      <c r="J18" s="2"/>
      <c r="K18" s="2"/>
      <c r="L18" s="2"/>
      <c r="M18" s="2"/>
      <c r="N18" s="2"/>
      <c r="O18" s="2"/>
      <c r="P18" s="2"/>
    </row>
    <row r="19" spans="1:16" ht="21" customHeight="1">
      <c r="A19" s="2"/>
      <c r="B19" s="7"/>
      <c r="C19" s="2"/>
      <c r="D19" s="2"/>
      <c r="E19" s="2"/>
      <c r="F19" s="2"/>
      <c r="G19" s="2"/>
      <c r="H19" s="2"/>
      <c r="I19" s="2"/>
      <c r="J19" s="2"/>
      <c r="K19" s="2"/>
      <c r="L19" s="2"/>
      <c r="M19" s="2"/>
      <c r="N19" s="2"/>
      <c r="O19" s="2"/>
      <c r="P19" s="2"/>
    </row>
    <row r="20" spans="1:16" ht="21" customHeight="1">
      <c r="A20" s="2"/>
      <c r="B20" s="7"/>
      <c r="C20" s="2"/>
      <c r="D20" s="2"/>
      <c r="E20" s="2"/>
      <c r="F20" s="2"/>
      <c r="G20" s="2"/>
      <c r="H20" s="2"/>
      <c r="I20" s="2"/>
      <c r="J20" s="2"/>
      <c r="K20" s="2"/>
      <c r="L20" s="2"/>
      <c r="M20" s="2"/>
      <c r="N20" s="2"/>
      <c r="O20" s="2"/>
      <c r="P20" s="2"/>
    </row>
    <row r="21" spans="1:16" ht="21" customHeight="1">
      <c r="A21" s="2"/>
      <c r="B21" s="7"/>
      <c r="C21" s="2"/>
      <c r="D21" s="2"/>
      <c r="E21" s="2"/>
      <c r="F21" s="2"/>
      <c r="G21" s="2"/>
      <c r="H21" s="2"/>
      <c r="I21" s="2"/>
      <c r="J21" s="2"/>
      <c r="K21" s="2"/>
      <c r="L21" s="2"/>
      <c r="M21" s="2"/>
      <c r="N21" s="2"/>
      <c r="O21" s="2"/>
      <c r="P21" s="2"/>
    </row>
    <row r="22" spans="1:16" ht="21" customHeight="1">
      <c r="A22" s="2"/>
      <c r="B22" s="7"/>
      <c r="C22" s="2"/>
      <c r="D22" s="2"/>
      <c r="E22" s="2"/>
      <c r="F22" s="2"/>
      <c r="G22" s="2"/>
      <c r="H22" s="2"/>
      <c r="I22" s="2"/>
      <c r="J22" s="2"/>
      <c r="K22" s="2"/>
      <c r="L22" s="2"/>
      <c r="M22" s="2"/>
      <c r="N22" s="2"/>
      <c r="O22" s="2"/>
      <c r="P22" s="2"/>
    </row>
    <row r="23" spans="1:16" ht="21" customHeight="1">
      <c r="A23" s="2"/>
      <c r="B23" s="7"/>
      <c r="C23" s="2"/>
      <c r="D23" s="2"/>
      <c r="E23" s="2"/>
      <c r="F23" s="2"/>
      <c r="G23" s="2"/>
      <c r="H23" s="2"/>
      <c r="I23" s="2"/>
      <c r="J23" s="2"/>
      <c r="K23" s="2"/>
      <c r="L23" s="2"/>
      <c r="M23" s="2"/>
      <c r="N23" s="2"/>
      <c r="O23" s="2"/>
      <c r="P23" s="2"/>
    </row>
    <row r="24" spans="1:16" ht="21" customHeight="1">
      <c r="A24" s="2"/>
      <c r="B24" s="7"/>
      <c r="C24" s="2"/>
      <c r="D24" s="2"/>
      <c r="E24" s="2"/>
      <c r="F24" s="2"/>
      <c r="G24" s="2"/>
      <c r="H24" s="2"/>
      <c r="I24" s="2"/>
      <c r="J24" s="2"/>
      <c r="K24" s="2"/>
      <c r="L24" s="2"/>
      <c r="M24" s="2"/>
      <c r="N24" s="2"/>
      <c r="O24" s="2"/>
      <c r="P24" s="2"/>
    </row>
    <row r="25" spans="1:16" ht="21" customHeight="1">
      <c r="A25" s="2"/>
      <c r="B25" s="7"/>
      <c r="C25" s="2"/>
      <c r="D25" s="2"/>
      <c r="E25" s="2"/>
      <c r="F25" s="2"/>
      <c r="G25" s="2"/>
      <c r="H25" s="2"/>
      <c r="I25" s="2"/>
      <c r="J25" s="2"/>
      <c r="K25" s="2"/>
      <c r="L25" s="2"/>
      <c r="M25" s="2"/>
      <c r="N25" s="2"/>
      <c r="O25" s="2"/>
      <c r="P25" s="2"/>
    </row>
    <row r="26" spans="1:16" ht="21" customHeight="1">
      <c r="A26" s="2"/>
      <c r="B26" s="7"/>
      <c r="C26" s="2"/>
      <c r="D26" s="2"/>
      <c r="E26" s="2"/>
      <c r="F26" s="2"/>
      <c r="G26" s="2"/>
      <c r="H26" s="2"/>
      <c r="I26" s="2"/>
      <c r="J26" s="2"/>
      <c r="K26" s="2"/>
      <c r="L26" s="2"/>
      <c r="M26" s="2"/>
      <c r="N26" s="2"/>
      <c r="O26" s="2"/>
      <c r="P26" s="2"/>
    </row>
    <row r="27" spans="1:16" ht="21" customHeight="1">
      <c r="A27" s="2"/>
      <c r="B27" s="7"/>
      <c r="C27" s="2"/>
      <c r="D27" s="2"/>
      <c r="E27" s="2"/>
      <c r="F27" s="2"/>
      <c r="G27" s="2"/>
      <c r="H27" s="2"/>
      <c r="I27" s="2"/>
      <c r="J27" s="2"/>
      <c r="K27" s="2"/>
      <c r="L27" s="2"/>
      <c r="M27" s="2"/>
      <c r="N27" s="2"/>
      <c r="O27" s="2"/>
      <c r="P27" s="2"/>
    </row>
    <row r="28" spans="1:16" ht="21" customHeight="1">
      <c r="A28" s="2"/>
      <c r="B28" s="7"/>
      <c r="C28" s="2"/>
      <c r="D28" s="2"/>
      <c r="E28" s="2"/>
      <c r="F28" s="2"/>
      <c r="G28" s="2"/>
      <c r="H28" s="2"/>
      <c r="I28" s="2"/>
      <c r="J28" s="2"/>
      <c r="K28" s="2"/>
      <c r="L28" s="2"/>
      <c r="M28" s="2"/>
      <c r="N28" s="2"/>
      <c r="O28" s="2"/>
      <c r="P28" s="2"/>
    </row>
    <row r="29" spans="1:16" ht="21" customHeight="1">
      <c r="A29" s="2"/>
      <c r="B29" s="7"/>
      <c r="C29" s="2"/>
      <c r="D29" s="2"/>
      <c r="E29" s="2"/>
      <c r="F29" s="2"/>
      <c r="G29" s="2"/>
      <c r="H29" s="2"/>
      <c r="I29" s="2"/>
      <c r="J29" s="2"/>
      <c r="K29" s="2"/>
      <c r="L29" s="2"/>
      <c r="M29" s="2"/>
      <c r="N29" s="2"/>
      <c r="O29" s="2"/>
      <c r="P29" s="2"/>
    </row>
    <row r="30" spans="1:16" ht="21" customHeight="1">
      <c r="A30" s="2"/>
      <c r="B30" s="7"/>
      <c r="C30" s="2"/>
      <c r="D30" s="2"/>
      <c r="E30" s="2"/>
      <c r="F30" s="2"/>
      <c r="G30" s="2"/>
      <c r="H30" s="2"/>
      <c r="I30" s="2"/>
      <c r="J30" s="2"/>
      <c r="K30" s="2"/>
      <c r="L30" s="2"/>
      <c r="M30" s="2"/>
      <c r="N30" s="2"/>
      <c r="O30" s="2"/>
      <c r="P30" s="2"/>
    </row>
    <row r="31" spans="1:16" ht="21" customHeight="1">
      <c r="A31" s="2"/>
      <c r="B31" s="2"/>
      <c r="C31" s="2"/>
      <c r="D31" s="2"/>
      <c r="E31" s="2"/>
      <c r="F31" s="2"/>
      <c r="G31" s="2"/>
      <c r="H31" s="2"/>
      <c r="I31" s="2"/>
      <c r="J31" s="2"/>
      <c r="K31" s="2"/>
      <c r="L31" s="2"/>
      <c r="M31" s="2"/>
      <c r="N31" s="2"/>
      <c r="O31" s="2"/>
      <c r="P31" s="2"/>
    </row>
    <row r="32" spans="1:16" ht="21" customHeight="1">
      <c r="A32" s="2"/>
      <c r="B32" s="2"/>
      <c r="C32" s="2"/>
      <c r="D32" s="2"/>
      <c r="E32" s="2"/>
      <c r="F32" s="2"/>
      <c r="G32" s="2"/>
      <c r="H32" s="2"/>
      <c r="I32" s="2"/>
      <c r="J32" s="2"/>
      <c r="K32" s="2"/>
      <c r="L32" s="2"/>
      <c r="M32" s="2"/>
      <c r="N32" s="2"/>
      <c r="O32" s="2"/>
      <c r="P32" s="2"/>
    </row>
    <row r="33" spans="1:16" ht="21" customHeight="1">
      <c r="A33" s="2"/>
      <c r="B33" s="2"/>
      <c r="C33" s="2"/>
      <c r="D33" s="2"/>
      <c r="E33" s="2"/>
      <c r="F33" s="2"/>
      <c r="G33" s="2"/>
      <c r="H33" s="2"/>
      <c r="I33" s="2"/>
      <c r="J33" s="2"/>
      <c r="K33" s="2"/>
      <c r="L33" s="2"/>
      <c r="M33" s="2"/>
      <c r="N33" s="2"/>
      <c r="O33" s="2"/>
      <c r="P33" s="2"/>
    </row>
    <row r="34" spans="1:16" ht="21" customHeight="1">
      <c r="A34" s="2"/>
      <c r="B34" s="2"/>
      <c r="C34" s="2"/>
      <c r="D34" s="2"/>
      <c r="E34" s="2"/>
      <c r="F34" s="2"/>
      <c r="G34" s="2"/>
      <c r="H34" s="2"/>
      <c r="I34" s="2"/>
      <c r="J34" s="2"/>
      <c r="K34" s="2"/>
      <c r="L34" s="2"/>
      <c r="M34" s="2"/>
      <c r="N34" s="2"/>
      <c r="O34" s="2"/>
      <c r="P34" s="2"/>
    </row>
    <row r="35" spans="1:16" ht="21" customHeight="1">
      <c r="A35" s="2"/>
      <c r="B35" s="2"/>
      <c r="C35" s="2"/>
      <c r="D35" s="2"/>
      <c r="E35" s="2"/>
      <c r="F35" s="2"/>
      <c r="G35" s="2"/>
      <c r="H35" s="2"/>
      <c r="I35" s="2"/>
      <c r="J35" s="2"/>
      <c r="K35" s="2"/>
      <c r="L35" s="2"/>
      <c r="M35" s="2"/>
      <c r="N35" s="2"/>
      <c r="O35" s="2"/>
      <c r="P35" s="2"/>
    </row>
    <row r="36" spans="1:16" ht="21" customHeight="1">
      <c r="A36" s="2"/>
      <c r="B36" s="2"/>
      <c r="C36" s="2"/>
      <c r="D36" s="2"/>
      <c r="E36" s="2"/>
      <c r="F36" s="2"/>
      <c r="G36" s="2"/>
      <c r="H36" s="2"/>
      <c r="I36" s="2"/>
      <c r="J36" s="2"/>
      <c r="K36" s="2"/>
      <c r="L36" s="2"/>
      <c r="M36" s="2"/>
      <c r="N36" s="2"/>
      <c r="O36" s="2"/>
      <c r="P36" s="2"/>
    </row>
    <row r="37" spans="1:16" ht="21" customHeight="1">
      <c r="A37" s="2"/>
      <c r="B37" s="2"/>
      <c r="C37" s="2"/>
      <c r="D37" s="2"/>
      <c r="E37" s="2"/>
      <c r="F37" s="2"/>
      <c r="G37" s="2"/>
      <c r="H37" s="2"/>
      <c r="I37" s="2"/>
      <c r="J37" s="2"/>
      <c r="K37" s="2"/>
      <c r="L37" s="2"/>
      <c r="M37" s="2"/>
      <c r="N37" s="2"/>
      <c r="O37" s="2"/>
      <c r="P37" s="2"/>
    </row>
    <row r="38" spans="1:16" ht="21" customHeight="1">
      <c r="A38" s="2"/>
      <c r="B38" s="2"/>
      <c r="C38" s="2"/>
      <c r="D38" s="2"/>
      <c r="E38" s="2"/>
      <c r="F38" s="2"/>
      <c r="G38" s="2"/>
      <c r="H38" s="2"/>
      <c r="I38" s="2"/>
      <c r="J38" s="2"/>
      <c r="K38" s="2"/>
      <c r="L38" s="2"/>
      <c r="M38" s="2"/>
      <c r="N38" s="2"/>
      <c r="O38" s="2"/>
      <c r="P38" s="2"/>
    </row>
    <row r="39" spans="1:16" ht="21" customHeight="1">
      <c r="A39" s="2"/>
      <c r="B39" s="2"/>
      <c r="C39" s="2"/>
      <c r="D39" s="2"/>
      <c r="E39" s="2"/>
      <c r="F39" s="2"/>
      <c r="G39" s="2"/>
      <c r="H39" s="2"/>
      <c r="I39" s="2"/>
      <c r="J39" s="2"/>
      <c r="K39" s="2"/>
      <c r="L39" s="2"/>
      <c r="M39" s="2"/>
      <c r="N39" s="2"/>
      <c r="O39" s="2"/>
      <c r="P39" s="2"/>
    </row>
    <row r="40" spans="1:16" ht="21" customHeight="1">
      <c r="A40" s="2"/>
      <c r="B40" s="2"/>
      <c r="C40" s="2"/>
      <c r="D40" s="2"/>
      <c r="E40" s="2"/>
      <c r="F40" s="2"/>
      <c r="G40" s="2"/>
      <c r="H40" s="2"/>
      <c r="I40" s="2"/>
      <c r="J40" s="2"/>
      <c r="K40" s="2"/>
      <c r="L40" s="2"/>
      <c r="M40" s="2"/>
      <c r="N40" s="2"/>
      <c r="O40" s="2"/>
      <c r="P40" s="2"/>
    </row>
    <row r="41" spans="1:16" ht="21" customHeight="1">
      <c r="A41" s="2"/>
      <c r="B41" s="2"/>
      <c r="C41" s="2"/>
      <c r="D41" s="2"/>
      <c r="E41" s="2"/>
      <c r="F41" s="2"/>
      <c r="G41" s="2"/>
      <c r="H41" s="2"/>
      <c r="I41" s="2"/>
      <c r="J41" s="2"/>
      <c r="K41" s="2"/>
      <c r="L41" s="2"/>
      <c r="M41" s="2"/>
      <c r="N41" s="2"/>
      <c r="O41" s="2"/>
      <c r="P41" s="2"/>
    </row>
    <row r="42" spans="1:16" ht="21" customHeight="1">
      <c r="A42" s="2"/>
      <c r="B42" s="2"/>
      <c r="C42" s="2"/>
      <c r="D42" s="2"/>
      <c r="E42" s="2"/>
      <c r="F42" s="2"/>
      <c r="G42" s="2"/>
      <c r="H42" s="2"/>
      <c r="I42" s="2"/>
      <c r="J42" s="2"/>
      <c r="K42" s="2"/>
      <c r="L42" s="2"/>
      <c r="M42" s="2"/>
      <c r="N42" s="2"/>
      <c r="O42" s="2"/>
      <c r="P42" s="2"/>
    </row>
    <row r="43" spans="1:16" ht="21" customHeight="1">
      <c r="A43" s="2"/>
      <c r="B43" s="2"/>
      <c r="C43" s="2"/>
      <c r="D43" s="2"/>
      <c r="E43" s="2"/>
      <c r="F43" s="2"/>
      <c r="G43" s="2"/>
      <c r="H43" s="2"/>
      <c r="I43" s="2"/>
      <c r="J43" s="2"/>
      <c r="K43" s="2"/>
      <c r="L43" s="2"/>
      <c r="M43" s="2"/>
      <c r="N43" s="2"/>
      <c r="O43" s="2"/>
      <c r="P43" s="2"/>
    </row>
    <row r="44" spans="1:16" ht="21" customHeight="1">
      <c r="A44" s="2"/>
      <c r="B44" s="2"/>
      <c r="C44" s="2"/>
      <c r="D44" s="2"/>
      <c r="E44" s="2"/>
      <c r="F44" s="2"/>
      <c r="G44" s="2"/>
      <c r="H44" s="2"/>
      <c r="I44" s="2"/>
      <c r="J44" s="2"/>
      <c r="K44" s="2"/>
      <c r="L44" s="2"/>
      <c r="M44" s="2"/>
      <c r="N44" s="2"/>
      <c r="O44" s="2"/>
      <c r="P44" s="2"/>
    </row>
    <row r="45" spans="1:16" ht="21" customHeight="1">
      <c r="A45" s="2"/>
      <c r="B45" s="2"/>
      <c r="C45" s="2"/>
      <c r="D45" s="2"/>
      <c r="E45" s="2"/>
      <c r="F45" s="2"/>
      <c r="G45" s="2"/>
      <c r="H45" s="2"/>
      <c r="I45" s="2"/>
      <c r="J45" s="2"/>
      <c r="K45" s="2"/>
      <c r="L45" s="2"/>
      <c r="M45" s="2"/>
      <c r="N45" s="2"/>
      <c r="O45" s="2"/>
      <c r="P45" s="2"/>
    </row>
    <row r="46" spans="1:16" ht="21" customHeight="1">
      <c r="A46" s="2"/>
      <c r="B46" s="2"/>
      <c r="C46" s="2"/>
      <c r="D46" s="2"/>
      <c r="E46" s="2"/>
      <c r="F46" s="2"/>
      <c r="G46" s="2"/>
      <c r="H46" s="2"/>
      <c r="I46" s="2"/>
      <c r="J46" s="2"/>
      <c r="K46" s="2"/>
      <c r="L46" s="2"/>
      <c r="M46" s="2"/>
      <c r="N46" s="2"/>
      <c r="O46" s="2"/>
      <c r="P46" s="2"/>
    </row>
    <row r="47" spans="1:16" ht="21" customHeight="1">
      <c r="A47" s="2"/>
      <c r="B47" s="2"/>
      <c r="C47" s="2"/>
      <c r="D47" s="2"/>
      <c r="E47" s="2"/>
      <c r="F47" s="2"/>
      <c r="G47" s="2"/>
      <c r="H47" s="2"/>
      <c r="I47" s="2"/>
      <c r="J47" s="2"/>
      <c r="K47" s="2"/>
      <c r="L47" s="2"/>
      <c r="M47" s="2"/>
      <c r="N47" s="2"/>
      <c r="O47" s="2"/>
      <c r="P47" s="2"/>
    </row>
    <row r="48" spans="1:16" ht="21" customHeight="1">
      <c r="A48" s="2"/>
      <c r="B48" s="2"/>
      <c r="C48" s="2"/>
      <c r="D48" s="2"/>
      <c r="E48" s="2"/>
      <c r="F48" s="2"/>
      <c r="G48" s="2"/>
      <c r="H48" s="2"/>
      <c r="I48" s="2"/>
      <c r="J48" s="2"/>
      <c r="K48" s="2"/>
      <c r="L48" s="2"/>
      <c r="M48" s="2"/>
      <c r="N48" s="2"/>
      <c r="O48" s="2"/>
      <c r="P48" s="2"/>
    </row>
    <row r="49" spans="1:16" ht="21" customHeight="1">
      <c r="A49" s="2"/>
      <c r="B49" s="2"/>
      <c r="C49" s="2"/>
      <c r="D49" s="2"/>
      <c r="E49" s="2"/>
      <c r="F49" s="2"/>
      <c r="G49" s="2"/>
      <c r="H49" s="2"/>
      <c r="I49" s="2"/>
      <c r="J49" s="2"/>
      <c r="K49" s="2"/>
      <c r="L49" s="2"/>
      <c r="M49" s="2"/>
      <c r="N49" s="2"/>
      <c r="O49" s="2"/>
      <c r="P49" s="2"/>
    </row>
    <row r="50" spans="1:16" ht="21" customHeight="1">
      <c r="A50" s="2"/>
      <c r="B50" s="2"/>
      <c r="C50" s="2"/>
      <c r="D50" s="2"/>
      <c r="E50" s="2"/>
      <c r="F50" s="2"/>
      <c r="G50" s="2"/>
      <c r="H50" s="2"/>
      <c r="I50" s="2"/>
      <c r="J50" s="2"/>
      <c r="K50" s="2"/>
      <c r="L50" s="2"/>
      <c r="M50" s="2"/>
      <c r="N50" s="2"/>
      <c r="O50" s="2"/>
      <c r="P50" s="2"/>
    </row>
    <row r="51" spans="1:16" ht="21" customHeight="1">
      <c r="A51" s="2"/>
      <c r="B51" s="2"/>
      <c r="C51" s="2"/>
      <c r="D51" s="2"/>
      <c r="E51" s="2"/>
      <c r="F51" s="2"/>
      <c r="G51" s="2"/>
      <c r="H51" s="2"/>
      <c r="I51" s="2"/>
      <c r="J51" s="2"/>
      <c r="K51" s="2"/>
      <c r="L51" s="2"/>
      <c r="M51" s="2"/>
      <c r="N51" s="2"/>
      <c r="O51" s="2"/>
      <c r="P51" s="2"/>
    </row>
    <row r="52" spans="1:16" ht="21" customHeight="1">
      <c r="A52" s="2"/>
      <c r="B52" s="2"/>
      <c r="C52" s="2"/>
      <c r="D52" s="2"/>
      <c r="E52" s="2"/>
      <c r="F52" s="2"/>
      <c r="G52" s="2"/>
      <c r="H52" s="2"/>
      <c r="I52" s="2"/>
      <c r="J52" s="2"/>
      <c r="K52" s="2"/>
      <c r="L52" s="2"/>
      <c r="M52" s="2"/>
      <c r="N52" s="2"/>
      <c r="O52" s="2"/>
      <c r="P52" s="2"/>
    </row>
    <row r="53" spans="1:16" ht="21" customHeight="1">
      <c r="A53" s="2"/>
      <c r="B53" s="2"/>
      <c r="C53" s="2"/>
      <c r="D53" s="2"/>
      <c r="E53" s="2"/>
      <c r="F53" s="2"/>
      <c r="G53" s="2"/>
      <c r="H53" s="2"/>
      <c r="I53" s="2"/>
      <c r="J53" s="2"/>
      <c r="K53" s="2"/>
      <c r="L53" s="2"/>
      <c r="M53" s="2"/>
      <c r="N53" s="2"/>
      <c r="O53" s="2"/>
      <c r="P53" s="2"/>
    </row>
    <row r="54" spans="1:16" ht="21" customHeight="1">
      <c r="A54" s="2"/>
      <c r="B54" s="2"/>
      <c r="C54" s="2"/>
      <c r="D54" s="2"/>
      <c r="E54" s="2"/>
      <c r="F54" s="2"/>
      <c r="G54" s="2"/>
      <c r="H54" s="2"/>
      <c r="I54" s="2"/>
      <c r="J54" s="2"/>
      <c r="K54" s="2"/>
      <c r="L54" s="2"/>
      <c r="M54" s="2"/>
      <c r="N54" s="2"/>
      <c r="O54" s="2"/>
      <c r="P54" s="2"/>
    </row>
    <row r="55" spans="1:16" ht="21" customHeight="1">
      <c r="A55" s="2"/>
      <c r="B55" s="2"/>
      <c r="C55" s="2"/>
      <c r="D55" s="2"/>
      <c r="E55" s="2"/>
      <c r="F55" s="2"/>
      <c r="G55" s="2"/>
      <c r="H55" s="2"/>
      <c r="I55" s="2"/>
      <c r="J55" s="2"/>
      <c r="K55" s="2"/>
      <c r="L55" s="2"/>
      <c r="M55" s="2"/>
      <c r="N55" s="2"/>
      <c r="O55" s="2"/>
      <c r="P55" s="2"/>
    </row>
    <row r="56" spans="1:16" ht="21" customHeight="1">
      <c r="A56" s="2"/>
      <c r="B56" s="2"/>
      <c r="C56" s="2"/>
      <c r="D56" s="2"/>
      <c r="E56" s="2"/>
      <c r="F56" s="2"/>
      <c r="G56" s="2"/>
      <c r="H56" s="2"/>
      <c r="I56" s="2"/>
      <c r="J56" s="2"/>
      <c r="K56" s="2"/>
      <c r="L56" s="2"/>
      <c r="M56" s="2"/>
      <c r="N56" s="2"/>
      <c r="O56" s="2"/>
      <c r="P56" s="2"/>
    </row>
    <row r="57" spans="1:16" ht="21" customHeight="1">
      <c r="A57" s="2"/>
      <c r="B57" s="2"/>
      <c r="C57" s="2"/>
      <c r="D57" s="2"/>
      <c r="E57" s="2"/>
      <c r="F57" s="2"/>
      <c r="G57" s="2"/>
      <c r="H57" s="2"/>
      <c r="I57" s="2"/>
      <c r="J57" s="2"/>
      <c r="K57" s="2"/>
      <c r="L57" s="2"/>
      <c r="M57" s="2"/>
      <c r="N57" s="2"/>
      <c r="O57" s="2"/>
      <c r="P57" s="2"/>
    </row>
    <row r="58" spans="1:16" ht="21" customHeight="1">
      <c r="A58" s="2"/>
      <c r="B58" s="2"/>
      <c r="C58" s="2"/>
      <c r="D58" s="2"/>
      <c r="E58" s="2"/>
      <c r="F58" s="2"/>
      <c r="G58" s="2"/>
      <c r="H58" s="2"/>
      <c r="I58" s="2"/>
      <c r="J58" s="2"/>
      <c r="K58" s="2"/>
      <c r="L58" s="2"/>
      <c r="M58" s="2"/>
      <c r="N58" s="2"/>
      <c r="O58" s="2"/>
      <c r="P58" s="2"/>
    </row>
    <row r="59" spans="1:16" ht="21" customHeight="1">
      <c r="A59" s="2"/>
      <c r="B59" s="2"/>
      <c r="C59" s="2"/>
      <c r="D59" s="2"/>
      <c r="E59" s="2"/>
      <c r="F59" s="2"/>
      <c r="G59" s="2"/>
      <c r="H59" s="2"/>
      <c r="I59" s="2"/>
      <c r="J59" s="2"/>
      <c r="K59" s="2"/>
      <c r="L59" s="2"/>
      <c r="M59" s="2"/>
      <c r="N59" s="2"/>
      <c r="O59" s="2"/>
      <c r="P59" s="2"/>
    </row>
    <row r="60" spans="1:16" ht="21" customHeight="1">
      <c r="A60" s="2"/>
      <c r="B60" s="2"/>
      <c r="C60" s="2"/>
      <c r="D60" s="2"/>
      <c r="E60" s="2"/>
      <c r="F60" s="2"/>
      <c r="G60" s="2"/>
      <c r="H60" s="2"/>
      <c r="I60" s="2"/>
      <c r="J60" s="2"/>
      <c r="K60" s="2"/>
      <c r="L60" s="2"/>
      <c r="M60" s="2"/>
      <c r="N60" s="2"/>
      <c r="O60" s="2"/>
      <c r="P60" s="2"/>
    </row>
    <row r="61" spans="1:16" ht="21" customHeight="1">
      <c r="A61" s="2"/>
      <c r="B61" s="2"/>
      <c r="C61" s="2"/>
      <c r="D61" s="2"/>
      <c r="E61" s="2"/>
      <c r="F61" s="2"/>
      <c r="G61" s="2"/>
      <c r="H61" s="2"/>
      <c r="I61" s="2"/>
      <c r="J61" s="2"/>
      <c r="K61" s="2"/>
      <c r="L61" s="2"/>
      <c r="M61" s="2"/>
      <c r="N61" s="2"/>
      <c r="O61" s="2"/>
      <c r="P61" s="2"/>
    </row>
    <row r="62" spans="1:16" ht="21" customHeight="1">
      <c r="A62" s="2"/>
      <c r="B62" s="2"/>
      <c r="C62" s="2"/>
      <c r="D62" s="2"/>
      <c r="E62" s="2"/>
      <c r="F62" s="2"/>
      <c r="G62" s="2"/>
      <c r="H62" s="2"/>
      <c r="I62" s="2"/>
      <c r="J62" s="2"/>
      <c r="K62" s="2"/>
      <c r="L62" s="2"/>
      <c r="M62" s="2"/>
      <c r="N62" s="2"/>
      <c r="O62" s="2"/>
      <c r="P62" s="2"/>
    </row>
    <row r="63" spans="1:16" ht="21" customHeight="1">
      <c r="A63" s="2"/>
      <c r="B63" s="2"/>
      <c r="C63" s="2"/>
      <c r="D63" s="2"/>
      <c r="E63" s="2"/>
      <c r="F63" s="2"/>
      <c r="G63" s="2"/>
      <c r="H63" s="2"/>
      <c r="I63" s="2"/>
      <c r="J63" s="2"/>
      <c r="K63" s="2"/>
      <c r="L63" s="2"/>
      <c r="M63" s="2"/>
      <c r="N63" s="2"/>
      <c r="O63" s="2"/>
      <c r="P63" s="2"/>
    </row>
    <row r="64" spans="1:16" ht="21" customHeight="1">
      <c r="A64" s="2"/>
      <c r="B64" s="2"/>
      <c r="C64" s="2"/>
      <c r="D64" s="2"/>
      <c r="E64" s="2"/>
      <c r="F64" s="2"/>
      <c r="G64" s="2"/>
      <c r="H64" s="2"/>
      <c r="I64" s="2"/>
      <c r="J64" s="2"/>
      <c r="K64" s="2"/>
      <c r="L64" s="2"/>
      <c r="M64" s="2"/>
      <c r="N64" s="2"/>
      <c r="O64" s="2"/>
      <c r="P64" s="2"/>
    </row>
    <row r="65" spans="1:16" ht="21" customHeight="1">
      <c r="A65" s="2"/>
      <c r="B65" s="2"/>
      <c r="C65" s="2"/>
      <c r="D65" s="2"/>
      <c r="E65" s="2"/>
      <c r="F65" s="2"/>
      <c r="G65" s="2"/>
      <c r="H65" s="2"/>
      <c r="I65" s="2"/>
      <c r="J65" s="2"/>
      <c r="K65" s="2"/>
      <c r="L65" s="2"/>
      <c r="M65" s="2"/>
      <c r="N65" s="2"/>
      <c r="O65" s="2"/>
      <c r="P65" s="2"/>
    </row>
    <row r="66" spans="1:16" ht="21" customHeight="1">
      <c r="A66" s="2"/>
      <c r="B66" s="2"/>
      <c r="C66" s="2"/>
      <c r="D66" s="2"/>
      <c r="E66" s="2"/>
      <c r="F66" s="2"/>
      <c r="G66" s="2"/>
      <c r="H66" s="2"/>
      <c r="I66" s="2"/>
      <c r="J66" s="2"/>
      <c r="K66" s="2"/>
      <c r="L66" s="2"/>
      <c r="M66" s="2"/>
      <c r="N66" s="2"/>
      <c r="O66" s="2"/>
      <c r="P66" s="2"/>
    </row>
    <row r="67" spans="1:16" ht="21" customHeight="1">
      <c r="A67" s="2"/>
      <c r="B67" s="2"/>
      <c r="C67" s="2"/>
      <c r="D67" s="2"/>
      <c r="E67" s="2"/>
      <c r="F67" s="2"/>
      <c r="G67" s="2"/>
      <c r="H67" s="2"/>
      <c r="I67" s="2"/>
      <c r="J67" s="2"/>
      <c r="K67" s="2"/>
      <c r="L67" s="2"/>
      <c r="M67" s="2"/>
      <c r="N67" s="2"/>
      <c r="O67" s="2"/>
      <c r="P67" s="2"/>
    </row>
    <row r="68" spans="1:16" ht="21" customHeight="1">
      <c r="A68" s="2"/>
      <c r="B68" s="2"/>
      <c r="C68" s="2"/>
      <c r="D68" s="2"/>
      <c r="E68" s="2"/>
      <c r="F68" s="2"/>
      <c r="G68" s="2"/>
      <c r="H68" s="2"/>
      <c r="I68" s="2"/>
      <c r="J68" s="2"/>
      <c r="K68" s="2"/>
      <c r="L68" s="2"/>
      <c r="M68" s="2"/>
      <c r="N68" s="2"/>
      <c r="O68" s="2"/>
      <c r="P68" s="2"/>
    </row>
    <row r="69" spans="1:16" ht="21" customHeight="1">
      <c r="A69" s="2"/>
      <c r="B69" s="2"/>
      <c r="C69" s="2"/>
      <c r="D69" s="2"/>
      <c r="E69" s="2"/>
      <c r="F69" s="2"/>
      <c r="G69" s="2"/>
      <c r="H69" s="2"/>
      <c r="I69" s="2"/>
      <c r="J69" s="2"/>
      <c r="K69" s="2"/>
      <c r="L69" s="2"/>
      <c r="M69" s="2"/>
      <c r="N69" s="2"/>
      <c r="O69" s="2"/>
      <c r="P69" s="2"/>
    </row>
    <row r="70" spans="1:16" ht="21" customHeight="1">
      <c r="A70" s="2"/>
      <c r="B70" s="2"/>
      <c r="C70" s="2"/>
      <c r="D70" s="2"/>
      <c r="E70" s="2"/>
      <c r="F70" s="2"/>
      <c r="G70" s="2"/>
      <c r="H70" s="2"/>
      <c r="I70" s="2"/>
      <c r="J70" s="2"/>
      <c r="K70" s="2"/>
      <c r="L70" s="2"/>
      <c r="M70" s="2"/>
      <c r="N70" s="2"/>
      <c r="O70" s="2"/>
      <c r="P70" s="2"/>
    </row>
    <row r="71" spans="1:16" ht="21" customHeight="1">
      <c r="A71" s="2"/>
      <c r="B71" s="2"/>
      <c r="C71" s="2"/>
      <c r="D71" s="2"/>
      <c r="E71" s="2"/>
      <c r="F71" s="2"/>
      <c r="G71" s="2"/>
      <c r="H71" s="2"/>
      <c r="I71" s="2"/>
      <c r="J71" s="2"/>
      <c r="K71" s="2"/>
      <c r="L71" s="2"/>
      <c r="M71" s="2"/>
      <c r="N71" s="2"/>
      <c r="O71" s="2"/>
      <c r="P71" s="2"/>
    </row>
    <row r="72" spans="1:16" ht="21" customHeight="1">
      <c r="A72" s="2"/>
      <c r="B72" s="2"/>
      <c r="C72" s="2"/>
      <c r="D72" s="2"/>
      <c r="E72" s="2"/>
      <c r="F72" s="2"/>
      <c r="G72" s="2"/>
      <c r="H72" s="2"/>
      <c r="I72" s="2"/>
      <c r="J72" s="2"/>
      <c r="K72" s="2"/>
      <c r="L72" s="2"/>
      <c r="M72" s="2"/>
      <c r="N72" s="2"/>
      <c r="O72" s="2"/>
      <c r="P72" s="2"/>
    </row>
    <row r="73" spans="1:16" ht="21" customHeight="1">
      <c r="A73" s="2"/>
      <c r="B73" s="2"/>
      <c r="C73" s="2"/>
      <c r="D73" s="2"/>
      <c r="E73" s="2"/>
      <c r="F73" s="2"/>
      <c r="G73" s="2"/>
      <c r="H73" s="2"/>
      <c r="I73" s="2"/>
      <c r="J73" s="2"/>
      <c r="K73" s="2"/>
      <c r="L73" s="2"/>
      <c r="M73" s="2"/>
      <c r="N73" s="2"/>
      <c r="O73" s="2"/>
      <c r="P73" s="2"/>
    </row>
    <row r="74" spans="1:16" ht="21" customHeight="1">
      <c r="A74" s="2"/>
      <c r="B74" s="2"/>
      <c r="C74" s="2"/>
      <c r="D74" s="2"/>
      <c r="E74" s="2"/>
      <c r="F74" s="2"/>
      <c r="G74" s="2"/>
      <c r="H74" s="2"/>
      <c r="I74" s="2"/>
      <c r="J74" s="2"/>
      <c r="K74" s="2"/>
      <c r="L74" s="2"/>
      <c r="M74" s="2"/>
      <c r="N74" s="2"/>
      <c r="O74" s="2"/>
      <c r="P74" s="2"/>
    </row>
    <row r="75" spans="1:16" ht="21" customHeight="1">
      <c r="A75" s="2"/>
      <c r="B75" s="2"/>
      <c r="C75" s="2"/>
      <c r="D75" s="2"/>
      <c r="E75" s="2"/>
      <c r="F75" s="2"/>
      <c r="G75" s="2"/>
      <c r="H75" s="2"/>
      <c r="I75" s="2"/>
      <c r="J75" s="2"/>
      <c r="K75" s="2"/>
      <c r="L75" s="2"/>
      <c r="M75" s="2"/>
      <c r="N75" s="2"/>
      <c r="O75" s="2"/>
      <c r="P75" s="2"/>
    </row>
    <row r="76" spans="1:16" ht="21" customHeight="1">
      <c r="A76" s="2"/>
      <c r="B76" s="2"/>
      <c r="C76" s="2"/>
      <c r="D76" s="2"/>
      <c r="E76" s="2"/>
      <c r="F76" s="2"/>
      <c r="G76" s="2"/>
      <c r="H76" s="2"/>
      <c r="I76" s="2"/>
      <c r="J76" s="2"/>
      <c r="K76" s="2"/>
      <c r="L76" s="2"/>
      <c r="M76" s="2"/>
      <c r="N76" s="2"/>
      <c r="O76" s="2"/>
      <c r="P76" s="2"/>
    </row>
    <row r="77" spans="1:16" ht="21" customHeight="1">
      <c r="A77" s="2"/>
      <c r="B77" s="2"/>
      <c r="C77" s="2"/>
      <c r="D77" s="2"/>
      <c r="E77" s="2"/>
      <c r="F77" s="2"/>
      <c r="G77" s="2"/>
      <c r="H77" s="2"/>
      <c r="I77" s="2"/>
      <c r="J77" s="2"/>
      <c r="K77" s="2"/>
      <c r="L77" s="2"/>
      <c r="M77" s="2"/>
      <c r="N77" s="2"/>
      <c r="O77" s="2"/>
      <c r="P77" s="2"/>
    </row>
    <row r="78" spans="1:16" ht="21" customHeight="1">
      <c r="A78" s="2"/>
      <c r="B78" s="2"/>
      <c r="C78" s="2"/>
      <c r="D78" s="2"/>
      <c r="E78" s="2"/>
      <c r="F78" s="2"/>
      <c r="G78" s="2"/>
      <c r="H78" s="2"/>
      <c r="I78" s="2"/>
      <c r="J78" s="2"/>
      <c r="K78" s="2"/>
      <c r="L78" s="2"/>
      <c r="M78" s="2"/>
      <c r="N78" s="2"/>
      <c r="O78" s="2"/>
      <c r="P78" s="2"/>
    </row>
    <row r="79" spans="1:16" ht="21" customHeight="1">
      <c r="A79" s="2"/>
      <c r="B79" s="2"/>
      <c r="C79" s="2"/>
      <c r="D79" s="2"/>
      <c r="E79" s="2"/>
      <c r="F79" s="2"/>
      <c r="G79" s="2"/>
      <c r="H79" s="2"/>
      <c r="I79" s="2"/>
      <c r="J79" s="2"/>
      <c r="K79" s="2"/>
      <c r="L79" s="2"/>
      <c r="M79" s="2"/>
      <c r="N79" s="2"/>
      <c r="O79" s="2"/>
      <c r="P79" s="2"/>
    </row>
    <row r="80" spans="1:16" ht="21" customHeight="1">
      <c r="A80" s="2"/>
      <c r="B80" s="2"/>
      <c r="C80" s="2"/>
      <c r="D80" s="2"/>
      <c r="E80" s="2"/>
      <c r="F80" s="2"/>
      <c r="G80" s="2"/>
      <c r="H80" s="2"/>
      <c r="I80" s="2"/>
      <c r="J80" s="2"/>
      <c r="K80" s="2"/>
      <c r="L80" s="2"/>
      <c r="M80" s="2"/>
      <c r="N80" s="2"/>
      <c r="O80" s="2"/>
      <c r="P80" s="2"/>
    </row>
    <row r="81" spans="1:16" ht="21" customHeight="1">
      <c r="A81" s="2"/>
      <c r="B81" s="2"/>
      <c r="C81" s="2"/>
      <c r="D81" s="2"/>
      <c r="E81" s="2"/>
      <c r="F81" s="2"/>
      <c r="G81" s="2"/>
      <c r="H81" s="2"/>
      <c r="I81" s="2"/>
      <c r="J81" s="2"/>
      <c r="K81" s="2"/>
      <c r="L81" s="2"/>
      <c r="M81" s="2"/>
      <c r="N81" s="2"/>
      <c r="O81" s="2"/>
      <c r="P81" s="2"/>
    </row>
    <row r="82" spans="1:16" ht="21" customHeight="1">
      <c r="A82" s="2"/>
      <c r="B82" s="2"/>
      <c r="C82" s="2"/>
      <c r="D82" s="2"/>
      <c r="E82" s="2"/>
      <c r="F82" s="2"/>
      <c r="G82" s="2"/>
      <c r="H82" s="2"/>
      <c r="I82" s="2"/>
      <c r="J82" s="2"/>
      <c r="K82" s="2"/>
      <c r="L82" s="2"/>
      <c r="M82" s="2"/>
      <c r="N82" s="2"/>
      <c r="O82" s="2"/>
      <c r="P82" s="2"/>
    </row>
    <row r="83" spans="1:16" ht="21" customHeight="1">
      <c r="A83" s="2"/>
      <c r="B83" s="2"/>
      <c r="C83" s="2"/>
      <c r="D83" s="2"/>
      <c r="E83" s="2"/>
      <c r="F83" s="2"/>
      <c r="G83" s="2"/>
      <c r="H83" s="2"/>
      <c r="I83" s="2"/>
      <c r="J83" s="2"/>
      <c r="K83" s="2"/>
      <c r="L83" s="2"/>
      <c r="M83" s="2"/>
      <c r="N83" s="2"/>
      <c r="O83" s="2"/>
      <c r="P83" s="2"/>
    </row>
    <row r="84" spans="1:16" ht="21" customHeight="1">
      <c r="A84" s="2"/>
      <c r="B84" s="2"/>
      <c r="C84" s="2"/>
      <c r="D84" s="2"/>
      <c r="E84" s="2"/>
      <c r="F84" s="2"/>
      <c r="G84" s="2"/>
      <c r="H84" s="2"/>
      <c r="I84" s="2"/>
      <c r="J84" s="2"/>
      <c r="K84" s="2"/>
      <c r="L84" s="2"/>
      <c r="M84" s="2"/>
      <c r="N84" s="2"/>
      <c r="O84" s="2"/>
      <c r="P84" s="2"/>
    </row>
    <row r="85" spans="1:16" ht="21" customHeight="1">
      <c r="A85" s="2"/>
      <c r="B85" s="2"/>
      <c r="C85" s="2"/>
      <c r="D85" s="2"/>
      <c r="E85" s="2"/>
      <c r="F85" s="2"/>
      <c r="G85" s="2"/>
      <c r="H85" s="2"/>
      <c r="I85" s="2"/>
      <c r="J85" s="2"/>
      <c r="K85" s="2"/>
      <c r="L85" s="2"/>
      <c r="M85" s="2"/>
      <c r="N85" s="2"/>
      <c r="O85" s="2"/>
      <c r="P85" s="2"/>
    </row>
    <row r="86" spans="1:16" ht="21" customHeight="1">
      <c r="A86" s="2"/>
      <c r="B86" s="2"/>
      <c r="C86" s="2"/>
      <c r="D86" s="2"/>
      <c r="E86" s="2"/>
      <c r="F86" s="2"/>
      <c r="G86" s="2"/>
      <c r="H86" s="2"/>
      <c r="I86" s="2"/>
      <c r="J86" s="2"/>
      <c r="K86" s="2"/>
      <c r="L86" s="2"/>
      <c r="M86" s="2"/>
      <c r="N86" s="2"/>
      <c r="O86" s="2"/>
      <c r="P86" s="2"/>
    </row>
    <row r="87" spans="1:16" ht="21" customHeight="1">
      <c r="A87" s="2"/>
      <c r="B87" s="2"/>
      <c r="C87" s="2"/>
      <c r="D87" s="2"/>
      <c r="E87" s="2"/>
      <c r="F87" s="2"/>
      <c r="G87" s="2"/>
      <c r="H87" s="2"/>
      <c r="I87" s="2"/>
      <c r="J87" s="2"/>
      <c r="K87" s="2"/>
      <c r="L87" s="2"/>
      <c r="M87" s="2"/>
      <c r="N87" s="2"/>
      <c r="O87" s="2"/>
      <c r="P87" s="2"/>
    </row>
    <row r="88" spans="1:16" ht="21" customHeight="1">
      <c r="A88" s="2"/>
      <c r="B88" s="2"/>
      <c r="C88" s="2"/>
      <c r="D88" s="2"/>
      <c r="E88" s="2"/>
      <c r="F88" s="2"/>
      <c r="G88" s="2"/>
      <c r="H88" s="2"/>
      <c r="I88" s="2"/>
      <c r="J88" s="2"/>
      <c r="K88" s="2"/>
      <c r="L88" s="2"/>
      <c r="M88" s="2"/>
      <c r="N88" s="2"/>
      <c r="O88" s="2"/>
      <c r="P88" s="2"/>
    </row>
    <row r="89" spans="1:16" ht="21" customHeight="1">
      <c r="A89" s="2"/>
      <c r="B89" s="2"/>
      <c r="C89" s="2"/>
      <c r="D89" s="2"/>
      <c r="E89" s="2"/>
      <c r="F89" s="2"/>
      <c r="G89" s="2"/>
      <c r="H89" s="2"/>
      <c r="I89" s="2"/>
      <c r="J89" s="2"/>
      <c r="K89" s="2"/>
      <c r="L89" s="2"/>
      <c r="M89" s="2"/>
      <c r="N89" s="2"/>
      <c r="O89" s="2"/>
      <c r="P89" s="2"/>
    </row>
    <row r="90" spans="1:16" ht="21" customHeight="1">
      <c r="A90" s="2"/>
      <c r="B90" s="2"/>
      <c r="C90" s="2"/>
      <c r="D90" s="2"/>
      <c r="E90" s="2"/>
      <c r="F90" s="2"/>
      <c r="G90" s="2"/>
      <c r="H90" s="2"/>
      <c r="I90" s="2"/>
      <c r="J90" s="2"/>
      <c r="K90" s="2"/>
      <c r="L90" s="2"/>
      <c r="M90" s="2"/>
      <c r="N90" s="2"/>
      <c r="O90" s="2"/>
      <c r="P90" s="2"/>
    </row>
    <row r="91" spans="1:16" ht="21" customHeight="1">
      <c r="A91" s="2"/>
      <c r="B91" s="2"/>
      <c r="C91" s="2"/>
      <c r="D91" s="2"/>
      <c r="E91" s="2"/>
      <c r="F91" s="2"/>
      <c r="G91" s="2"/>
      <c r="H91" s="2"/>
      <c r="I91" s="2"/>
      <c r="J91" s="2"/>
      <c r="K91" s="2"/>
      <c r="L91" s="2"/>
      <c r="M91" s="2"/>
      <c r="N91" s="2"/>
      <c r="O91" s="2"/>
      <c r="P91" s="2"/>
    </row>
    <row r="92" spans="1:16" ht="21" customHeight="1">
      <c r="A92" s="2"/>
      <c r="B92" s="2"/>
      <c r="C92" s="2"/>
      <c r="D92" s="2"/>
      <c r="E92" s="2"/>
      <c r="F92" s="2"/>
      <c r="G92" s="2"/>
      <c r="H92" s="2"/>
      <c r="I92" s="2"/>
      <c r="J92" s="2"/>
      <c r="K92" s="2"/>
      <c r="L92" s="2"/>
      <c r="M92" s="2"/>
      <c r="N92" s="2"/>
      <c r="O92" s="2"/>
      <c r="P92" s="2"/>
    </row>
    <row r="93" spans="1:16" ht="21" customHeight="1">
      <c r="A93" s="2"/>
      <c r="B93" s="2"/>
      <c r="C93" s="2"/>
      <c r="D93" s="2"/>
      <c r="E93" s="2"/>
      <c r="F93" s="2"/>
      <c r="G93" s="2"/>
      <c r="H93" s="2"/>
      <c r="I93" s="2"/>
      <c r="J93" s="2"/>
      <c r="K93" s="2"/>
      <c r="L93" s="2"/>
      <c r="M93" s="2"/>
      <c r="N93" s="2"/>
      <c r="O93" s="2"/>
      <c r="P93" s="2"/>
    </row>
    <row r="94" spans="1:16" ht="21" customHeight="1">
      <c r="A94" s="2"/>
      <c r="B94" s="2"/>
      <c r="C94" s="2"/>
      <c r="D94" s="2"/>
      <c r="E94" s="2"/>
      <c r="F94" s="2"/>
      <c r="G94" s="2"/>
      <c r="H94" s="2"/>
      <c r="I94" s="2"/>
      <c r="J94" s="2"/>
      <c r="K94" s="2"/>
      <c r="L94" s="2"/>
      <c r="M94" s="2"/>
      <c r="N94" s="2"/>
      <c r="O94" s="2"/>
      <c r="P94" s="2"/>
    </row>
    <row r="95" spans="1:16" ht="21" customHeight="1">
      <c r="A95" s="2"/>
      <c r="B95" s="2"/>
      <c r="C95" s="2"/>
      <c r="D95" s="2"/>
      <c r="E95" s="2"/>
      <c r="F95" s="2"/>
      <c r="G95" s="2"/>
      <c r="H95" s="2"/>
      <c r="I95" s="2"/>
      <c r="J95" s="2"/>
      <c r="K95" s="2"/>
      <c r="L95" s="2"/>
      <c r="M95" s="2"/>
      <c r="N95" s="2"/>
      <c r="O95" s="2"/>
      <c r="P95" s="2"/>
    </row>
    <row r="96" spans="1:16" ht="21" customHeight="1">
      <c r="A96" s="2"/>
      <c r="B96" s="2"/>
      <c r="C96" s="2"/>
      <c r="D96" s="2"/>
      <c r="E96" s="2"/>
      <c r="F96" s="2"/>
      <c r="G96" s="2"/>
      <c r="H96" s="2"/>
      <c r="I96" s="2"/>
      <c r="J96" s="2"/>
      <c r="K96" s="2"/>
      <c r="L96" s="2"/>
      <c r="M96" s="2"/>
      <c r="N96" s="2"/>
      <c r="O96" s="2"/>
      <c r="P96" s="2"/>
    </row>
    <row r="97" spans="1:16" ht="21" customHeight="1">
      <c r="A97" s="2"/>
      <c r="B97" s="2"/>
      <c r="C97" s="2"/>
      <c r="D97" s="2"/>
      <c r="E97" s="2"/>
      <c r="F97" s="2"/>
      <c r="G97" s="2"/>
      <c r="H97" s="2"/>
      <c r="I97" s="2"/>
      <c r="J97" s="2"/>
      <c r="K97" s="2"/>
      <c r="L97" s="2"/>
      <c r="M97" s="2"/>
      <c r="N97" s="2"/>
      <c r="O97" s="2"/>
      <c r="P97" s="2"/>
    </row>
    <row r="98" spans="1:16" ht="21" customHeight="1">
      <c r="A98" s="2"/>
      <c r="B98" s="2"/>
      <c r="C98" s="2"/>
      <c r="D98" s="2"/>
      <c r="E98" s="2"/>
      <c r="F98" s="2"/>
      <c r="G98" s="2"/>
      <c r="H98" s="2"/>
      <c r="I98" s="2"/>
      <c r="J98" s="2"/>
      <c r="K98" s="2"/>
      <c r="L98" s="2"/>
      <c r="M98" s="2"/>
      <c r="N98" s="2"/>
      <c r="O98" s="2"/>
      <c r="P98" s="2"/>
    </row>
    <row r="99" spans="1:16" ht="21" customHeight="1">
      <c r="A99" s="2"/>
      <c r="B99" s="2"/>
      <c r="C99" s="2"/>
      <c r="D99" s="2"/>
      <c r="E99" s="2"/>
      <c r="F99" s="2"/>
      <c r="G99" s="2"/>
      <c r="H99" s="2"/>
      <c r="I99" s="2"/>
      <c r="J99" s="2"/>
      <c r="K99" s="2"/>
      <c r="L99" s="2"/>
      <c r="M99" s="2"/>
      <c r="N99" s="2"/>
      <c r="O99" s="2"/>
      <c r="P99" s="2"/>
    </row>
    <row r="100" spans="1:16" ht="21" customHeight="1">
      <c r="A100" s="2"/>
      <c r="B100" s="2"/>
      <c r="C100" s="2"/>
      <c r="D100" s="2"/>
      <c r="E100" s="2"/>
      <c r="F100" s="2"/>
      <c r="G100" s="2"/>
      <c r="H100" s="2"/>
      <c r="I100" s="2"/>
      <c r="J100" s="2"/>
      <c r="K100" s="2"/>
      <c r="L100" s="2"/>
      <c r="M100" s="2"/>
      <c r="N100" s="2"/>
      <c r="O100" s="2"/>
      <c r="P100" s="2"/>
    </row>
    <row r="101" spans="1:16" ht="21" customHeight="1">
      <c r="A101" s="2"/>
      <c r="B101" s="2"/>
      <c r="C101" s="2"/>
      <c r="D101" s="2"/>
      <c r="E101" s="2"/>
      <c r="F101" s="2"/>
      <c r="G101" s="2"/>
      <c r="H101" s="2"/>
      <c r="I101" s="2"/>
      <c r="J101" s="2"/>
      <c r="K101" s="2"/>
      <c r="L101" s="2"/>
      <c r="M101" s="2"/>
      <c r="N101" s="2"/>
      <c r="O101" s="2"/>
      <c r="P101" s="2"/>
    </row>
    <row r="102" spans="1:16" ht="21" customHeight="1">
      <c r="A102" s="2"/>
      <c r="B102" s="2"/>
      <c r="C102" s="2"/>
      <c r="D102" s="2"/>
      <c r="E102" s="2"/>
      <c r="F102" s="2"/>
      <c r="G102" s="2"/>
      <c r="H102" s="2"/>
      <c r="I102" s="2"/>
      <c r="J102" s="2"/>
      <c r="K102" s="2"/>
      <c r="L102" s="2"/>
      <c r="M102" s="2"/>
      <c r="N102" s="2"/>
      <c r="O102" s="2"/>
      <c r="P102" s="2"/>
    </row>
    <row r="103" spans="1:16" ht="21" customHeight="1">
      <c r="A103" s="2"/>
      <c r="B103" s="2"/>
      <c r="C103" s="2"/>
      <c r="D103" s="2"/>
      <c r="E103" s="2"/>
      <c r="F103" s="2"/>
      <c r="G103" s="2"/>
      <c r="H103" s="2"/>
      <c r="I103" s="2"/>
      <c r="J103" s="2"/>
      <c r="K103" s="2"/>
      <c r="L103" s="2"/>
      <c r="M103" s="2"/>
      <c r="N103" s="2"/>
      <c r="O103" s="2"/>
      <c r="P103" s="2"/>
    </row>
    <row r="104" spans="1:16" ht="21" customHeight="1">
      <c r="A104" s="2"/>
      <c r="B104" s="2"/>
      <c r="C104" s="2"/>
      <c r="D104" s="2"/>
      <c r="E104" s="2"/>
      <c r="F104" s="2"/>
      <c r="G104" s="2"/>
      <c r="H104" s="2"/>
      <c r="I104" s="2"/>
      <c r="J104" s="2"/>
      <c r="K104" s="2"/>
      <c r="L104" s="2"/>
      <c r="M104" s="2"/>
      <c r="N104" s="2"/>
      <c r="O104" s="2"/>
      <c r="P104" s="2"/>
    </row>
    <row r="105" spans="1:16" ht="21" customHeight="1">
      <c r="A105" s="2"/>
      <c r="B105" s="2"/>
      <c r="C105" s="2"/>
      <c r="D105" s="2"/>
      <c r="E105" s="2"/>
      <c r="F105" s="2"/>
      <c r="G105" s="2"/>
      <c r="H105" s="2"/>
      <c r="I105" s="2"/>
      <c r="J105" s="2"/>
      <c r="K105" s="2"/>
      <c r="L105" s="2"/>
      <c r="M105" s="2"/>
      <c r="N105" s="2"/>
      <c r="O105" s="2"/>
      <c r="P105" s="2"/>
    </row>
    <row r="106" spans="1:16" ht="21" customHeight="1">
      <c r="A106" s="2"/>
      <c r="B106" s="2"/>
      <c r="C106" s="2"/>
      <c r="D106" s="2"/>
      <c r="E106" s="2"/>
      <c r="F106" s="2"/>
      <c r="G106" s="2"/>
      <c r="H106" s="2"/>
      <c r="I106" s="2"/>
      <c r="J106" s="2"/>
      <c r="K106" s="2"/>
      <c r="L106" s="2"/>
      <c r="M106" s="2"/>
      <c r="N106" s="2"/>
      <c r="O106" s="2"/>
      <c r="P106" s="2"/>
    </row>
    <row r="107" spans="1:16" ht="21" customHeight="1">
      <c r="A107" s="2"/>
      <c r="B107" s="2"/>
      <c r="C107" s="2"/>
      <c r="D107" s="2"/>
      <c r="E107" s="2"/>
      <c r="F107" s="2"/>
      <c r="G107" s="2"/>
      <c r="H107" s="2"/>
      <c r="I107" s="2"/>
      <c r="J107" s="2"/>
      <c r="K107" s="2"/>
      <c r="L107" s="2"/>
      <c r="M107" s="2"/>
      <c r="N107" s="2"/>
      <c r="O107" s="2"/>
      <c r="P107" s="2"/>
    </row>
    <row r="108" spans="1:16" ht="21" customHeight="1">
      <c r="A108" s="2"/>
      <c r="B108" s="2"/>
      <c r="C108" s="2"/>
      <c r="D108" s="2"/>
      <c r="E108" s="2"/>
      <c r="F108" s="2"/>
      <c r="G108" s="2"/>
      <c r="H108" s="2"/>
      <c r="I108" s="2"/>
      <c r="J108" s="2"/>
      <c r="K108" s="2"/>
      <c r="L108" s="2"/>
      <c r="M108" s="2"/>
      <c r="N108" s="2"/>
      <c r="O108" s="2"/>
      <c r="P108" s="2"/>
    </row>
    <row r="109" spans="1:16" ht="21" customHeight="1">
      <c r="A109" s="2"/>
      <c r="B109" s="2"/>
      <c r="C109" s="2"/>
      <c r="D109" s="2"/>
      <c r="E109" s="2"/>
      <c r="F109" s="2"/>
      <c r="G109" s="2"/>
      <c r="H109" s="2"/>
      <c r="I109" s="2"/>
      <c r="J109" s="2"/>
      <c r="K109" s="2"/>
      <c r="L109" s="2"/>
      <c r="M109" s="2"/>
      <c r="N109" s="2"/>
      <c r="O109" s="2"/>
      <c r="P109" s="2"/>
    </row>
    <row r="110" spans="1:16" ht="21" customHeight="1">
      <c r="A110" s="2"/>
      <c r="B110" s="2"/>
      <c r="C110" s="2"/>
      <c r="D110" s="2"/>
      <c r="E110" s="2"/>
      <c r="F110" s="2"/>
      <c r="G110" s="2"/>
      <c r="H110" s="2"/>
      <c r="I110" s="2"/>
      <c r="J110" s="2"/>
      <c r="K110" s="2"/>
      <c r="L110" s="2"/>
      <c r="M110" s="2"/>
      <c r="N110" s="2"/>
      <c r="O110" s="2"/>
      <c r="P110" s="2"/>
    </row>
    <row r="111" spans="1:16" ht="21" customHeight="1">
      <c r="A111" s="2"/>
      <c r="B111" s="2"/>
      <c r="C111" s="2"/>
      <c r="D111" s="2"/>
      <c r="E111" s="2"/>
      <c r="F111" s="2"/>
      <c r="G111" s="2"/>
      <c r="H111" s="2"/>
      <c r="I111" s="2"/>
      <c r="J111" s="2"/>
      <c r="K111" s="2"/>
      <c r="L111" s="2"/>
      <c r="M111" s="2"/>
      <c r="N111" s="2"/>
      <c r="O111" s="2"/>
      <c r="P111" s="2"/>
    </row>
    <row r="112" spans="1:16" ht="21" customHeight="1">
      <c r="A112" s="2"/>
      <c r="B112" s="2"/>
      <c r="C112" s="2"/>
      <c r="D112" s="2"/>
      <c r="E112" s="2"/>
      <c r="F112" s="2"/>
      <c r="G112" s="2"/>
      <c r="H112" s="2"/>
      <c r="I112" s="2"/>
      <c r="J112" s="2"/>
      <c r="K112" s="2"/>
      <c r="L112" s="2"/>
      <c r="M112" s="2"/>
      <c r="N112" s="2"/>
      <c r="O112" s="2"/>
      <c r="P112" s="2"/>
    </row>
    <row r="113" spans="1:16" ht="21" customHeight="1">
      <c r="A113" s="2"/>
      <c r="B113" s="2"/>
      <c r="C113" s="2"/>
      <c r="D113" s="2"/>
      <c r="E113" s="2"/>
      <c r="F113" s="2"/>
      <c r="G113" s="2"/>
      <c r="H113" s="2"/>
      <c r="I113" s="2"/>
      <c r="J113" s="2"/>
      <c r="K113" s="2"/>
      <c r="L113" s="2"/>
      <c r="M113" s="2"/>
      <c r="N113" s="2"/>
      <c r="O113" s="2"/>
      <c r="P113" s="2"/>
    </row>
    <row r="114" spans="1:16" ht="21" customHeight="1">
      <c r="A114" s="2"/>
      <c r="B114" s="2"/>
      <c r="C114" s="2"/>
      <c r="D114" s="2"/>
      <c r="E114" s="2"/>
      <c r="F114" s="2"/>
      <c r="G114" s="2"/>
      <c r="H114" s="2"/>
      <c r="I114" s="2"/>
      <c r="J114" s="2"/>
      <c r="K114" s="2"/>
      <c r="L114" s="2"/>
      <c r="M114" s="2"/>
      <c r="N114" s="2"/>
      <c r="O114" s="2"/>
      <c r="P114" s="2"/>
    </row>
    <row r="115" spans="1:16" ht="21" customHeight="1">
      <c r="A115" s="2"/>
      <c r="B115" s="2"/>
      <c r="C115" s="2"/>
      <c r="D115" s="2"/>
      <c r="E115" s="2"/>
      <c r="F115" s="2"/>
      <c r="G115" s="2"/>
      <c r="H115" s="2"/>
      <c r="I115" s="2"/>
      <c r="J115" s="2"/>
      <c r="K115" s="2"/>
      <c r="L115" s="2"/>
      <c r="M115" s="2"/>
      <c r="N115" s="2"/>
      <c r="O115" s="2"/>
      <c r="P115" s="2"/>
    </row>
    <row r="116" spans="1:16" ht="21" customHeight="1">
      <c r="A116" s="2"/>
      <c r="B116" s="2"/>
      <c r="C116" s="2"/>
      <c r="D116" s="2"/>
      <c r="E116" s="2"/>
      <c r="F116" s="2"/>
      <c r="G116" s="2"/>
      <c r="H116" s="2"/>
      <c r="I116" s="2"/>
      <c r="J116" s="2"/>
      <c r="K116" s="2"/>
      <c r="L116" s="2"/>
      <c r="M116" s="2"/>
      <c r="N116" s="2"/>
      <c r="O116" s="2"/>
      <c r="P116" s="2"/>
    </row>
    <row r="117" spans="1:16" ht="21" customHeight="1">
      <c r="A117" s="2"/>
      <c r="B117" s="2"/>
      <c r="C117" s="2"/>
      <c r="D117" s="2"/>
      <c r="E117" s="2"/>
      <c r="F117" s="2"/>
      <c r="G117" s="2"/>
      <c r="H117" s="2"/>
      <c r="I117" s="2"/>
      <c r="J117" s="2"/>
      <c r="K117" s="2"/>
      <c r="L117" s="2"/>
      <c r="M117" s="2"/>
      <c r="N117" s="2"/>
      <c r="O117" s="2"/>
      <c r="P117" s="2"/>
    </row>
    <row r="118" spans="1:16" ht="21" customHeight="1">
      <c r="A118" s="2"/>
      <c r="B118" s="2"/>
      <c r="C118" s="2"/>
      <c r="D118" s="2"/>
      <c r="E118" s="2"/>
      <c r="F118" s="2"/>
      <c r="G118" s="2"/>
      <c r="H118" s="2"/>
      <c r="I118" s="2"/>
      <c r="J118" s="2"/>
      <c r="K118" s="2"/>
      <c r="L118" s="2"/>
      <c r="M118" s="2"/>
      <c r="N118" s="2"/>
      <c r="O118" s="2"/>
      <c r="P118" s="2"/>
    </row>
    <row r="119" spans="1:16" ht="21" customHeight="1">
      <c r="A119" s="2"/>
      <c r="B119" s="2"/>
      <c r="C119" s="2"/>
      <c r="D119" s="2"/>
      <c r="E119" s="2"/>
      <c r="F119" s="2"/>
      <c r="G119" s="2"/>
      <c r="H119" s="2"/>
      <c r="I119" s="2"/>
      <c r="J119" s="2"/>
      <c r="K119" s="2"/>
      <c r="L119" s="2"/>
      <c r="M119" s="2"/>
      <c r="N119" s="2"/>
      <c r="O119" s="2"/>
      <c r="P119" s="2"/>
    </row>
    <row r="120" spans="1:16" ht="21" customHeight="1">
      <c r="A120" s="2"/>
      <c r="B120" s="2"/>
      <c r="C120" s="2"/>
      <c r="D120" s="2"/>
      <c r="E120" s="2"/>
      <c r="F120" s="2"/>
      <c r="G120" s="2"/>
      <c r="H120" s="2"/>
      <c r="I120" s="2"/>
      <c r="J120" s="2"/>
      <c r="K120" s="2"/>
      <c r="L120" s="2"/>
      <c r="M120" s="2"/>
      <c r="N120" s="2"/>
      <c r="O120" s="2"/>
      <c r="P120" s="2"/>
    </row>
    <row r="121" spans="1:16" ht="21" customHeight="1"/>
    <row r="122" spans="1:16" ht="21" customHeight="1"/>
    <row r="123" spans="1:16" ht="21" customHeight="1"/>
    <row r="124" spans="1:16" ht="21" customHeight="1"/>
    <row r="125" spans="1:16" ht="21" customHeight="1"/>
    <row r="126" spans="1:16" ht="21" customHeight="1"/>
    <row r="127" spans="1:16" ht="21" customHeight="1"/>
    <row r="128" spans="1:16" ht="21" customHeight="1"/>
    <row r="129" ht="21" customHeight="1"/>
    <row r="130" ht="21" customHeight="1"/>
    <row r="131" ht="21" customHeight="1"/>
    <row r="132" ht="21" customHeight="1"/>
    <row r="133" ht="21" customHeight="1"/>
    <row r="134" ht="21" customHeight="1"/>
    <row r="135" ht="21" customHeight="1"/>
    <row r="136" ht="21" customHeight="1"/>
    <row r="137" ht="21" customHeight="1"/>
    <row r="138" ht="21" customHeight="1"/>
    <row r="139" ht="21" customHeight="1"/>
    <row r="140" ht="21" customHeight="1"/>
    <row r="141" ht="21" customHeight="1"/>
    <row r="142" ht="21" customHeight="1"/>
    <row r="143" ht="21" customHeight="1"/>
    <row r="144" ht="21" customHeight="1"/>
    <row r="145" ht="21" customHeight="1"/>
    <row r="146" ht="21" customHeight="1"/>
    <row r="147" ht="21" customHeight="1"/>
    <row r="148" ht="21" customHeight="1"/>
    <row r="149" ht="21" customHeight="1"/>
    <row r="150" ht="21" customHeight="1"/>
    <row r="151" ht="21" customHeight="1"/>
    <row r="152" ht="21" customHeight="1"/>
    <row r="153" ht="21" customHeight="1"/>
    <row r="154" ht="21" customHeight="1"/>
    <row r="155" ht="21" customHeight="1"/>
    <row r="156" ht="21" customHeight="1"/>
    <row r="157" ht="21" customHeight="1"/>
    <row r="158" ht="21" customHeight="1"/>
    <row r="159" ht="21" customHeight="1"/>
    <row r="160" ht="21" customHeight="1"/>
    <row r="161" ht="21" customHeight="1"/>
    <row r="162" ht="21" customHeight="1"/>
    <row r="163" ht="21" customHeight="1"/>
    <row r="164" ht="21" customHeight="1"/>
    <row r="165" ht="21" customHeight="1"/>
    <row r="166" ht="21" customHeight="1"/>
    <row r="167" ht="21" customHeight="1"/>
    <row r="168" ht="21" customHeight="1"/>
    <row r="169" ht="21" customHeight="1"/>
    <row r="170" ht="21" customHeight="1"/>
    <row r="171" ht="21" customHeight="1"/>
    <row r="172" ht="21" customHeight="1"/>
    <row r="173" ht="21" customHeight="1"/>
    <row r="174" ht="21" customHeight="1"/>
    <row r="175" ht="21" customHeight="1"/>
    <row r="176" ht="21" customHeight="1"/>
    <row r="177" ht="21" customHeight="1"/>
    <row r="178" ht="21" customHeight="1"/>
    <row r="179" ht="21" customHeight="1"/>
    <row r="180" ht="21" customHeight="1"/>
    <row r="181" ht="21" customHeight="1"/>
    <row r="182" ht="21" customHeight="1"/>
    <row r="183" ht="21" customHeight="1"/>
    <row r="184" ht="21" customHeight="1"/>
    <row r="185" ht="21" customHeight="1"/>
    <row r="186" ht="21" customHeight="1"/>
    <row r="187" ht="21" customHeight="1"/>
    <row r="188" ht="21" customHeight="1"/>
    <row r="189" ht="21" customHeight="1"/>
    <row r="190" ht="21" customHeight="1"/>
    <row r="191" ht="21" customHeight="1"/>
    <row r="192" ht="21" customHeight="1"/>
    <row r="193" ht="21" customHeight="1"/>
    <row r="194" ht="21" customHeight="1"/>
    <row r="195" ht="21" customHeight="1"/>
    <row r="196" ht="21" customHeight="1"/>
    <row r="197" ht="21" customHeight="1"/>
    <row r="198" ht="21" customHeight="1"/>
    <row r="199" ht="21" customHeight="1"/>
    <row r="200" ht="21" customHeight="1"/>
    <row r="201" ht="21" customHeight="1"/>
    <row r="202" ht="21" customHeight="1"/>
    <row r="203" ht="21" customHeight="1"/>
    <row r="204" ht="21" customHeight="1"/>
    <row r="205" ht="21" customHeight="1"/>
    <row r="206" ht="21" customHeight="1"/>
    <row r="207" ht="21" customHeight="1"/>
    <row r="208" ht="21" customHeight="1"/>
    <row r="209" ht="21" customHeight="1"/>
    <row r="210" ht="21" customHeight="1"/>
    <row r="211" ht="21" customHeight="1"/>
    <row r="212" ht="21" customHeight="1"/>
    <row r="213" ht="21" customHeight="1"/>
    <row r="214" ht="21" customHeight="1"/>
    <row r="215" ht="21" customHeight="1"/>
    <row r="216" ht="21" customHeight="1"/>
    <row r="217" ht="21" customHeight="1"/>
    <row r="218" ht="21" customHeight="1"/>
    <row r="219" ht="21" customHeight="1"/>
    <row r="220" ht="21" customHeight="1"/>
    <row r="221" ht="21" customHeight="1"/>
    <row r="222" ht="21" customHeight="1"/>
    <row r="223" ht="21" customHeight="1"/>
    <row r="224" ht="21" customHeight="1"/>
    <row r="225" ht="21" customHeight="1"/>
    <row r="226" ht="21" customHeight="1"/>
    <row r="227" ht="21" customHeight="1"/>
    <row r="228" ht="21" customHeight="1"/>
    <row r="229" ht="21" customHeight="1"/>
    <row r="230" ht="21" customHeight="1"/>
    <row r="231" ht="21" customHeight="1"/>
    <row r="232" ht="21" customHeight="1"/>
    <row r="233" ht="21" customHeight="1"/>
    <row r="234" ht="21" customHeight="1"/>
    <row r="235" ht="21" customHeight="1"/>
    <row r="236" ht="21" customHeight="1"/>
    <row r="237" ht="21" customHeight="1"/>
    <row r="238" ht="21" customHeight="1"/>
    <row r="239" ht="21" customHeight="1"/>
    <row r="240" ht="21" customHeight="1"/>
    <row r="241" ht="21" customHeight="1"/>
    <row r="242" ht="21" customHeight="1"/>
    <row r="243" ht="21" customHeight="1"/>
    <row r="244" ht="21" customHeight="1"/>
    <row r="245" ht="21" customHeight="1"/>
    <row r="246" ht="21" customHeight="1"/>
    <row r="247" ht="21" customHeight="1"/>
    <row r="248" ht="21" customHeight="1"/>
    <row r="249" ht="21" customHeight="1"/>
    <row r="250" ht="21" customHeight="1"/>
    <row r="251" ht="21" customHeight="1"/>
    <row r="252" ht="21" customHeight="1"/>
    <row r="253" ht="21" customHeight="1"/>
    <row r="254" ht="21" customHeight="1"/>
    <row r="255" ht="21" customHeight="1"/>
    <row r="256" ht="21" customHeight="1"/>
    <row r="257" ht="21" customHeight="1"/>
    <row r="258" ht="21" customHeight="1"/>
    <row r="259" ht="21" customHeight="1"/>
    <row r="260" ht="21" customHeight="1"/>
    <row r="261" ht="21" customHeight="1"/>
    <row r="262" ht="21" customHeight="1"/>
    <row r="263" ht="21" customHeight="1"/>
    <row r="264" ht="21" customHeight="1"/>
    <row r="265" ht="21" customHeight="1"/>
    <row r="266" ht="21" customHeight="1"/>
    <row r="267" ht="21" customHeight="1"/>
    <row r="268" ht="21" customHeight="1"/>
    <row r="269" ht="21" customHeight="1"/>
    <row r="270" ht="21" customHeight="1"/>
    <row r="271" ht="21" customHeight="1"/>
    <row r="272" ht="21" customHeight="1"/>
    <row r="273" ht="21" customHeight="1"/>
    <row r="274" ht="21" customHeight="1"/>
    <row r="275" ht="21" customHeight="1"/>
    <row r="276" ht="21" customHeight="1"/>
    <row r="277" ht="21" customHeight="1"/>
    <row r="278" ht="21" customHeight="1"/>
    <row r="279" ht="21" customHeight="1"/>
    <row r="280" ht="21" customHeight="1"/>
    <row r="281" ht="21" customHeight="1"/>
    <row r="282" ht="21" customHeight="1"/>
    <row r="283" ht="21" customHeight="1"/>
    <row r="284" ht="21" customHeight="1"/>
    <row r="285" ht="21" customHeight="1"/>
    <row r="286" ht="21" customHeight="1"/>
    <row r="287" ht="21" customHeight="1"/>
    <row r="288" ht="21" customHeight="1"/>
    <row r="289" ht="21" customHeight="1"/>
    <row r="290" ht="21" customHeight="1"/>
    <row r="291" ht="21" customHeight="1"/>
    <row r="292" ht="21" customHeight="1"/>
    <row r="293" ht="21" customHeight="1"/>
    <row r="294" ht="21" customHeight="1"/>
    <row r="295" ht="21" customHeight="1"/>
    <row r="296" ht="21" customHeight="1"/>
    <row r="297" ht="21" customHeight="1"/>
    <row r="298" ht="21" customHeight="1"/>
    <row r="299" ht="21" customHeight="1"/>
    <row r="300" ht="21" customHeight="1"/>
    <row r="301" ht="21" customHeight="1"/>
    <row r="302" ht="21" customHeight="1"/>
    <row r="303" ht="21" customHeight="1"/>
    <row r="304" ht="21" customHeight="1"/>
    <row r="305" ht="21" customHeight="1"/>
    <row r="306" ht="21" customHeight="1"/>
    <row r="307" ht="21" customHeight="1"/>
    <row r="308" ht="21" customHeight="1"/>
    <row r="309" ht="21" customHeight="1"/>
    <row r="310" ht="21" customHeight="1"/>
    <row r="311" ht="21" customHeight="1"/>
    <row r="312" ht="21" customHeight="1"/>
    <row r="313" ht="21" customHeight="1"/>
    <row r="314" ht="21" customHeight="1"/>
    <row r="315" ht="21" customHeight="1"/>
    <row r="316" ht="21" customHeight="1"/>
    <row r="317" ht="21" customHeight="1"/>
    <row r="318" ht="21" customHeight="1"/>
    <row r="319" ht="21" customHeight="1"/>
    <row r="320" ht="21" customHeight="1"/>
    <row r="321" ht="21" customHeight="1"/>
    <row r="322" ht="21" customHeight="1"/>
    <row r="323" ht="21" customHeight="1"/>
    <row r="324" ht="21" customHeight="1"/>
    <row r="325" ht="21" customHeight="1"/>
    <row r="326" ht="21" customHeight="1"/>
    <row r="327" ht="21" customHeight="1"/>
    <row r="328" ht="21" customHeight="1"/>
    <row r="329" ht="21" customHeight="1"/>
    <row r="330" ht="21" customHeight="1"/>
    <row r="331" ht="21" customHeight="1"/>
    <row r="332" ht="21" customHeight="1"/>
    <row r="333" ht="21" customHeight="1"/>
    <row r="334" ht="21" customHeight="1"/>
    <row r="335" ht="21" customHeight="1"/>
    <row r="336" ht="21" customHeight="1"/>
    <row r="337" ht="21" customHeight="1"/>
    <row r="338" ht="21" customHeight="1"/>
    <row r="339" ht="21" customHeight="1"/>
    <row r="340" ht="21" customHeight="1"/>
    <row r="341" ht="21" customHeight="1"/>
    <row r="342" ht="21" customHeight="1"/>
    <row r="343" ht="21" customHeight="1"/>
    <row r="344" ht="21" customHeight="1"/>
    <row r="345" ht="21" customHeight="1"/>
    <row r="346" ht="21" customHeight="1"/>
    <row r="347" ht="21" customHeight="1"/>
    <row r="348" ht="21" customHeight="1"/>
    <row r="349" ht="21" customHeight="1"/>
    <row r="350" ht="21" customHeight="1"/>
    <row r="351" ht="21" customHeight="1"/>
    <row r="352" ht="21" customHeight="1"/>
    <row r="353" ht="21" customHeight="1"/>
    <row r="354" ht="21" customHeight="1"/>
    <row r="355" ht="21" customHeight="1"/>
    <row r="356" ht="21" customHeight="1"/>
    <row r="357" ht="21" customHeight="1"/>
    <row r="358" ht="21" customHeight="1"/>
    <row r="359" ht="21" customHeight="1"/>
    <row r="360" ht="21" customHeight="1"/>
    <row r="361" ht="21" customHeight="1"/>
    <row r="362" ht="21" customHeight="1"/>
    <row r="363" ht="21" customHeight="1"/>
    <row r="364" ht="21" customHeight="1"/>
    <row r="365" ht="21" customHeight="1"/>
    <row r="366" ht="21" customHeight="1"/>
    <row r="367" ht="21" customHeight="1"/>
    <row r="368" ht="21" customHeight="1"/>
    <row r="369" ht="21" customHeight="1"/>
    <row r="370" ht="21" customHeight="1"/>
    <row r="371" ht="21" customHeight="1"/>
    <row r="372" ht="21" customHeight="1"/>
    <row r="373" ht="21" customHeight="1"/>
    <row r="374" ht="21" customHeight="1"/>
    <row r="375" ht="21" customHeight="1"/>
    <row r="376" ht="21" customHeight="1"/>
    <row r="377" ht="21" customHeight="1"/>
    <row r="378" ht="21" customHeight="1"/>
    <row r="379" ht="21" customHeight="1"/>
    <row r="380" ht="21" customHeight="1"/>
    <row r="381" ht="21" customHeight="1"/>
    <row r="382" ht="21" customHeight="1"/>
    <row r="383" ht="21" customHeight="1"/>
    <row r="384" ht="21" customHeight="1"/>
    <row r="385" ht="21" customHeight="1"/>
    <row r="386" ht="21" customHeight="1"/>
    <row r="387" ht="21" customHeight="1"/>
    <row r="388" ht="21" customHeight="1"/>
    <row r="389" ht="21" customHeight="1"/>
    <row r="390" ht="21" customHeight="1"/>
    <row r="391" ht="21" customHeight="1"/>
    <row r="392" ht="21" customHeight="1"/>
    <row r="393" ht="21" customHeight="1"/>
    <row r="394" ht="21" customHeight="1"/>
    <row r="395" ht="21" customHeight="1"/>
    <row r="396" ht="21" customHeight="1"/>
    <row r="397" ht="21" customHeight="1"/>
    <row r="398" ht="21" customHeight="1"/>
    <row r="399" ht="21" customHeight="1"/>
    <row r="400" ht="21" customHeight="1"/>
    <row r="401" ht="21" customHeight="1"/>
    <row r="402" ht="21" customHeight="1"/>
    <row r="403" ht="21" customHeight="1"/>
    <row r="404" ht="21" customHeight="1"/>
    <row r="405" ht="21" customHeight="1"/>
    <row r="406" ht="21" customHeight="1"/>
    <row r="407" ht="21" customHeight="1"/>
    <row r="408" ht="21" customHeight="1"/>
    <row r="409" ht="21" customHeight="1"/>
    <row r="410" ht="21" customHeight="1"/>
    <row r="411" ht="21" customHeight="1"/>
    <row r="412" ht="21" customHeight="1"/>
    <row r="413" ht="21" customHeight="1"/>
    <row r="414" ht="21" customHeight="1"/>
    <row r="415" ht="21" customHeight="1"/>
    <row r="416" ht="21" customHeight="1"/>
    <row r="417" ht="21" customHeight="1"/>
    <row r="418" ht="21" customHeight="1"/>
    <row r="419" ht="21" customHeight="1"/>
    <row r="420" ht="21" customHeight="1"/>
    <row r="421" ht="21" customHeight="1"/>
    <row r="422" ht="21" customHeight="1"/>
    <row r="423" ht="21" customHeight="1"/>
    <row r="424" ht="21" customHeight="1"/>
    <row r="425" ht="21" customHeight="1"/>
    <row r="426" ht="21" customHeight="1"/>
    <row r="427" ht="21" customHeight="1"/>
    <row r="428" ht="21" customHeight="1"/>
    <row r="429" ht="21" customHeight="1"/>
    <row r="430" ht="21" customHeight="1"/>
    <row r="431" ht="21" customHeight="1"/>
    <row r="432" ht="21" customHeight="1"/>
    <row r="433" ht="21" customHeight="1"/>
    <row r="434" ht="21" customHeight="1"/>
    <row r="435" ht="21" customHeight="1"/>
    <row r="436" ht="21" customHeight="1"/>
    <row r="437" ht="21" customHeight="1"/>
    <row r="438" ht="21" customHeight="1"/>
    <row r="439" ht="21" customHeight="1"/>
    <row r="440" ht="21" customHeight="1"/>
    <row r="441" ht="21" customHeight="1"/>
    <row r="442" ht="21" customHeight="1"/>
    <row r="443" ht="21" customHeight="1"/>
    <row r="444" ht="21" customHeight="1"/>
    <row r="445" ht="21" customHeight="1"/>
    <row r="446" ht="21" customHeight="1"/>
    <row r="447" ht="21" customHeight="1"/>
    <row r="448" ht="21" customHeight="1"/>
    <row r="449" ht="21" customHeight="1"/>
    <row r="450" ht="21" customHeight="1"/>
    <row r="451" ht="21" customHeight="1"/>
    <row r="452" ht="21" customHeight="1"/>
    <row r="453" ht="21" customHeight="1"/>
    <row r="454" ht="21" customHeight="1"/>
    <row r="455" ht="21" customHeight="1"/>
    <row r="456" ht="21" customHeight="1"/>
    <row r="457" ht="21" customHeight="1"/>
    <row r="458" ht="21" customHeight="1"/>
    <row r="459" ht="21" customHeight="1"/>
    <row r="460" ht="21" customHeight="1"/>
    <row r="461" ht="21" customHeight="1"/>
    <row r="462" ht="21" customHeight="1"/>
    <row r="463" ht="21" customHeight="1"/>
    <row r="464" ht="21" customHeight="1"/>
    <row r="465" ht="21" customHeight="1"/>
    <row r="466" ht="21" customHeight="1"/>
    <row r="467" ht="21" customHeight="1"/>
    <row r="468" ht="21" customHeight="1"/>
    <row r="469" ht="21" customHeight="1"/>
    <row r="470" ht="21" customHeight="1"/>
    <row r="471" ht="21" customHeight="1"/>
    <row r="472" ht="21" customHeight="1"/>
    <row r="473" ht="21" customHeight="1"/>
    <row r="474" ht="21" customHeight="1"/>
    <row r="475" ht="21" customHeight="1"/>
    <row r="476" ht="21" customHeight="1"/>
    <row r="477" ht="21" customHeight="1"/>
    <row r="478" ht="21" customHeight="1"/>
    <row r="479" ht="21" customHeight="1"/>
    <row r="480" ht="21" customHeight="1"/>
    <row r="481" ht="21" customHeight="1"/>
    <row r="482" ht="21" customHeight="1"/>
    <row r="483" ht="21" customHeight="1"/>
    <row r="484" ht="21" customHeight="1"/>
    <row r="485" ht="21" customHeight="1"/>
    <row r="486" ht="21" customHeight="1"/>
    <row r="487" ht="21" customHeight="1"/>
    <row r="488" ht="21" customHeight="1"/>
    <row r="489" ht="21" customHeight="1"/>
    <row r="490" ht="21" customHeight="1"/>
    <row r="491" ht="21" customHeight="1"/>
    <row r="492" ht="21" customHeight="1"/>
    <row r="493" ht="21" customHeight="1"/>
    <row r="494" ht="21" customHeight="1"/>
    <row r="495" ht="21" customHeight="1"/>
    <row r="496" ht="21" customHeight="1"/>
    <row r="497" ht="21" customHeight="1"/>
    <row r="498" ht="21" customHeight="1"/>
    <row r="499" ht="21" customHeight="1"/>
    <row r="500" ht="21" customHeight="1"/>
    <row r="501" ht="21" customHeight="1"/>
    <row r="502" ht="21" customHeight="1"/>
    <row r="503" ht="21" customHeight="1"/>
    <row r="504" ht="21" customHeight="1"/>
    <row r="505" ht="21" customHeight="1"/>
    <row r="506" ht="21" customHeight="1"/>
    <row r="507" ht="21" customHeight="1"/>
    <row r="508" ht="21" customHeight="1"/>
    <row r="509" ht="21" customHeight="1"/>
    <row r="510" ht="21" customHeight="1"/>
    <row r="511" ht="21" customHeight="1"/>
    <row r="512" ht="21" customHeight="1"/>
    <row r="513" ht="21" customHeight="1"/>
    <row r="514" ht="21" customHeight="1"/>
    <row r="515" ht="21" customHeight="1"/>
    <row r="516" ht="21" customHeight="1"/>
    <row r="517" ht="21" customHeight="1"/>
    <row r="518" ht="21" customHeight="1"/>
    <row r="519" ht="21" customHeight="1"/>
    <row r="520" ht="21" customHeight="1"/>
    <row r="521" ht="21" customHeight="1"/>
    <row r="522" ht="21" customHeight="1"/>
    <row r="523" ht="21" customHeight="1"/>
    <row r="524" ht="21" customHeight="1"/>
    <row r="525" ht="21" customHeight="1"/>
    <row r="526" ht="21" customHeight="1"/>
    <row r="527" ht="21" customHeight="1"/>
    <row r="528" ht="21" customHeight="1"/>
    <row r="529" ht="21" customHeight="1"/>
    <row r="530" ht="21" customHeight="1"/>
    <row r="531" ht="21" customHeight="1"/>
    <row r="532" ht="21" customHeight="1"/>
    <row r="533" ht="21" customHeight="1"/>
    <row r="534" ht="21" customHeight="1"/>
    <row r="535" ht="21" customHeight="1"/>
    <row r="536" ht="21" customHeight="1"/>
    <row r="537" ht="21" customHeight="1"/>
    <row r="538" ht="21" customHeight="1"/>
    <row r="539" ht="21" customHeight="1"/>
    <row r="540" ht="21" customHeight="1"/>
    <row r="541" ht="21" customHeight="1"/>
    <row r="542" ht="21" customHeight="1"/>
    <row r="543" ht="21" customHeight="1"/>
    <row r="544" ht="21" customHeight="1"/>
    <row r="545" ht="21" customHeight="1"/>
    <row r="546" ht="21" customHeight="1"/>
    <row r="547" ht="21" customHeight="1"/>
    <row r="548" ht="21" customHeight="1"/>
    <row r="549" ht="21" customHeight="1"/>
    <row r="550" ht="21" customHeight="1"/>
    <row r="551" ht="21" customHeight="1"/>
    <row r="552" ht="21" customHeight="1"/>
    <row r="553" ht="21" customHeight="1"/>
    <row r="554" ht="21" customHeight="1"/>
    <row r="555" ht="21" customHeight="1"/>
    <row r="556" ht="21" customHeight="1"/>
    <row r="557" ht="21" customHeight="1"/>
    <row r="558" ht="21" customHeight="1"/>
    <row r="559" ht="21" customHeight="1"/>
    <row r="560" ht="21" customHeight="1"/>
    <row r="561" ht="21" customHeight="1"/>
    <row r="562" ht="21" customHeight="1"/>
    <row r="563" ht="21" customHeight="1"/>
    <row r="564" ht="21" customHeight="1"/>
    <row r="565" ht="21" customHeight="1"/>
    <row r="566" ht="21" customHeight="1"/>
    <row r="567" ht="21" customHeight="1"/>
    <row r="568" ht="21" customHeight="1"/>
    <row r="569" ht="21" customHeight="1"/>
    <row r="570" ht="21" customHeight="1"/>
    <row r="571" ht="21" customHeight="1"/>
    <row r="572" ht="21" customHeight="1"/>
    <row r="573" ht="21" customHeight="1"/>
    <row r="574" ht="21" customHeight="1"/>
    <row r="575" ht="21" customHeight="1"/>
    <row r="576" ht="21" customHeight="1"/>
    <row r="577" ht="21" customHeight="1"/>
    <row r="578" ht="21" customHeight="1"/>
    <row r="579" ht="21" customHeight="1"/>
    <row r="580" ht="21" customHeight="1"/>
    <row r="581" ht="21" customHeight="1"/>
    <row r="582" ht="21" customHeight="1"/>
    <row r="583" ht="21" customHeight="1"/>
    <row r="584" ht="21" customHeight="1"/>
    <row r="585" ht="21" customHeight="1"/>
    <row r="586" ht="21" customHeight="1"/>
    <row r="587" ht="21" customHeight="1"/>
    <row r="588" ht="21" customHeight="1"/>
    <row r="589" ht="21" customHeight="1"/>
    <row r="590" ht="21" customHeight="1"/>
    <row r="591" ht="21" customHeight="1"/>
    <row r="592" ht="21" customHeight="1"/>
    <row r="593" ht="21" customHeight="1"/>
    <row r="594" ht="21" customHeight="1"/>
    <row r="595" ht="21" customHeight="1"/>
    <row r="596" ht="21" customHeight="1"/>
    <row r="597" ht="21" customHeight="1"/>
    <row r="598" ht="21" customHeight="1"/>
    <row r="599" ht="21" customHeight="1"/>
    <row r="600" ht="21" customHeight="1"/>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P600"/>
  <sheetViews>
    <sheetView showGridLines="0" workbookViewId="0">
      <pane ySplit="1" topLeftCell="A2" activePane="bottomLeft" state="frozen"/>
      <selection pane="bottomLeft"/>
    </sheetView>
  </sheetViews>
  <sheetFormatPr defaultRowHeight="14.25"/>
  <cols>
    <col min="1" max="7" width="20" customWidth="1"/>
  </cols>
  <sheetData>
    <row r="1" spans="1:16" ht="21" customHeight="1">
      <c r="A1" s="6" t="s">
        <v>16</v>
      </c>
      <c r="B1" s="6" t="s">
        <v>17</v>
      </c>
      <c r="C1" s="6" t="s">
        <v>500</v>
      </c>
      <c r="D1" s="6" t="s">
        <v>501</v>
      </c>
      <c r="E1" s="6" t="s">
        <v>502</v>
      </c>
      <c r="F1" s="6" t="s">
        <v>503</v>
      </c>
      <c r="G1" s="6" t="s">
        <v>40</v>
      </c>
      <c r="H1" s="2"/>
      <c r="I1" s="2"/>
      <c r="J1" s="2"/>
      <c r="K1" s="2"/>
      <c r="L1" s="2"/>
      <c r="M1" s="2"/>
      <c r="N1" s="2"/>
      <c r="O1" s="2"/>
      <c r="P1" s="2"/>
    </row>
    <row r="2" spans="1:16" ht="21" customHeight="1">
      <c r="A2" s="14">
        <v>46244</v>
      </c>
      <c r="B2" s="9">
        <v>1.69</v>
      </c>
      <c r="C2" s="14">
        <v>46275</v>
      </c>
      <c r="D2" s="14">
        <v>46244</v>
      </c>
      <c r="E2" s="14">
        <v>46225</v>
      </c>
      <c r="F2" s="2"/>
      <c r="G2" s="2" t="s">
        <v>71</v>
      </c>
      <c r="H2" s="2"/>
      <c r="I2" s="2"/>
      <c r="J2" s="2"/>
      <c r="K2" s="2"/>
      <c r="L2" s="2"/>
      <c r="M2" s="2"/>
      <c r="N2" s="2"/>
      <c r="O2" s="2"/>
      <c r="P2" s="2"/>
    </row>
    <row r="3" spans="1:16" ht="21" customHeight="1">
      <c r="A3" s="14">
        <v>46150</v>
      </c>
      <c r="B3" s="9">
        <v>1.69</v>
      </c>
      <c r="C3" s="14">
        <v>46183</v>
      </c>
      <c r="D3" s="14">
        <v>46150</v>
      </c>
      <c r="E3" s="14">
        <v>46134</v>
      </c>
      <c r="F3" s="2"/>
      <c r="G3" s="2" t="s">
        <v>71</v>
      </c>
      <c r="H3" s="2"/>
      <c r="I3" s="2"/>
      <c r="J3" s="2"/>
      <c r="K3" s="2"/>
      <c r="L3" s="2"/>
      <c r="M3" s="2"/>
      <c r="N3" s="2"/>
      <c r="O3" s="2"/>
      <c r="P3" s="2"/>
    </row>
    <row r="4" spans="1:16" ht="21" customHeight="1">
      <c r="A4" s="14">
        <v>46063</v>
      </c>
      <c r="B4" s="9">
        <v>1.68</v>
      </c>
      <c r="C4" s="14">
        <v>46091</v>
      </c>
      <c r="D4" s="14">
        <v>46063</v>
      </c>
      <c r="E4" s="14">
        <v>46050</v>
      </c>
      <c r="F4" s="2"/>
      <c r="G4" s="2" t="s">
        <v>71</v>
      </c>
      <c r="H4" s="2"/>
      <c r="I4" s="2"/>
      <c r="J4" s="2"/>
      <c r="K4" s="2"/>
      <c r="L4" s="2"/>
      <c r="M4" s="2"/>
      <c r="N4" s="2"/>
      <c r="O4" s="2"/>
      <c r="P4" s="2"/>
    </row>
    <row r="5" spans="1:16" ht="21" customHeight="1">
      <c r="A5" s="14">
        <v>45971</v>
      </c>
      <c r="B5" s="9">
        <v>1.68</v>
      </c>
      <c r="C5" s="14">
        <v>46001</v>
      </c>
      <c r="D5" s="14">
        <v>45971</v>
      </c>
      <c r="E5" s="14">
        <v>45952</v>
      </c>
      <c r="F5" s="2"/>
      <c r="G5" s="2" t="s">
        <v>71</v>
      </c>
      <c r="H5" s="2"/>
      <c r="I5" s="2"/>
      <c r="J5" s="2"/>
      <c r="K5" s="2"/>
      <c r="L5" s="2"/>
      <c r="M5" s="2"/>
      <c r="N5" s="2"/>
      <c r="O5" s="2"/>
      <c r="P5" s="2"/>
    </row>
    <row r="6" spans="1:16" ht="21" customHeight="1">
      <c r="A6" s="14"/>
      <c r="B6" s="9"/>
      <c r="C6" s="14"/>
      <c r="D6" s="14"/>
      <c r="E6" s="14"/>
      <c r="F6" s="2"/>
      <c r="G6" s="2"/>
      <c r="H6" s="2"/>
      <c r="I6" s="2"/>
      <c r="J6" s="2"/>
      <c r="K6" s="2"/>
      <c r="L6" s="2"/>
      <c r="M6" s="2"/>
      <c r="N6" s="2"/>
      <c r="O6" s="2"/>
      <c r="P6" s="2"/>
    </row>
    <row r="7" spans="1:16" ht="21" customHeight="1">
      <c r="A7" s="14"/>
      <c r="B7" s="9"/>
      <c r="C7" s="14"/>
      <c r="D7" s="14"/>
      <c r="E7" s="2"/>
      <c r="F7" s="2"/>
      <c r="G7" s="2"/>
      <c r="H7" s="2"/>
      <c r="I7" s="2"/>
      <c r="J7" s="2"/>
      <c r="K7" s="2"/>
      <c r="L7" s="2"/>
      <c r="M7" s="2"/>
      <c r="N7" s="2"/>
      <c r="O7" s="2"/>
      <c r="P7" s="2"/>
    </row>
    <row r="8" spans="1:16" ht="21" customHeight="1">
      <c r="A8" s="14"/>
      <c r="B8" s="9"/>
      <c r="C8" s="14"/>
      <c r="D8" s="14"/>
      <c r="E8" s="2"/>
      <c r="F8" s="2"/>
      <c r="G8" s="2"/>
      <c r="H8" s="2"/>
      <c r="I8" s="2"/>
      <c r="J8" s="2"/>
      <c r="K8" s="2"/>
      <c r="L8" s="2"/>
      <c r="M8" s="2"/>
      <c r="N8" s="2"/>
      <c r="O8" s="2"/>
      <c r="P8" s="2"/>
    </row>
    <row r="9" spans="1:16" ht="21" customHeight="1">
      <c r="A9" s="14"/>
      <c r="B9" s="9"/>
      <c r="C9" s="14"/>
      <c r="D9" s="14"/>
      <c r="E9" s="2"/>
      <c r="F9" s="2"/>
      <c r="G9" s="2"/>
      <c r="H9" s="2"/>
      <c r="I9" s="2"/>
      <c r="J9" s="2"/>
      <c r="K9" s="2"/>
      <c r="L9" s="2"/>
      <c r="M9" s="2"/>
      <c r="N9" s="2"/>
      <c r="O9" s="2"/>
      <c r="P9" s="2"/>
    </row>
    <row r="10" spans="1:16" ht="21" customHeight="1">
      <c r="A10" s="14"/>
      <c r="B10" s="9"/>
      <c r="C10" s="14"/>
      <c r="D10" s="14"/>
      <c r="E10" s="2"/>
      <c r="F10" s="2"/>
      <c r="G10" s="2"/>
      <c r="H10" s="2"/>
      <c r="I10" s="2"/>
      <c r="J10" s="2"/>
      <c r="K10" s="2"/>
      <c r="L10" s="2"/>
      <c r="M10" s="2"/>
      <c r="N10" s="2"/>
      <c r="O10" s="2"/>
      <c r="P10" s="2"/>
    </row>
    <row r="11" spans="1:16" ht="21" customHeight="1">
      <c r="A11" s="14"/>
      <c r="B11" s="9"/>
      <c r="C11" s="14"/>
      <c r="D11" s="14"/>
      <c r="E11" s="2"/>
      <c r="F11" s="2"/>
      <c r="G11" s="2"/>
      <c r="H11" s="2"/>
      <c r="I11" s="2"/>
      <c r="J11" s="2"/>
      <c r="K11" s="2"/>
      <c r="L11" s="2"/>
      <c r="M11" s="2"/>
      <c r="N11" s="2"/>
      <c r="O11" s="2"/>
      <c r="P11" s="2"/>
    </row>
    <row r="12" spans="1:16" ht="21" customHeight="1">
      <c r="A12" s="14"/>
      <c r="B12" s="9"/>
      <c r="C12" s="14"/>
      <c r="D12" s="14"/>
      <c r="E12" s="2"/>
      <c r="F12" s="2"/>
      <c r="G12" s="2"/>
      <c r="H12" s="2"/>
      <c r="I12" s="2"/>
      <c r="J12" s="2"/>
      <c r="K12" s="2"/>
      <c r="L12" s="2"/>
      <c r="M12" s="2"/>
      <c r="N12" s="2"/>
      <c r="O12" s="2"/>
      <c r="P12" s="2"/>
    </row>
    <row r="13" spans="1:16" ht="21" customHeight="1">
      <c r="A13" s="14"/>
      <c r="B13" s="9"/>
      <c r="C13" s="14"/>
      <c r="D13" s="14"/>
      <c r="E13" s="2"/>
      <c r="F13" s="2"/>
      <c r="G13" s="2"/>
      <c r="H13" s="2"/>
      <c r="I13" s="2"/>
      <c r="J13" s="2"/>
      <c r="K13" s="2"/>
      <c r="L13" s="2"/>
      <c r="M13" s="2"/>
      <c r="N13" s="2"/>
      <c r="O13" s="2"/>
      <c r="P13" s="2"/>
    </row>
    <row r="14" spans="1:16" ht="21" customHeight="1">
      <c r="A14" s="2"/>
      <c r="B14" s="9"/>
      <c r="C14" s="2"/>
      <c r="D14" s="2"/>
      <c r="E14" s="2"/>
      <c r="F14" s="2"/>
      <c r="G14" s="2"/>
      <c r="H14" s="2"/>
      <c r="I14" s="2"/>
      <c r="J14" s="2"/>
      <c r="K14" s="2"/>
      <c r="L14" s="2"/>
      <c r="M14" s="2"/>
      <c r="N14" s="2"/>
      <c r="O14" s="2"/>
      <c r="P14" s="2"/>
    </row>
    <row r="15" spans="1:16" ht="21" customHeight="1">
      <c r="A15" s="2"/>
      <c r="B15" s="9"/>
      <c r="C15" s="2"/>
      <c r="D15" s="2"/>
      <c r="E15" s="2"/>
      <c r="F15" s="2"/>
      <c r="G15" s="2"/>
      <c r="H15" s="2"/>
      <c r="I15" s="2"/>
      <c r="J15" s="2"/>
      <c r="K15" s="2"/>
      <c r="L15" s="2"/>
      <c r="M15" s="2"/>
      <c r="N15" s="2"/>
      <c r="O15" s="2"/>
      <c r="P15" s="2"/>
    </row>
    <row r="16" spans="1:16" ht="21" customHeight="1">
      <c r="A16" s="2"/>
      <c r="B16" s="9"/>
      <c r="C16" s="2"/>
      <c r="D16" s="2"/>
      <c r="E16" s="2"/>
      <c r="F16" s="2"/>
      <c r="G16" s="2"/>
      <c r="H16" s="2"/>
      <c r="I16" s="2"/>
      <c r="J16" s="2"/>
      <c r="K16" s="2"/>
      <c r="L16" s="2"/>
      <c r="M16" s="2"/>
      <c r="N16" s="2"/>
      <c r="O16" s="2"/>
      <c r="P16" s="2"/>
    </row>
    <row r="17" spans="1:16" ht="21" customHeight="1">
      <c r="A17" s="2"/>
      <c r="B17" s="9"/>
      <c r="C17" s="2"/>
      <c r="D17" s="2"/>
      <c r="E17" s="2"/>
      <c r="F17" s="2"/>
      <c r="G17" s="2"/>
      <c r="H17" s="2"/>
      <c r="I17" s="2"/>
      <c r="J17" s="2"/>
      <c r="K17" s="2"/>
      <c r="L17" s="2"/>
      <c r="M17" s="2"/>
      <c r="N17" s="2"/>
      <c r="O17" s="2"/>
      <c r="P17" s="2"/>
    </row>
    <row r="18" spans="1:16" ht="21" customHeight="1">
      <c r="A18" s="2"/>
      <c r="B18" s="9"/>
      <c r="C18" s="2"/>
      <c r="D18" s="2"/>
      <c r="E18" s="2"/>
      <c r="F18" s="2"/>
      <c r="G18" s="2"/>
      <c r="H18" s="2"/>
      <c r="I18" s="2"/>
      <c r="J18" s="2"/>
      <c r="K18" s="2"/>
      <c r="L18" s="2"/>
      <c r="M18" s="2"/>
      <c r="N18" s="2"/>
      <c r="O18" s="2"/>
      <c r="P18" s="2"/>
    </row>
    <row r="19" spans="1:16" ht="21" customHeight="1">
      <c r="A19" s="2"/>
      <c r="B19" s="9"/>
      <c r="C19" s="2"/>
      <c r="D19" s="2"/>
      <c r="E19" s="2"/>
      <c r="F19" s="2"/>
      <c r="G19" s="2"/>
      <c r="H19" s="2"/>
      <c r="I19" s="2"/>
      <c r="J19" s="2"/>
      <c r="K19" s="2"/>
      <c r="L19" s="2"/>
      <c r="M19" s="2"/>
      <c r="N19" s="2"/>
      <c r="O19" s="2"/>
      <c r="P19" s="2"/>
    </row>
    <row r="20" spans="1:16" ht="21" customHeight="1">
      <c r="A20" s="2"/>
      <c r="B20" s="9"/>
      <c r="C20" s="2"/>
      <c r="D20" s="2"/>
      <c r="E20" s="2"/>
      <c r="F20" s="2"/>
      <c r="G20" s="2"/>
      <c r="H20" s="2"/>
      <c r="I20" s="2"/>
      <c r="J20" s="2"/>
      <c r="K20" s="2"/>
      <c r="L20" s="2"/>
      <c r="M20" s="2"/>
      <c r="N20" s="2"/>
      <c r="O20" s="2"/>
      <c r="P20" s="2"/>
    </row>
    <row r="21" spans="1:16" ht="21" customHeight="1">
      <c r="A21" s="2"/>
      <c r="B21" s="9"/>
      <c r="C21" s="2"/>
      <c r="D21" s="2"/>
      <c r="E21" s="2"/>
      <c r="F21" s="2"/>
      <c r="G21" s="2"/>
      <c r="H21" s="2"/>
      <c r="I21" s="2"/>
      <c r="J21" s="2"/>
      <c r="K21" s="2"/>
      <c r="L21" s="2"/>
      <c r="M21" s="2"/>
      <c r="N21" s="2"/>
      <c r="O21" s="2"/>
      <c r="P21" s="2"/>
    </row>
    <row r="22" spans="1:16" ht="21" customHeight="1">
      <c r="A22" s="2"/>
      <c r="B22" s="9"/>
      <c r="C22" s="2"/>
      <c r="D22" s="2"/>
      <c r="E22" s="2"/>
      <c r="F22" s="2"/>
      <c r="G22" s="2"/>
      <c r="H22" s="2"/>
      <c r="I22" s="2"/>
      <c r="J22" s="2"/>
      <c r="K22" s="2"/>
      <c r="L22" s="2"/>
      <c r="M22" s="2"/>
      <c r="N22" s="2"/>
      <c r="O22" s="2"/>
      <c r="P22" s="2"/>
    </row>
    <row r="23" spans="1:16" ht="21" customHeight="1">
      <c r="A23" s="2"/>
      <c r="B23" s="9"/>
      <c r="C23" s="2"/>
      <c r="D23" s="2"/>
      <c r="E23" s="2"/>
      <c r="F23" s="2"/>
      <c r="G23" s="2"/>
      <c r="H23" s="2"/>
      <c r="I23" s="2"/>
      <c r="J23" s="2"/>
      <c r="K23" s="2"/>
      <c r="L23" s="2"/>
      <c r="M23" s="2"/>
      <c r="N23" s="2"/>
      <c r="O23" s="2"/>
      <c r="P23" s="2"/>
    </row>
    <row r="24" spans="1:16" ht="21" customHeight="1">
      <c r="A24" s="2"/>
      <c r="B24" s="9"/>
      <c r="C24" s="2"/>
      <c r="D24" s="2"/>
      <c r="E24" s="2"/>
      <c r="F24" s="2"/>
      <c r="G24" s="2"/>
      <c r="H24" s="2"/>
      <c r="I24" s="2"/>
      <c r="J24" s="2"/>
      <c r="K24" s="2"/>
      <c r="L24" s="2"/>
      <c r="M24" s="2"/>
      <c r="N24" s="2"/>
      <c r="O24" s="2"/>
      <c r="P24" s="2"/>
    </row>
    <row r="25" spans="1:16" ht="21" customHeight="1">
      <c r="A25" s="2"/>
      <c r="B25" s="9"/>
      <c r="C25" s="2"/>
      <c r="D25" s="2"/>
      <c r="E25" s="2"/>
      <c r="F25" s="2"/>
      <c r="G25" s="2"/>
      <c r="H25" s="2"/>
      <c r="I25" s="2"/>
      <c r="J25" s="2"/>
      <c r="K25" s="2"/>
      <c r="L25" s="2"/>
      <c r="M25" s="2"/>
      <c r="N25" s="2"/>
      <c r="O25" s="2"/>
      <c r="P25" s="2"/>
    </row>
    <row r="26" spans="1:16" ht="21" customHeight="1">
      <c r="A26" s="2"/>
      <c r="B26" s="9"/>
      <c r="C26" s="2"/>
      <c r="D26" s="2"/>
      <c r="E26" s="2"/>
      <c r="F26" s="2"/>
      <c r="G26" s="2"/>
      <c r="H26" s="2"/>
      <c r="I26" s="2"/>
      <c r="J26" s="2"/>
      <c r="K26" s="2"/>
      <c r="L26" s="2"/>
      <c r="M26" s="2"/>
      <c r="N26" s="2"/>
      <c r="O26" s="2"/>
      <c r="P26" s="2"/>
    </row>
    <row r="27" spans="1:16" ht="21" customHeight="1">
      <c r="A27" s="2"/>
      <c r="B27" s="9"/>
      <c r="C27" s="2"/>
      <c r="D27" s="2"/>
      <c r="E27" s="2"/>
      <c r="F27" s="2"/>
      <c r="G27" s="2"/>
      <c r="H27" s="2"/>
      <c r="I27" s="2"/>
      <c r="J27" s="2"/>
      <c r="K27" s="2"/>
      <c r="L27" s="2"/>
      <c r="M27" s="2"/>
      <c r="N27" s="2"/>
      <c r="O27" s="2"/>
      <c r="P27" s="2"/>
    </row>
    <row r="28" spans="1:16" ht="21" customHeight="1">
      <c r="A28" s="2"/>
      <c r="B28" s="9"/>
      <c r="C28" s="2"/>
      <c r="D28" s="2"/>
      <c r="E28" s="2"/>
      <c r="F28" s="2"/>
      <c r="G28" s="2"/>
      <c r="H28" s="2"/>
      <c r="I28" s="2"/>
      <c r="J28" s="2"/>
      <c r="K28" s="2"/>
      <c r="L28" s="2"/>
      <c r="M28" s="2"/>
      <c r="N28" s="2"/>
      <c r="O28" s="2"/>
      <c r="P28" s="2"/>
    </row>
    <row r="29" spans="1:16" ht="21" customHeight="1">
      <c r="A29" s="2"/>
      <c r="B29" s="9"/>
      <c r="C29" s="2"/>
      <c r="D29" s="2"/>
      <c r="E29" s="2"/>
      <c r="F29" s="2"/>
      <c r="G29" s="2"/>
      <c r="H29" s="2"/>
      <c r="I29" s="2"/>
      <c r="J29" s="2"/>
      <c r="K29" s="2"/>
      <c r="L29" s="2"/>
      <c r="M29" s="2"/>
      <c r="N29" s="2"/>
      <c r="O29" s="2"/>
      <c r="P29" s="2"/>
    </row>
    <row r="30" spans="1:16" ht="21" customHeight="1">
      <c r="A30" s="2"/>
      <c r="B30" s="9"/>
      <c r="C30" s="2"/>
      <c r="D30" s="2"/>
      <c r="E30" s="2"/>
      <c r="F30" s="2"/>
      <c r="G30" s="2"/>
      <c r="H30" s="2"/>
      <c r="I30" s="2"/>
      <c r="J30" s="2"/>
      <c r="K30" s="2"/>
      <c r="L30" s="2"/>
      <c r="M30" s="2"/>
      <c r="N30" s="2"/>
      <c r="O30" s="2"/>
      <c r="P30" s="2"/>
    </row>
    <row r="31" spans="1:16" ht="21" customHeight="1">
      <c r="A31" s="2"/>
      <c r="B31" s="9"/>
      <c r="C31" s="2"/>
      <c r="D31" s="2"/>
      <c r="E31" s="2"/>
      <c r="F31" s="2"/>
      <c r="G31" s="2"/>
      <c r="H31" s="2"/>
      <c r="I31" s="2"/>
      <c r="J31" s="2"/>
      <c r="K31" s="2"/>
      <c r="L31" s="2"/>
      <c r="M31" s="2"/>
      <c r="N31" s="2"/>
      <c r="O31" s="2"/>
      <c r="P31" s="2"/>
    </row>
    <row r="32" spans="1:16" ht="21" customHeight="1">
      <c r="A32" s="2"/>
      <c r="B32" s="9"/>
      <c r="C32" s="2"/>
      <c r="D32" s="2"/>
      <c r="E32" s="2"/>
      <c r="F32" s="2"/>
      <c r="G32" s="2"/>
      <c r="H32" s="2"/>
      <c r="I32" s="2"/>
      <c r="J32" s="2"/>
      <c r="K32" s="2"/>
      <c r="L32" s="2"/>
      <c r="M32" s="2"/>
      <c r="N32" s="2"/>
      <c r="O32" s="2"/>
      <c r="P32" s="2"/>
    </row>
    <row r="33" spans="1:16" ht="21" customHeight="1">
      <c r="A33" s="2"/>
      <c r="B33" s="9"/>
      <c r="C33" s="2"/>
      <c r="D33" s="2"/>
      <c r="E33" s="2"/>
      <c r="F33" s="2"/>
      <c r="G33" s="2"/>
      <c r="H33" s="2"/>
      <c r="I33" s="2"/>
      <c r="J33" s="2"/>
      <c r="K33" s="2"/>
      <c r="L33" s="2"/>
      <c r="M33" s="2"/>
      <c r="N33" s="2"/>
      <c r="O33" s="2"/>
      <c r="P33" s="2"/>
    </row>
    <row r="34" spans="1:16" ht="21" customHeight="1">
      <c r="A34" s="2"/>
      <c r="B34" s="9"/>
      <c r="C34" s="2"/>
      <c r="D34" s="2"/>
      <c r="E34" s="2"/>
      <c r="F34" s="2"/>
      <c r="G34" s="2"/>
      <c r="H34" s="2"/>
      <c r="I34" s="2"/>
      <c r="J34" s="2"/>
      <c r="K34" s="2"/>
      <c r="L34" s="2"/>
      <c r="M34" s="2"/>
      <c r="N34" s="2"/>
      <c r="O34" s="2"/>
      <c r="P34" s="2"/>
    </row>
    <row r="35" spans="1:16" ht="21" customHeight="1">
      <c r="A35" s="2"/>
      <c r="B35" s="9"/>
      <c r="C35" s="2"/>
      <c r="D35" s="2"/>
      <c r="E35" s="2"/>
      <c r="F35" s="2"/>
      <c r="G35" s="2"/>
      <c r="H35" s="2"/>
      <c r="I35" s="2"/>
      <c r="J35" s="2"/>
      <c r="K35" s="2"/>
      <c r="L35" s="2"/>
      <c r="M35" s="2"/>
      <c r="N35" s="2"/>
      <c r="O35" s="2"/>
      <c r="P35" s="2"/>
    </row>
    <row r="36" spans="1:16" ht="21" customHeight="1">
      <c r="A36" s="2"/>
      <c r="B36" s="9"/>
      <c r="C36" s="2"/>
      <c r="D36" s="2"/>
      <c r="E36" s="2"/>
      <c r="F36" s="2"/>
      <c r="G36" s="2"/>
      <c r="H36" s="2"/>
      <c r="I36" s="2"/>
      <c r="J36" s="2"/>
      <c r="K36" s="2"/>
      <c r="L36" s="2"/>
      <c r="M36" s="2"/>
      <c r="N36" s="2"/>
      <c r="O36" s="2"/>
      <c r="P36" s="2"/>
    </row>
    <row r="37" spans="1:16" ht="21" customHeight="1">
      <c r="A37" s="2"/>
      <c r="B37" s="9"/>
      <c r="C37" s="2"/>
      <c r="D37" s="2"/>
      <c r="E37" s="2"/>
      <c r="F37" s="2"/>
      <c r="G37" s="2"/>
      <c r="H37" s="2"/>
      <c r="I37" s="2"/>
      <c r="J37" s="2"/>
      <c r="K37" s="2"/>
      <c r="L37" s="2"/>
      <c r="M37" s="2"/>
      <c r="N37" s="2"/>
      <c r="O37" s="2"/>
      <c r="P37" s="2"/>
    </row>
    <row r="38" spans="1:16" ht="21" customHeight="1">
      <c r="A38" s="2"/>
      <c r="B38" s="9"/>
      <c r="C38" s="2"/>
      <c r="D38" s="2"/>
      <c r="E38" s="2"/>
      <c r="F38" s="2"/>
      <c r="G38" s="2"/>
      <c r="H38" s="2"/>
      <c r="I38" s="2"/>
      <c r="J38" s="2"/>
      <c r="K38" s="2"/>
      <c r="L38" s="2"/>
      <c r="M38" s="2"/>
      <c r="N38" s="2"/>
      <c r="O38" s="2"/>
      <c r="P38" s="2"/>
    </row>
    <row r="39" spans="1:16" ht="21" customHeight="1">
      <c r="A39" s="2"/>
      <c r="B39" s="9"/>
      <c r="C39" s="2"/>
      <c r="D39" s="2"/>
      <c r="E39" s="2"/>
      <c r="F39" s="2"/>
      <c r="G39" s="2"/>
      <c r="H39" s="2"/>
      <c r="I39" s="2"/>
      <c r="J39" s="2"/>
      <c r="K39" s="2"/>
      <c r="L39" s="2"/>
      <c r="M39" s="2"/>
      <c r="N39" s="2"/>
      <c r="O39" s="2"/>
      <c r="P39" s="2"/>
    </row>
    <row r="40" spans="1:16" ht="21" customHeight="1">
      <c r="A40" s="2"/>
      <c r="B40" s="9"/>
      <c r="C40" s="2"/>
      <c r="D40" s="2"/>
      <c r="E40" s="2"/>
      <c r="F40" s="2"/>
      <c r="G40" s="2"/>
      <c r="H40" s="2"/>
      <c r="I40" s="2"/>
      <c r="J40" s="2"/>
      <c r="K40" s="2"/>
      <c r="L40" s="2"/>
      <c r="M40" s="2"/>
      <c r="N40" s="2"/>
      <c r="O40" s="2"/>
      <c r="P40" s="2"/>
    </row>
    <row r="41" spans="1:16" ht="21" customHeight="1">
      <c r="A41" s="2"/>
      <c r="B41" s="9"/>
      <c r="C41" s="2"/>
      <c r="D41" s="2"/>
      <c r="E41" s="2"/>
      <c r="F41" s="2"/>
      <c r="G41" s="2"/>
      <c r="H41" s="2"/>
      <c r="I41" s="2"/>
      <c r="J41" s="2"/>
      <c r="K41" s="2"/>
      <c r="L41" s="2"/>
      <c r="M41" s="2"/>
      <c r="N41" s="2"/>
      <c r="O41" s="2"/>
      <c r="P41" s="2"/>
    </row>
    <row r="42" spans="1:16" ht="21" customHeight="1">
      <c r="A42" s="2"/>
      <c r="B42" s="9"/>
      <c r="C42" s="2"/>
      <c r="D42" s="2"/>
      <c r="E42" s="2"/>
      <c r="F42" s="2"/>
      <c r="G42" s="2"/>
      <c r="H42" s="2"/>
      <c r="I42" s="2"/>
      <c r="J42" s="2"/>
      <c r="K42" s="2"/>
      <c r="L42" s="2"/>
      <c r="M42" s="2"/>
      <c r="N42" s="2"/>
      <c r="O42" s="2"/>
      <c r="P42" s="2"/>
    </row>
    <row r="43" spans="1:16" ht="21" customHeight="1">
      <c r="A43" s="2"/>
      <c r="B43" s="9"/>
      <c r="C43" s="2"/>
      <c r="D43" s="2"/>
      <c r="E43" s="2"/>
      <c r="F43" s="2"/>
      <c r="G43" s="2"/>
      <c r="H43" s="2"/>
      <c r="I43" s="2"/>
      <c r="J43" s="2"/>
      <c r="K43" s="2"/>
      <c r="L43" s="2"/>
      <c r="M43" s="2"/>
      <c r="N43" s="2"/>
      <c r="O43" s="2"/>
      <c r="P43" s="2"/>
    </row>
    <row r="44" spans="1:16" ht="21" customHeight="1">
      <c r="A44" s="2"/>
      <c r="B44" s="9"/>
      <c r="C44" s="2"/>
      <c r="D44" s="2"/>
      <c r="E44" s="2"/>
      <c r="F44" s="2"/>
      <c r="G44" s="2"/>
      <c r="H44" s="2"/>
      <c r="I44" s="2"/>
      <c r="J44" s="2"/>
      <c r="K44" s="2"/>
      <c r="L44" s="2"/>
      <c r="M44" s="2"/>
      <c r="N44" s="2"/>
      <c r="O44" s="2"/>
      <c r="P44" s="2"/>
    </row>
    <row r="45" spans="1:16" ht="21" customHeight="1">
      <c r="A45" s="2"/>
      <c r="B45" s="9"/>
      <c r="C45" s="2"/>
      <c r="D45" s="2"/>
      <c r="E45" s="2"/>
      <c r="F45" s="2"/>
      <c r="G45" s="2"/>
      <c r="H45" s="2"/>
      <c r="I45" s="2"/>
      <c r="J45" s="2"/>
      <c r="K45" s="2"/>
      <c r="L45" s="2"/>
      <c r="M45" s="2"/>
      <c r="N45" s="2"/>
      <c r="O45" s="2"/>
      <c r="P45" s="2"/>
    </row>
    <row r="46" spans="1:16" ht="21" customHeight="1">
      <c r="A46" s="2"/>
      <c r="B46" s="9"/>
      <c r="C46" s="2"/>
      <c r="D46" s="2"/>
      <c r="E46" s="2"/>
      <c r="F46" s="2"/>
      <c r="G46" s="2"/>
      <c r="H46" s="2"/>
      <c r="I46" s="2"/>
      <c r="J46" s="2"/>
      <c r="K46" s="2"/>
      <c r="L46" s="2"/>
      <c r="M46" s="2"/>
      <c r="N46" s="2"/>
      <c r="O46" s="2"/>
      <c r="P46" s="2"/>
    </row>
    <row r="47" spans="1:16" ht="21" customHeight="1">
      <c r="A47" s="2"/>
      <c r="B47" s="9"/>
      <c r="C47" s="2"/>
      <c r="D47" s="2"/>
      <c r="E47" s="2"/>
      <c r="F47" s="2"/>
      <c r="G47" s="2"/>
      <c r="H47" s="2"/>
      <c r="I47" s="2"/>
      <c r="J47" s="2"/>
      <c r="K47" s="2"/>
      <c r="L47" s="2"/>
      <c r="M47" s="2"/>
      <c r="N47" s="2"/>
      <c r="O47" s="2"/>
      <c r="P47" s="2"/>
    </row>
    <row r="48" spans="1:16" ht="21" customHeight="1">
      <c r="A48" s="2"/>
      <c r="B48" s="9"/>
      <c r="C48" s="2"/>
      <c r="D48" s="2"/>
      <c r="E48" s="2"/>
      <c r="F48" s="2"/>
      <c r="G48" s="2"/>
      <c r="H48" s="2"/>
      <c r="I48" s="2"/>
      <c r="J48" s="2"/>
      <c r="K48" s="2"/>
      <c r="L48" s="2"/>
      <c r="M48" s="2"/>
      <c r="N48" s="2"/>
      <c r="O48" s="2"/>
      <c r="P48" s="2"/>
    </row>
    <row r="49" spans="1:16" ht="21" customHeight="1">
      <c r="A49" s="2"/>
      <c r="B49" s="9"/>
      <c r="C49" s="2"/>
      <c r="D49" s="2"/>
      <c r="E49" s="2"/>
      <c r="F49" s="2"/>
      <c r="G49" s="2"/>
      <c r="H49" s="2"/>
      <c r="I49" s="2"/>
      <c r="J49" s="2"/>
      <c r="K49" s="2"/>
      <c r="L49" s="2"/>
      <c r="M49" s="2"/>
      <c r="N49" s="2"/>
      <c r="O49" s="2"/>
      <c r="P49" s="2"/>
    </row>
    <row r="50" spans="1:16" ht="21" customHeight="1">
      <c r="A50" s="2"/>
      <c r="B50" s="9"/>
      <c r="C50" s="2"/>
      <c r="D50" s="2"/>
      <c r="E50" s="2"/>
      <c r="F50" s="2"/>
      <c r="G50" s="2"/>
      <c r="H50" s="2"/>
      <c r="I50" s="2"/>
      <c r="J50" s="2"/>
      <c r="K50" s="2"/>
      <c r="L50" s="2"/>
      <c r="M50" s="2"/>
      <c r="N50" s="2"/>
      <c r="O50" s="2"/>
      <c r="P50" s="2"/>
    </row>
    <row r="51" spans="1:16" ht="21" customHeight="1">
      <c r="A51" s="2"/>
      <c r="B51" s="2"/>
      <c r="C51" s="2"/>
      <c r="D51" s="2"/>
      <c r="E51" s="2"/>
      <c r="F51" s="2"/>
      <c r="G51" s="2"/>
      <c r="H51" s="2"/>
      <c r="I51" s="2"/>
      <c r="J51" s="2"/>
      <c r="K51" s="2"/>
      <c r="L51" s="2"/>
      <c r="M51" s="2"/>
      <c r="N51" s="2"/>
      <c r="O51" s="2"/>
      <c r="P51" s="2"/>
    </row>
    <row r="52" spans="1:16" ht="21" customHeight="1">
      <c r="A52" s="2"/>
      <c r="B52" s="2"/>
      <c r="C52" s="2"/>
      <c r="D52" s="2"/>
      <c r="E52" s="2"/>
      <c r="F52" s="2"/>
      <c r="G52" s="2"/>
      <c r="H52" s="2"/>
      <c r="I52" s="2"/>
      <c r="J52" s="2"/>
      <c r="K52" s="2"/>
      <c r="L52" s="2"/>
      <c r="M52" s="2"/>
      <c r="N52" s="2"/>
      <c r="O52" s="2"/>
      <c r="P52" s="2"/>
    </row>
    <row r="53" spans="1:16" ht="21" customHeight="1">
      <c r="A53" s="2"/>
      <c r="B53" s="2"/>
      <c r="C53" s="2"/>
      <c r="D53" s="2"/>
      <c r="E53" s="2"/>
      <c r="F53" s="2"/>
      <c r="G53" s="2"/>
      <c r="H53" s="2"/>
      <c r="I53" s="2"/>
      <c r="J53" s="2"/>
      <c r="K53" s="2"/>
      <c r="L53" s="2"/>
      <c r="M53" s="2"/>
      <c r="N53" s="2"/>
      <c r="O53" s="2"/>
      <c r="P53" s="2"/>
    </row>
    <row r="54" spans="1:16" ht="21" customHeight="1">
      <c r="A54" s="2"/>
      <c r="B54" s="2"/>
      <c r="C54" s="2"/>
      <c r="D54" s="2"/>
      <c r="E54" s="2"/>
      <c r="F54" s="2"/>
      <c r="G54" s="2"/>
      <c r="H54" s="2"/>
      <c r="I54" s="2"/>
      <c r="J54" s="2"/>
      <c r="K54" s="2"/>
      <c r="L54" s="2"/>
      <c r="M54" s="2"/>
      <c r="N54" s="2"/>
      <c r="O54" s="2"/>
      <c r="P54" s="2"/>
    </row>
    <row r="55" spans="1:16" ht="21" customHeight="1">
      <c r="A55" s="2"/>
      <c r="B55" s="2"/>
      <c r="C55" s="2"/>
      <c r="D55" s="2"/>
      <c r="E55" s="2"/>
      <c r="F55" s="2"/>
      <c r="G55" s="2"/>
      <c r="H55" s="2"/>
      <c r="I55" s="2"/>
      <c r="J55" s="2"/>
      <c r="K55" s="2"/>
      <c r="L55" s="2"/>
      <c r="M55" s="2"/>
      <c r="N55" s="2"/>
      <c r="O55" s="2"/>
      <c r="P55" s="2"/>
    </row>
    <row r="56" spans="1:16" ht="21" customHeight="1">
      <c r="A56" s="2"/>
      <c r="B56" s="2"/>
      <c r="C56" s="2"/>
      <c r="D56" s="2"/>
      <c r="E56" s="2"/>
      <c r="F56" s="2"/>
      <c r="G56" s="2"/>
      <c r="H56" s="2"/>
      <c r="I56" s="2"/>
      <c r="J56" s="2"/>
      <c r="K56" s="2"/>
      <c r="L56" s="2"/>
      <c r="M56" s="2"/>
      <c r="N56" s="2"/>
      <c r="O56" s="2"/>
      <c r="P56" s="2"/>
    </row>
    <row r="57" spans="1:16" ht="21" customHeight="1">
      <c r="A57" s="2"/>
      <c r="B57" s="2"/>
      <c r="C57" s="2"/>
      <c r="D57" s="2"/>
      <c r="E57" s="2"/>
      <c r="F57" s="2"/>
      <c r="G57" s="2"/>
      <c r="H57" s="2"/>
      <c r="I57" s="2"/>
      <c r="J57" s="2"/>
      <c r="K57" s="2"/>
      <c r="L57" s="2"/>
      <c r="M57" s="2"/>
      <c r="N57" s="2"/>
      <c r="O57" s="2"/>
      <c r="P57" s="2"/>
    </row>
    <row r="58" spans="1:16" ht="21" customHeight="1">
      <c r="A58" s="2"/>
      <c r="B58" s="2"/>
      <c r="C58" s="2"/>
      <c r="D58" s="2"/>
      <c r="E58" s="2"/>
      <c r="F58" s="2"/>
      <c r="G58" s="2"/>
      <c r="H58" s="2"/>
      <c r="I58" s="2"/>
      <c r="J58" s="2"/>
      <c r="K58" s="2"/>
      <c r="L58" s="2"/>
      <c r="M58" s="2"/>
      <c r="N58" s="2"/>
      <c r="O58" s="2"/>
      <c r="P58" s="2"/>
    </row>
    <row r="59" spans="1:16" ht="21" customHeight="1">
      <c r="A59" s="2"/>
      <c r="B59" s="2"/>
      <c r="C59" s="2"/>
      <c r="D59" s="2"/>
      <c r="E59" s="2"/>
      <c r="F59" s="2"/>
      <c r="G59" s="2"/>
      <c r="H59" s="2"/>
      <c r="I59" s="2"/>
      <c r="J59" s="2"/>
      <c r="K59" s="2"/>
      <c r="L59" s="2"/>
      <c r="M59" s="2"/>
      <c r="N59" s="2"/>
      <c r="O59" s="2"/>
      <c r="P59" s="2"/>
    </row>
    <row r="60" spans="1:16" ht="21" customHeight="1">
      <c r="A60" s="2"/>
      <c r="B60" s="2"/>
      <c r="C60" s="2"/>
      <c r="D60" s="2"/>
      <c r="E60" s="2"/>
      <c r="F60" s="2"/>
      <c r="G60" s="2"/>
      <c r="H60" s="2"/>
      <c r="I60" s="2"/>
      <c r="J60" s="2"/>
      <c r="K60" s="2"/>
      <c r="L60" s="2"/>
      <c r="M60" s="2"/>
      <c r="N60" s="2"/>
      <c r="O60" s="2"/>
      <c r="P60" s="2"/>
    </row>
    <row r="61" spans="1:16" ht="21" customHeight="1">
      <c r="A61" s="2"/>
      <c r="B61" s="2"/>
      <c r="C61" s="2"/>
      <c r="D61" s="2"/>
      <c r="E61" s="2"/>
      <c r="F61" s="2"/>
      <c r="G61" s="2"/>
      <c r="H61" s="2"/>
      <c r="I61" s="2"/>
      <c r="J61" s="2"/>
      <c r="K61" s="2"/>
      <c r="L61" s="2"/>
      <c r="M61" s="2"/>
      <c r="N61" s="2"/>
      <c r="O61" s="2"/>
      <c r="P61" s="2"/>
    </row>
    <row r="62" spans="1:16" ht="21" customHeight="1">
      <c r="A62" s="2"/>
      <c r="B62" s="2"/>
      <c r="C62" s="2"/>
      <c r="D62" s="2"/>
      <c r="E62" s="2"/>
      <c r="F62" s="2"/>
      <c r="G62" s="2"/>
      <c r="H62" s="2"/>
      <c r="I62" s="2"/>
      <c r="J62" s="2"/>
      <c r="K62" s="2"/>
      <c r="L62" s="2"/>
      <c r="M62" s="2"/>
      <c r="N62" s="2"/>
      <c r="O62" s="2"/>
      <c r="P62" s="2"/>
    </row>
    <row r="63" spans="1:16" ht="21" customHeight="1">
      <c r="A63" s="2"/>
      <c r="B63" s="2"/>
      <c r="C63" s="2"/>
      <c r="D63" s="2"/>
      <c r="E63" s="2"/>
      <c r="F63" s="2"/>
      <c r="G63" s="2"/>
      <c r="H63" s="2"/>
      <c r="I63" s="2"/>
      <c r="J63" s="2"/>
      <c r="K63" s="2"/>
      <c r="L63" s="2"/>
      <c r="M63" s="2"/>
      <c r="N63" s="2"/>
      <c r="O63" s="2"/>
      <c r="P63" s="2"/>
    </row>
    <row r="64" spans="1:16" ht="21" customHeight="1">
      <c r="A64" s="2"/>
      <c r="B64" s="2"/>
      <c r="C64" s="2"/>
      <c r="D64" s="2"/>
      <c r="E64" s="2"/>
      <c r="F64" s="2"/>
      <c r="G64" s="2"/>
      <c r="H64" s="2"/>
      <c r="I64" s="2"/>
      <c r="J64" s="2"/>
      <c r="K64" s="2"/>
      <c r="L64" s="2"/>
      <c r="M64" s="2"/>
      <c r="N64" s="2"/>
      <c r="O64" s="2"/>
      <c r="P64" s="2"/>
    </row>
    <row r="65" spans="1:16" ht="21" customHeight="1">
      <c r="A65" s="2"/>
      <c r="B65" s="2"/>
      <c r="C65" s="2"/>
      <c r="D65" s="2"/>
      <c r="E65" s="2"/>
      <c r="F65" s="2"/>
      <c r="G65" s="2"/>
      <c r="H65" s="2"/>
      <c r="I65" s="2"/>
      <c r="J65" s="2"/>
      <c r="K65" s="2"/>
      <c r="L65" s="2"/>
      <c r="M65" s="2"/>
      <c r="N65" s="2"/>
      <c r="O65" s="2"/>
      <c r="P65" s="2"/>
    </row>
    <row r="66" spans="1:16" ht="21" customHeight="1">
      <c r="A66" s="2"/>
      <c r="B66" s="2"/>
      <c r="C66" s="2"/>
      <c r="D66" s="2"/>
      <c r="E66" s="2"/>
      <c r="F66" s="2"/>
      <c r="G66" s="2"/>
      <c r="H66" s="2"/>
      <c r="I66" s="2"/>
      <c r="J66" s="2"/>
      <c r="K66" s="2"/>
      <c r="L66" s="2"/>
      <c r="M66" s="2"/>
      <c r="N66" s="2"/>
      <c r="O66" s="2"/>
      <c r="P66" s="2"/>
    </row>
    <row r="67" spans="1:16" ht="21" customHeight="1">
      <c r="A67" s="2"/>
      <c r="B67" s="2"/>
      <c r="C67" s="2"/>
      <c r="D67" s="2"/>
      <c r="E67" s="2"/>
      <c r="F67" s="2"/>
      <c r="G67" s="2"/>
      <c r="H67" s="2"/>
      <c r="I67" s="2"/>
      <c r="J67" s="2"/>
      <c r="K67" s="2"/>
      <c r="L67" s="2"/>
      <c r="M67" s="2"/>
      <c r="N67" s="2"/>
      <c r="O67" s="2"/>
      <c r="P67" s="2"/>
    </row>
    <row r="68" spans="1:16" ht="21" customHeight="1">
      <c r="A68" s="2"/>
      <c r="B68" s="2"/>
      <c r="C68" s="2"/>
      <c r="D68" s="2"/>
      <c r="E68" s="2"/>
      <c r="F68" s="2"/>
      <c r="G68" s="2"/>
      <c r="H68" s="2"/>
      <c r="I68" s="2"/>
      <c r="J68" s="2"/>
      <c r="K68" s="2"/>
      <c r="L68" s="2"/>
      <c r="M68" s="2"/>
      <c r="N68" s="2"/>
      <c r="O68" s="2"/>
      <c r="P68" s="2"/>
    </row>
    <row r="69" spans="1:16" ht="21" customHeight="1">
      <c r="A69" s="2"/>
      <c r="B69" s="2"/>
      <c r="C69" s="2"/>
      <c r="D69" s="2"/>
      <c r="E69" s="2"/>
      <c r="F69" s="2"/>
      <c r="G69" s="2"/>
      <c r="H69" s="2"/>
      <c r="I69" s="2"/>
      <c r="J69" s="2"/>
      <c r="K69" s="2"/>
      <c r="L69" s="2"/>
      <c r="M69" s="2"/>
      <c r="N69" s="2"/>
      <c r="O69" s="2"/>
      <c r="P69" s="2"/>
    </row>
    <row r="70" spans="1:16" ht="21" customHeight="1">
      <c r="A70" s="2"/>
      <c r="B70" s="2"/>
      <c r="C70" s="2"/>
      <c r="D70" s="2"/>
      <c r="E70" s="2"/>
      <c r="F70" s="2"/>
      <c r="G70" s="2"/>
      <c r="H70" s="2"/>
      <c r="I70" s="2"/>
      <c r="J70" s="2"/>
      <c r="K70" s="2"/>
      <c r="L70" s="2"/>
      <c r="M70" s="2"/>
      <c r="N70" s="2"/>
      <c r="O70" s="2"/>
      <c r="P70" s="2"/>
    </row>
    <row r="71" spans="1:16" ht="21" customHeight="1">
      <c r="A71" s="2"/>
      <c r="B71" s="2"/>
      <c r="C71" s="2"/>
      <c r="D71" s="2"/>
      <c r="E71" s="2"/>
      <c r="F71" s="2"/>
      <c r="G71" s="2"/>
      <c r="H71" s="2"/>
      <c r="I71" s="2"/>
      <c r="J71" s="2"/>
      <c r="K71" s="2"/>
      <c r="L71" s="2"/>
      <c r="M71" s="2"/>
      <c r="N71" s="2"/>
      <c r="O71" s="2"/>
      <c r="P71" s="2"/>
    </row>
    <row r="72" spans="1:16" ht="21" customHeight="1">
      <c r="A72" s="2"/>
      <c r="B72" s="2"/>
      <c r="C72" s="2"/>
      <c r="D72" s="2"/>
      <c r="E72" s="2"/>
      <c r="F72" s="2"/>
      <c r="G72" s="2"/>
      <c r="H72" s="2"/>
      <c r="I72" s="2"/>
      <c r="J72" s="2"/>
      <c r="K72" s="2"/>
      <c r="L72" s="2"/>
      <c r="M72" s="2"/>
      <c r="N72" s="2"/>
      <c r="O72" s="2"/>
      <c r="P72" s="2"/>
    </row>
    <row r="73" spans="1:16" ht="21" customHeight="1">
      <c r="A73" s="2"/>
      <c r="B73" s="2"/>
      <c r="C73" s="2"/>
      <c r="D73" s="2"/>
      <c r="E73" s="2"/>
      <c r="F73" s="2"/>
      <c r="G73" s="2"/>
      <c r="H73" s="2"/>
      <c r="I73" s="2"/>
      <c r="J73" s="2"/>
      <c r="K73" s="2"/>
      <c r="L73" s="2"/>
      <c r="M73" s="2"/>
      <c r="N73" s="2"/>
      <c r="O73" s="2"/>
      <c r="P73" s="2"/>
    </row>
    <row r="74" spans="1:16" ht="21" customHeight="1">
      <c r="A74" s="2"/>
      <c r="B74" s="2"/>
      <c r="C74" s="2"/>
      <c r="D74" s="2"/>
      <c r="E74" s="2"/>
      <c r="F74" s="2"/>
      <c r="G74" s="2"/>
      <c r="H74" s="2"/>
      <c r="I74" s="2"/>
      <c r="J74" s="2"/>
      <c r="K74" s="2"/>
      <c r="L74" s="2"/>
      <c r="M74" s="2"/>
      <c r="N74" s="2"/>
      <c r="O74" s="2"/>
      <c r="P74" s="2"/>
    </row>
    <row r="75" spans="1:16" ht="21" customHeight="1">
      <c r="A75" s="2"/>
      <c r="B75" s="2"/>
      <c r="C75" s="2"/>
      <c r="D75" s="2"/>
      <c r="E75" s="2"/>
      <c r="F75" s="2"/>
      <c r="G75" s="2"/>
      <c r="H75" s="2"/>
      <c r="I75" s="2"/>
      <c r="J75" s="2"/>
      <c r="K75" s="2"/>
      <c r="L75" s="2"/>
      <c r="M75" s="2"/>
      <c r="N75" s="2"/>
      <c r="O75" s="2"/>
      <c r="P75" s="2"/>
    </row>
    <row r="76" spans="1:16" ht="21" customHeight="1">
      <c r="A76" s="2"/>
      <c r="B76" s="2"/>
      <c r="C76" s="2"/>
      <c r="D76" s="2"/>
      <c r="E76" s="2"/>
      <c r="F76" s="2"/>
      <c r="G76" s="2"/>
      <c r="H76" s="2"/>
      <c r="I76" s="2"/>
      <c r="J76" s="2"/>
      <c r="K76" s="2"/>
      <c r="L76" s="2"/>
      <c r="M76" s="2"/>
      <c r="N76" s="2"/>
      <c r="O76" s="2"/>
      <c r="P76" s="2"/>
    </row>
    <row r="77" spans="1:16" ht="21" customHeight="1">
      <c r="A77" s="2"/>
      <c r="B77" s="2"/>
      <c r="C77" s="2"/>
      <c r="D77" s="2"/>
      <c r="E77" s="2"/>
      <c r="F77" s="2"/>
      <c r="G77" s="2"/>
      <c r="H77" s="2"/>
      <c r="I77" s="2"/>
      <c r="J77" s="2"/>
      <c r="K77" s="2"/>
      <c r="L77" s="2"/>
      <c r="M77" s="2"/>
      <c r="N77" s="2"/>
      <c r="O77" s="2"/>
      <c r="P77" s="2"/>
    </row>
    <row r="78" spans="1:16" ht="21" customHeight="1">
      <c r="A78" s="2"/>
      <c r="B78" s="2"/>
      <c r="C78" s="2"/>
      <c r="D78" s="2"/>
      <c r="E78" s="2"/>
      <c r="F78" s="2"/>
      <c r="G78" s="2"/>
      <c r="H78" s="2"/>
      <c r="I78" s="2"/>
      <c r="J78" s="2"/>
      <c r="K78" s="2"/>
      <c r="L78" s="2"/>
      <c r="M78" s="2"/>
      <c r="N78" s="2"/>
      <c r="O78" s="2"/>
      <c r="P78" s="2"/>
    </row>
    <row r="79" spans="1:16" ht="21" customHeight="1">
      <c r="A79" s="2"/>
      <c r="B79" s="2"/>
      <c r="C79" s="2"/>
      <c r="D79" s="2"/>
      <c r="E79" s="2"/>
      <c r="F79" s="2"/>
      <c r="G79" s="2"/>
      <c r="H79" s="2"/>
      <c r="I79" s="2"/>
      <c r="J79" s="2"/>
      <c r="K79" s="2"/>
      <c r="L79" s="2"/>
      <c r="M79" s="2"/>
      <c r="N79" s="2"/>
      <c r="O79" s="2"/>
      <c r="P79" s="2"/>
    </row>
    <row r="80" spans="1:16" ht="21" customHeight="1">
      <c r="A80" s="2"/>
      <c r="B80" s="2"/>
      <c r="C80" s="2"/>
      <c r="D80" s="2"/>
      <c r="E80" s="2"/>
      <c r="F80" s="2"/>
      <c r="G80" s="2"/>
      <c r="H80" s="2"/>
      <c r="I80" s="2"/>
      <c r="J80" s="2"/>
      <c r="K80" s="2"/>
      <c r="L80" s="2"/>
      <c r="M80" s="2"/>
      <c r="N80" s="2"/>
      <c r="O80" s="2"/>
      <c r="P80" s="2"/>
    </row>
    <row r="81" spans="1:16" ht="21" customHeight="1">
      <c r="A81" s="2"/>
      <c r="B81" s="2"/>
      <c r="C81" s="2"/>
      <c r="D81" s="2"/>
      <c r="E81" s="2"/>
      <c r="F81" s="2"/>
      <c r="G81" s="2"/>
      <c r="H81" s="2"/>
      <c r="I81" s="2"/>
      <c r="J81" s="2"/>
      <c r="K81" s="2"/>
      <c r="L81" s="2"/>
      <c r="M81" s="2"/>
      <c r="N81" s="2"/>
      <c r="O81" s="2"/>
      <c r="P81" s="2"/>
    </row>
    <row r="82" spans="1:16" ht="21" customHeight="1">
      <c r="A82" s="2"/>
      <c r="B82" s="2"/>
      <c r="C82" s="2"/>
      <c r="D82" s="2"/>
      <c r="E82" s="2"/>
      <c r="F82" s="2"/>
      <c r="G82" s="2"/>
      <c r="H82" s="2"/>
      <c r="I82" s="2"/>
      <c r="J82" s="2"/>
      <c r="K82" s="2"/>
      <c r="L82" s="2"/>
      <c r="M82" s="2"/>
      <c r="N82" s="2"/>
      <c r="O82" s="2"/>
      <c r="P82" s="2"/>
    </row>
    <row r="83" spans="1:16" ht="21" customHeight="1">
      <c r="A83" s="2"/>
      <c r="B83" s="2"/>
      <c r="C83" s="2"/>
      <c r="D83" s="2"/>
      <c r="E83" s="2"/>
      <c r="F83" s="2"/>
      <c r="G83" s="2"/>
      <c r="H83" s="2"/>
      <c r="I83" s="2"/>
      <c r="J83" s="2"/>
      <c r="K83" s="2"/>
      <c r="L83" s="2"/>
      <c r="M83" s="2"/>
      <c r="N83" s="2"/>
      <c r="O83" s="2"/>
      <c r="P83" s="2"/>
    </row>
    <row r="84" spans="1:16" ht="21" customHeight="1">
      <c r="A84" s="2"/>
      <c r="B84" s="2"/>
      <c r="C84" s="2"/>
      <c r="D84" s="2"/>
      <c r="E84" s="2"/>
      <c r="F84" s="2"/>
      <c r="G84" s="2"/>
      <c r="H84" s="2"/>
      <c r="I84" s="2"/>
      <c r="J84" s="2"/>
      <c r="K84" s="2"/>
      <c r="L84" s="2"/>
      <c r="M84" s="2"/>
      <c r="N84" s="2"/>
      <c r="O84" s="2"/>
      <c r="P84" s="2"/>
    </row>
    <row r="85" spans="1:16" ht="21" customHeight="1">
      <c r="A85" s="2"/>
      <c r="B85" s="2"/>
      <c r="C85" s="2"/>
      <c r="D85" s="2"/>
      <c r="E85" s="2"/>
      <c r="F85" s="2"/>
      <c r="G85" s="2"/>
      <c r="H85" s="2"/>
      <c r="I85" s="2"/>
      <c r="J85" s="2"/>
      <c r="K85" s="2"/>
      <c r="L85" s="2"/>
      <c r="M85" s="2"/>
      <c r="N85" s="2"/>
      <c r="O85" s="2"/>
      <c r="P85" s="2"/>
    </row>
    <row r="86" spans="1:16" ht="21" customHeight="1">
      <c r="A86" s="2"/>
      <c r="B86" s="2"/>
      <c r="C86" s="2"/>
      <c r="D86" s="2"/>
      <c r="E86" s="2"/>
      <c r="F86" s="2"/>
      <c r="G86" s="2"/>
      <c r="H86" s="2"/>
      <c r="I86" s="2"/>
      <c r="J86" s="2"/>
      <c r="K86" s="2"/>
      <c r="L86" s="2"/>
      <c r="M86" s="2"/>
      <c r="N86" s="2"/>
      <c r="O86" s="2"/>
      <c r="P86" s="2"/>
    </row>
    <row r="87" spans="1:16" ht="21" customHeight="1">
      <c r="A87" s="2"/>
      <c r="B87" s="2"/>
      <c r="C87" s="2"/>
      <c r="D87" s="2"/>
      <c r="E87" s="2"/>
      <c r="F87" s="2"/>
      <c r="G87" s="2"/>
      <c r="H87" s="2"/>
      <c r="I87" s="2"/>
      <c r="J87" s="2"/>
      <c r="K87" s="2"/>
      <c r="L87" s="2"/>
      <c r="M87" s="2"/>
      <c r="N87" s="2"/>
      <c r="O87" s="2"/>
      <c r="P87" s="2"/>
    </row>
    <row r="88" spans="1:16" ht="21" customHeight="1">
      <c r="A88" s="2"/>
      <c r="B88" s="2"/>
      <c r="C88" s="2"/>
      <c r="D88" s="2"/>
      <c r="E88" s="2"/>
      <c r="F88" s="2"/>
      <c r="G88" s="2"/>
      <c r="H88" s="2"/>
      <c r="I88" s="2"/>
      <c r="J88" s="2"/>
      <c r="K88" s="2"/>
      <c r="L88" s="2"/>
      <c r="M88" s="2"/>
      <c r="N88" s="2"/>
      <c r="O88" s="2"/>
      <c r="P88" s="2"/>
    </row>
    <row r="89" spans="1:16" ht="21" customHeight="1">
      <c r="A89" s="2"/>
      <c r="B89" s="2"/>
      <c r="C89" s="2"/>
      <c r="D89" s="2"/>
      <c r="E89" s="2"/>
      <c r="F89" s="2"/>
      <c r="G89" s="2"/>
      <c r="H89" s="2"/>
      <c r="I89" s="2"/>
      <c r="J89" s="2"/>
      <c r="K89" s="2"/>
      <c r="L89" s="2"/>
      <c r="M89" s="2"/>
      <c r="N89" s="2"/>
      <c r="O89" s="2"/>
      <c r="P89" s="2"/>
    </row>
    <row r="90" spans="1:16" ht="21" customHeight="1">
      <c r="A90" s="2"/>
      <c r="B90" s="2"/>
      <c r="C90" s="2"/>
      <c r="D90" s="2"/>
      <c r="E90" s="2"/>
      <c r="F90" s="2"/>
      <c r="G90" s="2"/>
      <c r="H90" s="2"/>
      <c r="I90" s="2"/>
      <c r="J90" s="2"/>
      <c r="K90" s="2"/>
      <c r="L90" s="2"/>
      <c r="M90" s="2"/>
      <c r="N90" s="2"/>
      <c r="O90" s="2"/>
      <c r="P90" s="2"/>
    </row>
    <row r="91" spans="1:16" ht="21" customHeight="1">
      <c r="A91" s="2"/>
      <c r="B91" s="2"/>
      <c r="C91" s="2"/>
      <c r="D91" s="2"/>
      <c r="E91" s="2"/>
      <c r="F91" s="2"/>
      <c r="G91" s="2"/>
      <c r="H91" s="2"/>
      <c r="I91" s="2"/>
      <c r="J91" s="2"/>
      <c r="K91" s="2"/>
      <c r="L91" s="2"/>
      <c r="M91" s="2"/>
      <c r="N91" s="2"/>
      <c r="O91" s="2"/>
      <c r="P91" s="2"/>
    </row>
    <row r="92" spans="1:16" ht="21" customHeight="1">
      <c r="A92" s="2"/>
      <c r="B92" s="2"/>
      <c r="C92" s="2"/>
      <c r="D92" s="2"/>
      <c r="E92" s="2"/>
      <c r="F92" s="2"/>
      <c r="G92" s="2"/>
      <c r="H92" s="2"/>
      <c r="I92" s="2"/>
      <c r="J92" s="2"/>
      <c r="K92" s="2"/>
      <c r="L92" s="2"/>
      <c r="M92" s="2"/>
      <c r="N92" s="2"/>
      <c r="O92" s="2"/>
      <c r="P92" s="2"/>
    </row>
    <row r="93" spans="1:16" ht="21" customHeight="1">
      <c r="A93" s="2"/>
      <c r="B93" s="2"/>
      <c r="C93" s="2"/>
      <c r="D93" s="2"/>
      <c r="E93" s="2"/>
      <c r="F93" s="2"/>
      <c r="G93" s="2"/>
      <c r="H93" s="2"/>
      <c r="I93" s="2"/>
      <c r="J93" s="2"/>
      <c r="K93" s="2"/>
      <c r="L93" s="2"/>
      <c r="M93" s="2"/>
      <c r="N93" s="2"/>
      <c r="O93" s="2"/>
      <c r="P93" s="2"/>
    </row>
    <row r="94" spans="1:16" ht="21" customHeight="1">
      <c r="A94" s="2"/>
      <c r="B94" s="2"/>
      <c r="C94" s="2"/>
      <c r="D94" s="2"/>
      <c r="E94" s="2"/>
      <c r="F94" s="2"/>
      <c r="G94" s="2"/>
      <c r="H94" s="2"/>
      <c r="I94" s="2"/>
      <c r="J94" s="2"/>
      <c r="K94" s="2"/>
      <c r="L94" s="2"/>
      <c r="M94" s="2"/>
      <c r="N94" s="2"/>
      <c r="O94" s="2"/>
      <c r="P94" s="2"/>
    </row>
    <row r="95" spans="1:16" ht="21" customHeight="1">
      <c r="A95" s="2"/>
      <c r="B95" s="2"/>
      <c r="C95" s="2"/>
      <c r="D95" s="2"/>
      <c r="E95" s="2"/>
      <c r="F95" s="2"/>
      <c r="G95" s="2"/>
      <c r="H95" s="2"/>
      <c r="I95" s="2"/>
      <c r="J95" s="2"/>
      <c r="K95" s="2"/>
      <c r="L95" s="2"/>
      <c r="M95" s="2"/>
      <c r="N95" s="2"/>
      <c r="O95" s="2"/>
      <c r="P95" s="2"/>
    </row>
    <row r="96" spans="1:16" ht="21" customHeight="1">
      <c r="A96" s="2"/>
      <c r="B96" s="2"/>
      <c r="C96" s="2"/>
      <c r="D96" s="2"/>
      <c r="E96" s="2"/>
      <c r="F96" s="2"/>
      <c r="G96" s="2"/>
      <c r="H96" s="2"/>
      <c r="I96" s="2"/>
      <c r="J96" s="2"/>
      <c r="K96" s="2"/>
      <c r="L96" s="2"/>
      <c r="M96" s="2"/>
      <c r="N96" s="2"/>
      <c r="O96" s="2"/>
      <c r="P96" s="2"/>
    </row>
    <row r="97" spans="1:16" ht="21" customHeight="1">
      <c r="A97" s="2"/>
      <c r="B97" s="2"/>
      <c r="C97" s="2"/>
      <c r="D97" s="2"/>
      <c r="E97" s="2"/>
      <c r="F97" s="2"/>
      <c r="G97" s="2"/>
      <c r="H97" s="2"/>
      <c r="I97" s="2"/>
      <c r="J97" s="2"/>
      <c r="K97" s="2"/>
      <c r="L97" s="2"/>
      <c r="M97" s="2"/>
      <c r="N97" s="2"/>
      <c r="O97" s="2"/>
      <c r="P97" s="2"/>
    </row>
    <row r="98" spans="1:16" ht="21" customHeight="1">
      <c r="A98" s="2"/>
      <c r="B98" s="2"/>
      <c r="C98" s="2"/>
      <c r="D98" s="2"/>
      <c r="E98" s="2"/>
      <c r="F98" s="2"/>
      <c r="G98" s="2"/>
      <c r="H98" s="2"/>
      <c r="I98" s="2"/>
      <c r="J98" s="2"/>
      <c r="K98" s="2"/>
      <c r="L98" s="2"/>
      <c r="M98" s="2"/>
      <c r="N98" s="2"/>
      <c r="O98" s="2"/>
      <c r="P98" s="2"/>
    </row>
    <row r="99" spans="1:16" ht="21" customHeight="1">
      <c r="A99" s="2"/>
      <c r="B99" s="2"/>
      <c r="C99" s="2"/>
      <c r="D99" s="2"/>
      <c r="E99" s="2"/>
      <c r="F99" s="2"/>
      <c r="G99" s="2"/>
      <c r="H99" s="2"/>
      <c r="I99" s="2"/>
      <c r="J99" s="2"/>
      <c r="K99" s="2"/>
      <c r="L99" s="2"/>
      <c r="M99" s="2"/>
      <c r="N99" s="2"/>
      <c r="O99" s="2"/>
      <c r="P99" s="2"/>
    </row>
    <row r="100" spans="1:16" ht="21" customHeight="1">
      <c r="A100" s="2"/>
      <c r="B100" s="2"/>
      <c r="C100" s="2"/>
      <c r="D100" s="2"/>
      <c r="E100" s="2"/>
      <c r="F100" s="2"/>
      <c r="G100" s="2"/>
      <c r="H100" s="2"/>
      <c r="I100" s="2"/>
      <c r="J100" s="2"/>
      <c r="K100" s="2"/>
      <c r="L100" s="2"/>
      <c r="M100" s="2"/>
      <c r="N100" s="2"/>
      <c r="O100" s="2"/>
      <c r="P100" s="2"/>
    </row>
    <row r="101" spans="1:16" ht="21" customHeight="1">
      <c r="A101" s="2"/>
      <c r="B101" s="2"/>
      <c r="C101" s="2"/>
      <c r="D101" s="2"/>
      <c r="E101" s="2"/>
      <c r="F101" s="2"/>
      <c r="G101" s="2"/>
      <c r="H101" s="2"/>
      <c r="I101" s="2"/>
      <c r="J101" s="2"/>
      <c r="K101" s="2"/>
      <c r="L101" s="2"/>
      <c r="M101" s="2"/>
      <c r="N101" s="2"/>
      <c r="O101" s="2"/>
      <c r="P101" s="2"/>
    </row>
    <row r="102" spans="1:16" ht="21" customHeight="1">
      <c r="A102" s="2"/>
      <c r="B102" s="2"/>
      <c r="C102" s="2"/>
      <c r="D102" s="2"/>
      <c r="E102" s="2"/>
      <c r="F102" s="2"/>
      <c r="G102" s="2"/>
      <c r="H102" s="2"/>
      <c r="I102" s="2"/>
      <c r="J102" s="2"/>
      <c r="K102" s="2"/>
      <c r="L102" s="2"/>
      <c r="M102" s="2"/>
      <c r="N102" s="2"/>
      <c r="O102" s="2"/>
      <c r="P102" s="2"/>
    </row>
    <row r="103" spans="1:16" ht="21" customHeight="1">
      <c r="A103" s="2"/>
      <c r="B103" s="2"/>
      <c r="C103" s="2"/>
      <c r="D103" s="2"/>
      <c r="E103" s="2"/>
      <c r="F103" s="2"/>
      <c r="G103" s="2"/>
      <c r="H103" s="2"/>
      <c r="I103" s="2"/>
      <c r="J103" s="2"/>
      <c r="K103" s="2"/>
      <c r="L103" s="2"/>
      <c r="M103" s="2"/>
      <c r="N103" s="2"/>
      <c r="O103" s="2"/>
      <c r="P103" s="2"/>
    </row>
    <row r="104" spans="1:16" ht="21" customHeight="1">
      <c r="A104" s="2"/>
      <c r="B104" s="2"/>
      <c r="C104" s="2"/>
      <c r="D104" s="2"/>
      <c r="E104" s="2"/>
      <c r="F104" s="2"/>
      <c r="G104" s="2"/>
      <c r="H104" s="2"/>
      <c r="I104" s="2"/>
      <c r="J104" s="2"/>
      <c r="K104" s="2"/>
      <c r="L104" s="2"/>
      <c r="M104" s="2"/>
      <c r="N104" s="2"/>
      <c r="O104" s="2"/>
      <c r="P104" s="2"/>
    </row>
    <row r="105" spans="1:16" ht="21" customHeight="1">
      <c r="A105" s="2"/>
      <c r="B105" s="2"/>
      <c r="C105" s="2"/>
      <c r="D105" s="2"/>
      <c r="E105" s="2"/>
      <c r="F105" s="2"/>
      <c r="G105" s="2"/>
      <c r="H105" s="2"/>
      <c r="I105" s="2"/>
      <c r="J105" s="2"/>
      <c r="K105" s="2"/>
      <c r="L105" s="2"/>
      <c r="M105" s="2"/>
      <c r="N105" s="2"/>
      <c r="O105" s="2"/>
      <c r="P105" s="2"/>
    </row>
    <row r="106" spans="1:16" ht="21" customHeight="1">
      <c r="A106" s="2"/>
      <c r="B106" s="2"/>
      <c r="C106" s="2"/>
      <c r="D106" s="2"/>
      <c r="E106" s="2"/>
      <c r="F106" s="2"/>
      <c r="G106" s="2"/>
      <c r="H106" s="2"/>
      <c r="I106" s="2"/>
      <c r="J106" s="2"/>
      <c r="K106" s="2"/>
      <c r="L106" s="2"/>
      <c r="M106" s="2"/>
      <c r="N106" s="2"/>
      <c r="O106" s="2"/>
      <c r="P106" s="2"/>
    </row>
    <row r="107" spans="1:16" ht="21" customHeight="1">
      <c r="A107" s="2"/>
      <c r="B107" s="2"/>
      <c r="C107" s="2"/>
      <c r="D107" s="2"/>
      <c r="E107" s="2"/>
      <c r="F107" s="2"/>
      <c r="G107" s="2"/>
      <c r="H107" s="2"/>
      <c r="I107" s="2"/>
      <c r="J107" s="2"/>
      <c r="K107" s="2"/>
      <c r="L107" s="2"/>
      <c r="M107" s="2"/>
      <c r="N107" s="2"/>
      <c r="O107" s="2"/>
      <c r="P107" s="2"/>
    </row>
    <row r="108" spans="1:16" ht="21" customHeight="1">
      <c r="A108" s="2"/>
      <c r="B108" s="2"/>
      <c r="C108" s="2"/>
      <c r="D108" s="2"/>
      <c r="E108" s="2"/>
      <c r="F108" s="2"/>
      <c r="G108" s="2"/>
      <c r="H108" s="2"/>
      <c r="I108" s="2"/>
      <c r="J108" s="2"/>
      <c r="K108" s="2"/>
      <c r="L108" s="2"/>
      <c r="M108" s="2"/>
      <c r="N108" s="2"/>
      <c r="O108" s="2"/>
      <c r="P108" s="2"/>
    </row>
    <row r="109" spans="1:16" ht="21" customHeight="1">
      <c r="A109" s="2"/>
      <c r="B109" s="2"/>
      <c r="C109" s="2"/>
      <c r="D109" s="2"/>
      <c r="E109" s="2"/>
      <c r="F109" s="2"/>
      <c r="G109" s="2"/>
      <c r="H109" s="2"/>
      <c r="I109" s="2"/>
      <c r="J109" s="2"/>
      <c r="K109" s="2"/>
      <c r="L109" s="2"/>
      <c r="M109" s="2"/>
      <c r="N109" s="2"/>
      <c r="O109" s="2"/>
      <c r="P109" s="2"/>
    </row>
    <row r="110" spans="1:16" ht="21" customHeight="1">
      <c r="A110" s="2"/>
      <c r="B110" s="2"/>
      <c r="C110" s="2"/>
      <c r="D110" s="2"/>
      <c r="E110" s="2"/>
      <c r="F110" s="2"/>
      <c r="G110" s="2"/>
      <c r="H110" s="2"/>
      <c r="I110" s="2"/>
      <c r="J110" s="2"/>
      <c r="K110" s="2"/>
      <c r="L110" s="2"/>
      <c r="M110" s="2"/>
      <c r="N110" s="2"/>
      <c r="O110" s="2"/>
      <c r="P110" s="2"/>
    </row>
    <row r="111" spans="1:16" ht="21" customHeight="1">
      <c r="A111" s="2"/>
      <c r="B111" s="2"/>
      <c r="C111" s="2"/>
      <c r="D111" s="2"/>
      <c r="E111" s="2"/>
      <c r="F111" s="2"/>
      <c r="G111" s="2"/>
      <c r="H111" s="2"/>
      <c r="I111" s="2"/>
      <c r="J111" s="2"/>
      <c r="K111" s="2"/>
      <c r="L111" s="2"/>
      <c r="M111" s="2"/>
      <c r="N111" s="2"/>
      <c r="O111" s="2"/>
      <c r="P111" s="2"/>
    </row>
    <row r="112" spans="1:16" ht="21" customHeight="1">
      <c r="A112" s="2"/>
      <c r="B112" s="2"/>
      <c r="C112" s="2"/>
      <c r="D112" s="2"/>
      <c r="E112" s="2"/>
      <c r="F112" s="2"/>
      <c r="G112" s="2"/>
      <c r="H112" s="2"/>
      <c r="I112" s="2"/>
      <c r="J112" s="2"/>
      <c r="K112" s="2"/>
      <c r="L112" s="2"/>
      <c r="M112" s="2"/>
      <c r="N112" s="2"/>
      <c r="O112" s="2"/>
      <c r="P112" s="2"/>
    </row>
    <row r="113" spans="1:16" ht="21" customHeight="1">
      <c r="A113" s="2"/>
      <c r="B113" s="2"/>
      <c r="C113" s="2"/>
      <c r="D113" s="2"/>
      <c r="E113" s="2"/>
      <c r="F113" s="2"/>
      <c r="G113" s="2"/>
      <c r="H113" s="2"/>
      <c r="I113" s="2"/>
      <c r="J113" s="2"/>
      <c r="K113" s="2"/>
      <c r="L113" s="2"/>
      <c r="M113" s="2"/>
      <c r="N113" s="2"/>
      <c r="O113" s="2"/>
      <c r="P113" s="2"/>
    </row>
    <row r="114" spans="1:16" ht="21" customHeight="1">
      <c r="A114" s="2"/>
      <c r="B114" s="2"/>
      <c r="C114" s="2"/>
      <c r="D114" s="2"/>
      <c r="E114" s="2"/>
      <c r="F114" s="2"/>
      <c r="G114" s="2"/>
      <c r="H114" s="2"/>
      <c r="I114" s="2"/>
      <c r="J114" s="2"/>
      <c r="K114" s="2"/>
      <c r="L114" s="2"/>
      <c r="M114" s="2"/>
      <c r="N114" s="2"/>
      <c r="O114" s="2"/>
      <c r="P114" s="2"/>
    </row>
    <row r="115" spans="1:16" ht="21" customHeight="1">
      <c r="A115" s="2"/>
      <c r="B115" s="2"/>
      <c r="C115" s="2"/>
      <c r="D115" s="2"/>
      <c r="E115" s="2"/>
      <c r="F115" s="2"/>
      <c r="G115" s="2"/>
      <c r="H115" s="2"/>
      <c r="I115" s="2"/>
      <c r="J115" s="2"/>
      <c r="K115" s="2"/>
      <c r="L115" s="2"/>
      <c r="M115" s="2"/>
      <c r="N115" s="2"/>
      <c r="O115" s="2"/>
      <c r="P115" s="2"/>
    </row>
    <row r="116" spans="1:16" ht="21" customHeight="1">
      <c r="A116" s="2"/>
      <c r="B116" s="2"/>
      <c r="C116" s="2"/>
      <c r="D116" s="2"/>
      <c r="E116" s="2"/>
      <c r="F116" s="2"/>
      <c r="G116" s="2"/>
      <c r="H116" s="2"/>
      <c r="I116" s="2"/>
      <c r="J116" s="2"/>
      <c r="K116" s="2"/>
      <c r="L116" s="2"/>
      <c r="M116" s="2"/>
      <c r="N116" s="2"/>
      <c r="O116" s="2"/>
      <c r="P116" s="2"/>
    </row>
    <row r="117" spans="1:16" ht="21" customHeight="1">
      <c r="A117" s="2"/>
      <c r="B117" s="2"/>
      <c r="C117" s="2"/>
      <c r="D117" s="2"/>
      <c r="E117" s="2"/>
      <c r="F117" s="2"/>
      <c r="G117" s="2"/>
      <c r="H117" s="2"/>
      <c r="I117" s="2"/>
      <c r="J117" s="2"/>
      <c r="K117" s="2"/>
      <c r="L117" s="2"/>
      <c r="M117" s="2"/>
      <c r="N117" s="2"/>
      <c r="O117" s="2"/>
      <c r="P117" s="2"/>
    </row>
    <row r="118" spans="1:16" ht="21" customHeight="1">
      <c r="A118" s="2"/>
      <c r="B118" s="2"/>
      <c r="C118" s="2"/>
      <c r="D118" s="2"/>
      <c r="E118" s="2"/>
      <c r="F118" s="2"/>
      <c r="G118" s="2"/>
      <c r="H118" s="2"/>
      <c r="I118" s="2"/>
      <c r="J118" s="2"/>
      <c r="K118" s="2"/>
      <c r="L118" s="2"/>
      <c r="M118" s="2"/>
      <c r="N118" s="2"/>
      <c r="O118" s="2"/>
      <c r="P118" s="2"/>
    </row>
    <row r="119" spans="1:16" ht="21" customHeight="1">
      <c r="A119" s="2"/>
      <c r="B119" s="2"/>
      <c r="C119" s="2"/>
      <c r="D119" s="2"/>
      <c r="E119" s="2"/>
      <c r="F119" s="2"/>
      <c r="G119" s="2"/>
      <c r="H119" s="2"/>
      <c r="I119" s="2"/>
      <c r="J119" s="2"/>
      <c r="K119" s="2"/>
      <c r="L119" s="2"/>
      <c r="M119" s="2"/>
      <c r="N119" s="2"/>
      <c r="O119" s="2"/>
      <c r="P119" s="2"/>
    </row>
    <row r="120" spans="1:16" ht="21" customHeight="1">
      <c r="A120" s="2"/>
      <c r="B120" s="2"/>
      <c r="C120" s="2"/>
      <c r="D120" s="2"/>
      <c r="E120" s="2"/>
      <c r="F120" s="2"/>
      <c r="G120" s="2"/>
      <c r="H120" s="2"/>
      <c r="I120" s="2"/>
      <c r="J120" s="2"/>
      <c r="K120" s="2"/>
      <c r="L120" s="2"/>
      <c r="M120" s="2"/>
      <c r="N120" s="2"/>
      <c r="O120" s="2"/>
      <c r="P120" s="2"/>
    </row>
    <row r="121" spans="1:16" ht="21" customHeight="1"/>
    <row r="122" spans="1:16" ht="21" customHeight="1"/>
    <row r="123" spans="1:16" ht="21" customHeight="1"/>
    <row r="124" spans="1:16" ht="21" customHeight="1"/>
    <row r="125" spans="1:16" ht="21" customHeight="1"/>
    <row r="126" spans="1:16" ht="21" customHeight="1"/>
    <row r="127" spans="1:16" ht="21" customHeight="1"/>
    <row r="128" spans="1:16" ht="21" customHeight="1"/>
    <row r="129" ht="21" customHeight="1"/>
    <row r="130" ht="21" customHeight="1"/>
    <row r="131" ht="21" customHeight="1"/>
    <row r="132" ht="21" customHeight="1"/>
    <row r="133" ht="21" customHeight="1"/>
    <row r="134" ht="21" customHeight="1"/>
    <row r="135" ht="21" customHeight="1"/>
    <row r="136" ht="21" customHeight="1"/>
    <row r="137" ht="21" customHeight="1"/>
    <row r="138" ht="21" customHeight="1"/>
    <row r="139" ht="21" customHeight="1"/>
    <row r="140" ht="21" customHeight="1"/>
    <row r="141" ht="21" customHeight="1"/>
    <row r="142" ht="21" customHeight="1"/>
    <row r="143" ht="21" customHeight="1"/>
    <row r="144" ht="21" customHeight="1"/>
    <row r="145" ht="21" customHeight="1"/>
    <row r="146" ht="21" customHeight="1"/>
    <row r="147" ht="21" customHeight="1"/>
    <row r="148" ht="21" customHeight="1"/>
    <row r="149" ht="21" customHeight="1"/>
    <row r="150" ht="21" customHeight="1"/>
    <row r="151" ht="21" customHeight="1"/>
    <row r="152" ht="21" customHeight="1"/>
    <row r="153" ht="21" customHeight="1"/>
    <row r="154" ht="21" customHeight="1"/>
    <row r="155" ht="21" customHeight="1"/>
    <row r="156" ht="21" customHeight="1"/>
    <row r="157" ht="21" customHeight="1"/>
    <row r="158" ht="21" customHeight="1"/>
    <row r="159" ht="21" customHeight="1"/>
    <row r="160" ht="21" customHeight="1"/>
    <row r="161" ht="21" customHeight="1"/>
    <row r="162" ht="21" customHeight="1"/>
    <row r="163" ht="21" customHeight="1"/>
    <row r="164" ht="21" customHeight="1"/>
    <row r="165" ht="21" customHeight="1"/>
    <row r="166" ht="21" customHeight="1"/>
    <row r="167" ht="21" customHeight="1"/>
    <row r="168" ht="21" customHeight="1"/>
    <row r="169" ht="21" customHeight="1"/>
    <row r="170" ht="21" customHeight="1"/>
    <row r="171" ht="21" customHeight="1"/>
    <row r="172" ht="21" customHeight="1"/>
    <row r="173" ht="21" customHeight="1"/>
    <row r="174" ht="21" customHeight="1"/>
    <row r="175" ht="21" customHeight="1"/>
    <row r="176" ht="21" customHeight="1"/>
    <row r="177" ht="21" customHeight="1"/>
    <row r="178" ht="21" customHeight="1"/>
    <row r="179" ht="21" customHeight="1"/>
    <row r="180" ht="21" customHeight="1"/>
    <row r="181" ht="21" customHeight="1"/>
    <row r="182" ht="21" customHeight="1"/>
    <row r="183" ht="21" customHeight="1"/>
    <row r="184" ht="21" customHeight="1"/>
    <row r="185" ht="21" customHeight="1"/>
    <row r="186" ht="21" customHeight="1"/>
    <row r="187" ht="21" customHeight="1"/>
    <row r="188" ht="21" customHeight="1"/>
    <row r="189" ht="21" customHeight="1"/>
    <row r="190" ht="21" customHeight="1"/>
    <row r="191" ht="21" customHeight="1"/>
    <row r="192" ht="21" customHeight="1"/>
    <row r="193" ht="21" customHeight="1"/>
    <row r="194" ht="21" customHeight="1"/>
    <row r="195" ht="21" customHeight="1"/>
    <row r="196" ht="21" customHeight="1"/>
    <row r="197" ht="21" customHeight="1"/>
    <row r="198" ht="21" customHeight="1"/>
    <row r="199" ht="21" customHeight="1"/>
    <row r="200" ht="21" customHeight="1"/>
    <row r="201" ht="21" customHeight="1"/>
    <row r="202" ht="21" customHeight="1"/>
    <row r="203" ht="21" customHeight="1"/>
    <row r="204" ht="21" customHeight="1"/>
    <row r="205" ht="21" customHeight="1"/>
    <row r="206" ht="21" customHeight="1"/>
    <row r="207" ht="21" customHeight="1"/>
    <row r="208" ht="21" customHeight="1"/>
    <row r="209" ht="21" customHeight="1"/>
    <row r="210" ht="21" customHeight="1"/>
    <row r="211" ht="21" customHeight="1"/>
    <row r="212" ht="21" customHeight="1"/>
    <row r="213" ht="21" customHeight="1"/>
    <row r="214" ht="21" customHeight="1"/>
    <row r="215" ht="21" customHeight="1"/>
    <row r="216" ht="21" customHeight="1"/>
    <row r="217" ht="21" customHeight="1"/>
    <row r="218" ht="21" customHeight="1"/>
    <row r="219" ht="21" customHeight="1"/>
    <row r="220" ht="21" customHeight="1"/>
    <row r="221" ht="21" customHeight="1"/>
    <row r="222" ht="21" customHeight="1"/>
    <row r="223" ht="21" customHeight="1"/>
    <row r="224" ht="21" customHeight="1"/>
    <row r="225" ht="21" customHeight="1"/>
    <row r="226" ht="21" customHeight="1"/>
    <row r="227" ht="21" customHeight="1"/>
    <row r="228" ht="21" customHeight="1"/>
    <row r="229" ht="21" customHeight="1"/>
    <row r="230" ht="21" customHeight="1"/>
    <row r="231" ht="21" customHeight="1"/>
    <row r="232" ht="21" customHeight="1"/>
    <row r="233" ht="21" customHeight="1"/>
    <row r="234" ht="21" customHeight="1"/>
    <row r="235" ht="21" customHeight="1"/>
    <row r="236" ht="21" customHeight="1"/>
    <row r="237" ht="21" customHeight="1"/>
    <row r="238" ht="21" customHeight="1"/>
    <row r="239" ht="21" customHeight="1"/>
    <row r="240" ht="21" customHeight="1"/>
    <row r="241" ht="21" customHeight="1"/>
    <row r="242" ht="21" customHeight="1"/>
    <row r="243" ht="21" customHeight="1"/>
    <row r="244" ht="21" customHeight="1"/>
    <row r="245" ht="21" customHeight="1"/>
    <row r="246" ht="21" customHeight="1"/>
    <row r="247" ht="21" customHeight="1"/>
    <row r="248" ht="21" customHeight="1"/>
    <row r="249" ht="21" customHeight="1"/>
    <row r="250" ht="21" customHeight="1"/>
    <row r="251" ht="21" customHeight="1"/>
    <row r="252" ht="21" customHeight="1"/>
    <row r="253" ht="21" customHeight="1"/>
    <row r="254" ht="21" customHeight="1"/>
    <row r="255" ht="21" customHeight="1"/>
    <row r="256" ht="21" customHeight="1"/>
    <row r="257" ht="21" customHeight="1"/>
    <row r="258" ht="21" customHeight="1"/>
    <row r="259" ht="21" customHeight="1"/>
    <row r="260" ht="21" customHeight="1"/>
    <row r="261" ht="21" customHeight="1"/>
    <row r="262" ht="21" customHeight="1"/>
    <row r="263" ht="21" customHeight="1"/>
    <row r="264" ht="21" customHeight="1"/>
    <row r="265" ht="21" customHeight="1"/>
    <row r="266" ht="21" customHeight="1"/>
    <row r="267" ht="21" customHeight="1"/>
    <row r="268" ht="21" customHeight="1"/>
    <row r="269" ht="21" customHeight="1"/>
    <row r="270" ht="21" customHeight="1"/>
    <row r="271" ht="21" customHeight="1"/>
    <row r="272" ht="21" customHeight="1"/>
    <row r="273" ht="21" customHeight="1"/>
    <row r="274" ht="21" customHeight="1"/>
    <row r="275" ht="21" customHeight="1"/>
    <row r="276" ht="21" customHeight="1"/>
    <row r="277" ht="21" customHeight="1"/>
    <row r="278" ht="21" customHeight="1"/>
    <row r="279" ht="21" customHeight="1"/>
    <row r="280" ht="21" customHeight="1"/>
    <row r="281" ht="21" customHeight="1"/>
    <row r="282" ht="21" customHeight="1"/>
    <row r="283" ht="21" customHeight="1"/>
    <row r="284" ht="21" customHeight="1"/>
    <row r="285" ht="21" customHeight="1"/>
    <row r="286" ht="21" customHeight="1"/>
    <row r="287" ht="21" customHeight="1"/>
    <row r="288" ht="21" customHeight="1"/>
    <row r="289" ht="21" customHeight="1"/>
    <row r="290" ht="21" customHeight="1"/>
    <row r="291" ht="21" customHeight="1"/>
    <row r="292" ht="21" customHeight="1"/>
    <row r="293" ht="21" customHeight="1"/>
    <row r="294" ht="21" customHeight="1"/>
    <row r="295" ht="21" customHeight="1"/>
    <row r="296" ht="21" customHeight="1"/>
    <row r="297" ht="21" customHeight="1"/>
    <row r="298" ht="21" customHeight="1"/>
    <row r="299" ht="21" customHeight="1"/>
    <row r="300" ht="21" customHeight="1"/>
    <row r="301" ht="21" customHeight="1"/>
    <row r="302" ht="21" customHeight="1"/>
    <row r="303" ht="21" customHeight="1"/>
    <row r="304" ht="21" customHeight="1"/>
    <row r="305" ht="21" customHeight="1"/>
    <row r="306" ht="21" customHeight="1"/>
    <row r="307" ht="21" customHeight="1"/>
    <row r="308" ht="21" customHeight="1"/>
    <row r="309" ht="21" customHeight="1"/>
    <row r="310" ht="21" customHeight="1"/>
    <row r="311" ht="21" customHeight="1"/>
    <row r="312" ht="21" customHeight="1"/>
    <row r="313" ht="21" customHeight="1"/>
    <row r="314" ht="21" customHeight="1"/>
    <row r="315" ht="21" customHeight="1"/>
    <row r="316" ht="21" customHeight="1"/>
    <row r="317" ht="21" customHeight="1"/>
    <row r="318" ht="21" customHeight="1"/>
    <row r="319" ht="21" customHeight="1"/>
    <row r="320" ht="21" customHeight="1"/>
    <row r="321" ht="21" customHeight="1"/>
    <row r="322" ht="21" customHeight="1"/>
    <row r="323" ht="21" customHeight="1"/>
    <row r="324" ht="21" customHeight="1"/>
    <row r="325" ht="21" customHeight="1"/>
    <row r="326" ht="21" customHeight="1"/>
    <row r="327" ht="21" customHeight="1"/>
    <row r="328" ht="21" customHeight="1"/>
    <row r="329" ht="21" customHeight="1"/>
    <row r="330" ht="21" customHeight="1"/>
    <row r="331" ht="21" customHeight="1"/>
    <row r="332" ht="21" customHeight="1"/>
    <row r="333" ht="21" customHeight="1"/>
    <row r="334" ht="21" customHeight="1"/>
    <row r="335" ht="21" customHeight="1"/>
    <row r="336" ht="21" customHeight="1"/>
    <row r="337" ht="21" customHeight="1"/>
    <row r="338" ht="21" customHeight="1"/>
    <row r="339" ht="21" customHeight="1"/>
    <row r="340" ht="21" customHeight="1"/>
    <row r="341" ht="21" customHeight="1"/>
    <row r="342" ht="21" customHeight="1"/>
    <row r="343" ht="21" customHeight="1"/>
    <row r="344" ht="21" customHeight="1"/>
    <row r="345" ht="21" customHeight="1"/>
    <row r="346" ht="21" customHeight="1"/>
    <row r="347" ht="21" customHeight="1"/>
    <row r="348" ht="21" customHeight="1"/>
    <row r="349" ht="21" customHeight="1"/>
    <row r="350" ht="21" customHeight="1"/>
    <row r="351" ht="21" customHeight="1"/>
    <row r="352" ht="21" customHeight="1"/>
    <row r="353" ht="21" customHeight="1"/>
    <row r="354" ht="21" customHeight="1"/>
    <row r="355" ht="21" customHeight="1"/>
    <row r="356" ht="21" customHeight="1"/>
    <row r="357" ht="21" customHeight="1"/>
    <row r="358" ht="21" customHeight="1"/>
    <row r="359" ht="21" customHeight="1"/>
    <row r="360" ht="21" customHeight="1"/>
    <row r="361" ht="21" customHeight="1"/>
    <row r="362" ht="21" customHeight="1"/>
    <row r="363" ht="21" customHeight="1"/>
    <row r="364" ht="21" customHeight="1"/>
    <row r="365" ht="21" customHeight="1"/>
    <row r="366" ht="21" customHeight="1"/>
    <row r="367" ht="21" customHeight="1"/>
    <row r="368" ht="21" customHeight="1"/>
    <row r="369" ht="21" customHeight="1"/>
    <row r="370" ht="21" customHeight="1"/>
    <row r="371" ht="21" customHeight="1"/>
    <row r="372" ht="21" customHeight="1"/>
    <row r="373" ht="21" customHeight="1"/>
    <row r="374" ht="21" customHeight="1"/>
    <row r="375" ht="21" customHeight="1"/>
    <row r="376" ht="21" customHeight="1"/>
    <row r="377" ht="21" customHeight="1"/>
    <row r="378" ht="21" customHeight="1"/>
    <row r="379" ht="21" customHeight="1"/>
    <row r="380" ht="21" customHeight="1"/>
    <row r="381" ht="21" customHeight="1"/>
    <row r="382" ht="21" customHeight="1"/>
    <row r="383" ht="21" customHeight="1"/>
    <row r="384" ht="21" customHeight="1"/>
    <row r="385" ht="21" customHeight="1"/>
    <row r="386" ht="21" customHeight="1"/>
    <row r="387" ht="21" customHeight="1"/>
    <row r="388" ht="21" customHeight="1"/>
    <row r="389" ht="21" customHeight="1"/>
    <row r="390" ht="21" customHeight="1"/>
    <row r="391" ht="21" customHeight="1"/>
    <row r="392" ht="21" customHeight="1"/>
    <row r="393" ht="21" customHeight="1"/>
    <row r="394" ht="21" customHeight="1"/>
    <row r="395" ht="21" customHeight="1"/>
    <row r="396" ht="21" customHeight="1"/>
    <row r="397" ht="21" customHeight="1"/>
    <row r="398" ht="21" customHeight="1"/>
    <row r="399" ht="21" customHeight="1"/>
    <row r="400" ht="21" customHeight="1"/>
    <row r="401" ht="21" customHeight="1"/>
    <row r="402" ht="21" customHeight="1"/>
    <row r="403" ht="21" customHeight="1"/>
    <row r="404" ht="21" customHeight="1"/>
    <row r="405" ht="21" customHeight="1"/>
    <row r="406" ht="21" customHeight="1"/>
    <row r="407" ht="21" customHeight="1"/>
    <row r="408" ht="21" customHeight="1"/>
    <row r="409" ht="21" customHeight="1"/>
    <row r="410" ht="21" customHeight="1"/>
    <row r="411" ht="21" customHeight="1"/>
    <row r="412" ht="21" customHeight="1"/>
    <row r="413" ht="21" customHeight="1"/>
    <row r="414" ht="21" customHeight="1"/>
    <row r="415" ht="21" customHeight="1"/>
    <row r="416" ht="21" customHeight="1"/>
    <row r="417" ht="21" customHeight="1"/>
    <row r="418" ht="21" customHeight="1"/>
    <row r="419" ht="21" customHeight="1"/>
    <row r="420" ht="21" customHeight="1"/>
    <row r="421" ht="21" customHeight="1"/>
    <row r="422" ht="21" customHeight="1"/>
    <row r="423" ht="21" customHeight="1"/>
    <row r="424" ht="21" customHeight="1"/>
    <row r="425" ht="21" customHeight="1"/>
    <row r="426" ht="21" customHeight="1"/>
    <row r="427" ht="21" customHeight="1"/>
    <row r="428" ht="21" customHeight="1"/>
    <row r="429" ht="21" customHeight="1"/>
    <row r="430" ht="21" customHeight="1"/>
    <row r="431" ht="21" customHeight="1"/>
    <row r="432" ht="21" customHeight="1"/>
    <row r="433" ht="21" customHeight="1"/>
    <row r="434" ht="21" customHeight="1"/>
    <row r="435" ht="21" customHeight="1"/>
    <row r="436" ht="21" customHeight="1"/>
    <row r="437" ht="21" customHeight="1"/>
    <row r="438" ht="21" customHeight="1"/>
    <row r="439" ht="21" customHeight="1"/>
    <row r="440" ht="21" customHeight="1"/>
    <row r="441" ht="21" customHeight="1"/>
    <row r="442" ht="21" customHeight="1"/>
    <row r="443" ht="21" customHeight="1"/>
    <row r="444" ht="21" customHeight="1"/>
    <row r="445" ht="21" customHeight="1"/>
    <row r="446" ht="21" customHeight="1"/>
    <row r="447" ht="21" customHeight="1"/>
    <row r="448" ht="21" customHeight="1"/>
    <row r="449" ht="21" customHeight="1"/>
    <row r="450" ht="21" customHeight="1"/>
    <row r="451" ht="21" customHeight="1"/>
    <row r="452" ht="21" customHeight="1"/>
    <row r="453" ht="21" customHeight="1"/>
    <row r="454" ht="21" customHeight="1"/>
    <row r="455" ht="21" customHeight="1"/>
    <row r="456" ht="21" customHeight="1"/>
    <row r="457" ht="21" customHeight="1"/>
    <row r="458" ht="21" customHeight="1"/>
    <row r="459" ht="21" customHeight="1"/>
    <row r="460" ht="21" customHeight="1"/>
    <row r="461" ht="21" customHeight="1"/>
    <row r="462" ht="21" customHeight="1"/>
    <row r="463" ht="21" customHeight="1"/>
    <row r="464" ht="21" customHeight="1"/>
    <row r="465" ht="21" customHeight="1"/>
    <row r="466" ht="21" customHeight="1"/>
    <row r="467" ht="21" customHeight="1"/>
    <row r="468" ht="21" customHeight="1"/>
    <row r="469" ht="21" customHeight="1"/>
    <row r="470" ht="21" customHeight="1"/>
    <row r="471" ht="21" customHeight="1"/>
    <row r="472" ht="21" customHeight="1"/>
    <row r="473" ht="21" customHeight="1"/>
    <row r="474" ht="21" customHeight="1"/>
    <row r="475" ht="21" customHeight="1"/>
    <row r="476" ht="21" customHeight="1"/>
    <row r="477" ht="21" customHeight="1"/>
    <row r="478" ht="21" customHeight="1"/>
    <row r="479" ht="21" customHeight="1"/>
    <row r="480" ht="21" customHeight="1"/>
    <row r="481" ht="21" customHeight="1"/>
    <row r="482" ht="21" customHeight="1"/>
    <row r="483" ht="21" customHeight="1"/>
    <row r="484" ht="21" customHeight="1"/>
    <row r="485" ht="21" customHeight="1"/>
    <row r="486" ht="21" customHeight="1"/>
    <row r="487" ht="21" customHeight="1"/>
    <row r="488" ht="21" customHeight="1"/>
    <row r="489" ht="21" customHeight="1"/>
    <row r="490" ht="21" customHeight="1"/>
    <row r="491" ht="21" customHeight="1"/>
    <row r="492" ht="21" customHeight="1"/>
    <row r="493" ht="21" customHeight="1"/>
    <row r="494" ht="21" customHeight="1"/>
    <row r="495" ht="21" customHeight="1"/>
    <row r="496" ht="21" customHeight="1"/>
    <row r="497" ht="21" customHeight="1"/>
    <row r="498" ht="21" customHeight="1"/>
    <row r="499" ht="21" customHeight="1"/>
    <row r="500" ht="21" customHeight="1"/>
    <row r="501" ht="21" customHeight="1"/>
    <row r="502" ht="21" customHeight="1"/>
    <row r="503" ht="21" customHeight="1"/>
    <row r="504" ht="21" customHeight="1"/>
    <row r="505" ht="21" customHeight="1"/>
    <row r="506" ht="21" customHeight="1"/>
    <row r="507" ht="21" customHeight="1"/>
    <row r="508" ht="21" customHeight="1"/>
    <row r="509" ht="21" customHeight="1"/>
    <row r="510" ht="21" customHeight="1"/>
    <row r="511" ht="21" customHeight="1"/>
    <row r="512" ht="21" customHeight="1"/>
    <row r="513" ht="21" customHeight="1"/>
    <row r="514" ht="21" customHeight="1"/>
    <row r="515" ht="21" customHeight="1"/>
    <row r="516" ht="21" customHeight="1"/>
    <row r="517" ht="21" customHeight="1"/>
    <row r="518" ht="21" customHeight="1"/>
    <row r="519" ht="21" customHeight="1"/>
    <row r="520" ht="21" customHeight="1"/>
    <row r="521" ht="21" customHeight="1"/>
    <row r="522" ht="21" customHeight="1"/>
    <row r="523" ht="21" customHeight="1"/>
    <row r="524" ht="21" customHeight="1"/>
    <row r="525" ht="21" customHeight="1"/>
    <row r="526" ht="21" customHeight="1"/>
    <row r="527" ht="21" customHeight="1"/>
    <row r="528" ht="21" customHeight="1"/>
    <row r="529" ht="21" customHeight="1"/>
    <row r="530" ht="21" customHeight="1"/>
    <row r="531" ht="21" customHeight="1"/>
    <row r="532" ht="21" customHeight="1"/>
    <row r="533" ht="21" customHeight="1"/>
    <row r="534" ht="21" customHeight="1"/>
    <row r="535" ht="21" customHeight="1"/>
    <row r="536" ht="21" customHeight="1"/>
    <row r="537" ht="21" customHeight="1"/>
    <row r="538" ht="21" customHeight="1"/>
    <row r="539" ht="21" customHeight="1"/>
    <row r="540" ht="21" customHeight="1"/>
    <row r="541" ht="21" customHeight="1"/>
    <row r="542" ht="21" customHeight="1"/>
    <row r="543" ht="21" customHeight="1"/>
    <row r="544" ht="21" customHeight="1"/>
    <row r="545" ht="21" customHeight="1"/>
    <row r="546" ht="21" customHeight="1"/>
    <row r="547" ht="21" customHeight="1"/>
    <row r="548" ht="21" customHeight="1"/>
    <row r="549" ht="21" customHeight="1"/>
    <row r="550" ht="21" customHeight="1"/>
    <row r="551" ht="21" customHeight="1"/>
    <row r="552" ht="21" customHeight="1"/>
    <row r="553" ht="21" customHeight="1"/>
    <row r="554" ht="21" customHeight="1"/>
    <row r="555" ht="21" customHeight="1"/>
    <row r="556" ht="21" customHeight="1"/>
    <row r="557" ht="21" customHeight="1"/>
    <row r="558" ht="21" customHeight="1"/>
    <row r="559" ht="21" customHeight="1"/>
    <row r="560" ht="21" customHeight="1"/>
    <row r="561" ht="21" customHeight="1"/>
    <row r="562" ht="21" customHeight="1"/>
    <row r="563" ht="21" customHeight="1"/>
    <row r="564" ht="21" customHeight="1"/>
    <row r="565" ht="21" customHeight="1"/>
    <row r="566" ht="21" customHeight="1"/>
    <row r="567" ht="21" customHeight="1"/>
    <row r="568" ht="21" customHeight="1"/>
    <row r="569" ht="21" customHeight="1"/>
    <row r="570" ht="21" customHeight="1"/>
    <row r="571" ht="21" customHeight="1"/>
    <row r="572" ht="21" customHeight="1"/>
    <row r="573" ht="21" customHeight="1"/>
    <row r="574" ht="21" customHeight="1"/>
    <row r="575" ht="21" customHeight="1"/>
    <row r="576" ht="21" customHeight="1"/>
    <row r="577" ht="21" customHeight="1"/>
    <row r="578" ht="21" customHeight="1"/>
    <row r="579" ht="21" customHeight="1"/>
    <row r="580" ht="21" customHeight="1"/>
    <row r="581" ht="21" customHeight="1"/>
    <row r="582" ht="21" customHeight="1"/>
    <row r="583" ht="21" customHeight="1"/>
    <row r="584" ht="21" customHeight="1"/>
    <row r="585" ht="21" customHeight="1"/>
    <row r="586" ht="21" customHeight="1"/>
    <row r="587" ht="21" customHeight="1"/>
    <row r="588" ht="21" customHeight="1"/>
    <row r="589" ht="21" customHeight="1"/>
    <row r="590" ht="21" customHeight="1"/>
    <row r="591" ht="21" customHeight="1"/>
    <row r="592" ht="21" customHeight="1"/>
    <row r="593" ht="21" customHeight="1"/>
    <row r="594" ht="21" customHeight="1"/>
    <row r="595" ht="21" customHeight="1"/>
    <row r="596" ht="21" customHeight="1"/>
    <row r="597" ht="21" customHeight="1"/>
    <row r="598" ht="21" customHeight="1"/>
    <row r="599" ht="21" customHeight="1"/>
    <row r="600" ht="21" customHeight="1"/>
  </sheetData>
  <sortState xmlns:xlrd2="http://schemas.microsoft.com/office/spreadsheetml/2017/richdata2" ref="A2:G5">
    <sortCondition descending="1" ref="A2"/>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P600"/>
  <sheetViews>
    <sheetView showGridLines="0" workbookViewId="0">
      <pane ySplit="1" topLeftCell="A2" activePane="bottomLeft" state="frozen"/>
      <selection pane="bottomLeft"/>
    </sheetView>
  </sheetViews>
  <sheetFormatPr defaultRowHeight="14.25"/>
  <cols>
    <col min="1" max="7" width="20" customWidth="1"/>
  </cols>
  <sheetData>
    <row r="1" spans="1:16" ht="21" customHeight="1">
      <c r="A1" s="6" t="s">
        <v>504</v>
      </c>
      <c r="B1" s="6" t="s">
        <v>505</v>
      </c>
      <c r="C1" s="6" t="s">
        <v>506</v>
      </c>
      <c r="D1" s="6" t="s">
        <v>9</v>
      </c>
      <c r="E1" s="6" t="s">
        <v>507</v>
      </c>
      <c r="F1" s="2"/>
      <c r="G1" s="2"/>
      <c r="H1" s="2"/>
      <c r="I1" s="2"/>
      <c r="J1" s="2"/>
      <c r="K1" s="2"/>
      <c r="L1" s="2"/>
      <c r="M1" s="2"/>
      <c r="N1" s="2"/>
      <c r="O1" s="2"/>
      <c r="P1" s="2"/>
    </row>
    <row r="2" spans="1:16" ht="21" customHeight="1">
      <c r="A2" s="2"/>
      <c r="B2" s="14"/>
      <c r="C2" s="2"/>
      <c r="D2" s="14"/>
      <c r="E2" s="2"/>
      <c r="F2" s="2"/>
      <c r="G2" s="2"/>
      <c r="H2" s="2"/>
      <c r="I2" s="2"/>
      <c r="J2" s="2"/>
      <c r="K2" s="2"/>
      <c r="L2" s="2"/>
      <c r="M2" s="2"/>
      <c r="N2" s="2"/>
      <c r="O2" s="2"/>
      <c r="P2" s="2"/>
    </row>
    <row r="3" spans="1:16" ht="21" customHeight="1">
      <c r="A3" s="2"/>
      <c r="B3" s="14"/>
      <c r="C3" s="2"/>
      <c r="D3" s="14"/>
      <c r="E3" s="2"/>
      <c r="F3" s="2"/>
      <c r="G3" s="2"/>
      <c r="H3" s="2"/>
      <c r="I3" s="2"/>
      <c r="J3" s="2"/>
      <c r="K3" s="2"/>
      <c r="L3" s="2"/>
      <c r="M3" s="2"/>
      <c r="N3" s="2"/>
      <c r="O3" s="2"/>
      <c r="P3" s="2"/>
    </row>
    <row r="4" spans="1:16" ht="21" customHeight="1">
      <c r="A4" s="2"/>
      <c r="B4" s="14"/>
      <c r="C4" s="2"/>
      <c r="D4" s="14"/>
      <c r="E4" s="2"/>
      <c r="F4" s="2"/>
      <c r="G4" s="2"/>
      <c r="H4" s="2"/>
      <c r="I4" s="2"/>
      <c r="J4" s="2"/>
      <c r="K4" s="2"/>
      <c r="L4" s="2"/>
      <c r="M4" s="2"/>
      <c r="N4" s="2"/>
      <c r="O4" s="2"/>
      <c r="P4" s="2"/>
    </row>
    <row r="5" spans="1:16" ht="21" customHeight="1">
      <c r="A5" s="2"/>
      <c r="B5" s="14"/>
      <c r="C5" s="2"/>
      <c r="D5" s="14"/>
      <c r="E5" s="2"/>
      <c r="F5" s="2"/>
      <c r="G5" s="2"/>
      <c r="H5" s="2"/>
      <c r="I5" s="2"/>
      <c r="J5" s="2"/>
      <c r="K5" s="2"/>
      <c r="L5" s="2"/>
      <c r="M5" s="2"/>
      <c r="N5" s="2"/>
      <c r="O5" s="2"/>
      <c r="P5" s="2"/>
    </row>
    <row r="6" spans="1:16" ht="21" customHeight="1">
      <c r="A6" s="2"/>
      <c r="B6" s="14"/>
      <c r="C6" s="2"/>
      <c r="D6" s="14"/>
      <c r="E6" s="2"/>
      <c r="F6" s="2"/>
      <c r="G6" s="2"/>
      <c r="H6" s="2"/>
      <c r="I6" s="2"/>
      <c r="J6" s="2"/>
      <c r="K6" s="2"/>
      <c r="L6" s="2"/>
      <c r="M6" s="2"/>
      <c r="N6" s="2"/>
      <c r="O6" s="2"/>
      <c r="P6" s="2"/>
    </row>
    <row r="7" spans="1:16" ht="21" customHeight="1">
      <c r="A7" s="2"/>
      <c r="B7" s="14"/>
      <c r="C7" s="2"/>
      <c r="D7" s="14"/>
      <c r="E7" s="2"/>
      <c r="F7" s="2"/>
      <c r="G7" s="2"/>
      <c r="H7" s="2"/>
      <c r="I7" s="2"/>
      <c r="J7" s="2"/>
      <c r="K7" s="2"/>
      <c r="L7" s="2"/>
      <c r="M7" s="2"/>
      <c r="N7" s="2"/>
      <c r="O7" s="2"/>
      <c r="P7" s="2"/>
    </row>
    <row r="8" spans="1:16" ht="21" customHeight="1">
      <c r="A8" s="2"/>
      <c r="B8" s="14"/>
      <c r="C8" s="2"/>
      <c r="D8" s="14"/>
      <c r="E8" s="2"/>
      <c r="F8" s="2"/>
      <c r="G8" s="2"/>
      <c r="H8" s="2"/>
      <c r="I8" s="2"/>
      <c r="J8" s="2"/>
      <c r="K8" s="2"/>
      <c r="L8" s="2"/>
      <c r="M8" s="2"/>
      <c r="N8" s="2"/>
      <c r="O8" s="2"/>
      <c r="P8" s="2"/>
    </row>
    <row r="9" spans="1:16" ht="21" customHeight="1">
      <c r="A9" s="2"/>
      <c r="B9" s="14"/>
      <c r="C9" s="2"/>
      <c r="D9" s="14"/>
      <c r="E9" s="2"/>
      <c r="F9" s="2"/>
      <c r="G9" s="2"/>
      <c r="H9" s="2"/>
      <c r="I9" s="2"/>
      <c r="J9" s="2"/>
      <c r="K9" s="2"/>
      <c r="L9" s="2"/>
      <c r="M9" s="2"/>
      <c r="N9" s="2"/>
      <c r="O9" s="2"/>
      <c r="P9" s="2"/>
    </row>
    <row r="10" spans="1:16" ht="21" customHeight="1">
      <c r="A10" s="2"/>
      <c r="B10" s="14"/>
      <c r="C10" s="2"/>
      <c r="D10" s="14"/>
      <c r="E10" s="2"/>
      <c r="F10" s="2"/>
      <c r="G10" s="2"/>
      <c r="H10" s="2"/>
      <c r="I10" s="2"/>
      <c r="J10" s="2"/>
      <c r="K10" s="2"/>
      <c r="L10" s="2"/>
      <c r="M10" s="2"/>
      <c r="N10" s="2"/>
      <c r="O10" s="2"/>
      <c r="P10" s="2"/>
    </row>
    <row r="11" spans="1:16" ht="21" customHeight="1">
      <c r="A11" s="2"/>
      <c r="B11" s="14"/>
      <c r="C11" s="2"/>
      <c r="D11" s="14"/>
      <c r="E11" s="2"/>
      <c r="F11" s="2"/>
      <c r="G11" s="2"/>
      <c r="H11" s="2"/>
      <c r="I11" s="2"/>
      <c r="J11" s="2"/>
      <c r="K11" s="2"/>
      <c r="L11" s="2"/>
      <c r="M11" s="2"/>
      <c r="N11" s="2"/>
      <c r="O11" s="2"/>
      <c r="P11" s="2"/>
    </row>
    <row r="12" spans="1:16" ht="21" customHeight="1">
      <c r="A12" s="2"/>
      <c r="B12" s="2"/>
      <c r="C12" s="2"/>
      <c r="D12" s="2"/>
      <c r="E12" s="2"/>
      <c r="F12" s="2"/>
      <c r="G12" s="2"/>
      <c r="H12" s="2"/>
      <c r="I12" s="2"/>
      <c r="J12" s="2"/>
      <c r="K12" s="2"/>
      <c r="L12" s="2"/>
      <c r="M12" s="2"/>
      <c r="N12" s="2"/>
      <c r="O12" s="2"/>
      <c r="P12" s="2"/>
    </row>
    <row r="13" spans="1:16" ht="21" customHeight="1">
      <c r="A13" s="2"/>
      <c r="B13" s="2"/>
      <c r="C13" s="2"/>
      <c r="D13" s="2"/>
      <c r="E13" s="2"/>
      <c r="F13" s="2"/>
      <c r="G13" s="2"/>
      <c r="H13" s="2"/>
      <c r="I13" s="2"/>
      <c r="J13" s="2"/>
      <c r="K13" s="2"/>
      <c r="L13" s="2"/>
      <c r="M13" s="2"/>
      <c r="N13" s="2"/>
      <c r="O13" s="2"/>
      <c r="P13" s="2"/>
    </row>
    <row r="14" spans="1:16" ht="21" customHeight="1">
      <c r="A14" s="2"/>
      <c r="B14" s="2"/>
      <c r="C14" s="2"/>
      <c r="D14" s="2"/>
      <c r="E14" s="2"/>
      <c r="F14" s="2"/>
      <c r="G14" s="2"/>
      <c r="H14" s="2"/>
      <c r="I14" s="2"/>
      <c r="J14" s="2"/>
      <c r="K14" s="2"/>
      <c r="L14" s="2"/>
      <c r="M14" s="2"/>
      <c r="N14" s="2"/>
      <c r="O14" s="2"/>
      <c r="P14" s="2"/>
    </row>
    <row r="15" spans="1:16" ht="21" customHeight="1">
      <c r="A15" s="2"/>
      <c r="B15" s="2"/>
      <c r="C15" s="2"/>
      <c r="D15" s="2"/>
      <c r="E15" s="2"/>
      <c r="F15" s="2"/>
      <c r="G15" s="2"/>
      <c r="H15" s="2"/>
      <c r="I15" s="2"/>
      <c r="J15" s="2"/>
      <c r="K15" s="2"/>
      <c r="L15" s="2"/>
      <c r="M15" s="2"/>
      <c r="N15" s="2"/>
      <c r="O15" s="2"/>
      <c r="P15" s="2"/>
    </row>
    <row r="16" spans="1:16" ht="21" customHeight="1">
      <c r="A16" s="2"/>
      <c r="B16" s="2"/>
      <c r="C16" s="2"/>
      <c r="D16" s="2"/>
      <c r="E16" s="2"/>
      <c r="F16" s="2"/>
      <c r="G16" s="2"/>
      <c r="H16" s="2"/>
      <c r="I16" s="2"/>
      <c r="J16" s="2"/>
      <c r="K16" s="2"/>
      <c r="L16" s="2"/>
      <c r="M16" s="2"/>
      <c r="N16" s="2"/>
      <c r="O16" s="2"/>
      <c r="P16" s="2"/>
    </row>
    <row r="17" spans="1:16" ht="21" customHeight="1">
      <c r="A17" s="2"/>
      <c r="B17" s="2"/>
      <c r="C17" s="2"/>
      <c r="D17" s="2"/>
      <c r="E17" s="2"/>
      <c r="F17" s="2"/>
      <c r="G17" s="2"/>
      <c r="H17" s="2"/>
      <c r="I17" s="2"/>
      <c r="J17" s="2"/>
      <c r="K17" s="2"/>
      <c r="L17" s="2"/>
      <c r="M17" s="2"/>
      <c r="N17" s="2"/>
      <c r="O17" s="2"/>
      <c r="P17" s="2"/>
    </row>
    <row r="18" spans="1:16" ht="21" customHeight="1">
      <c r="A18" s="2"/>
      <c r="B18" s="2"/>
      <c r="C18" s="2"/>
      <c r="D18" s="2"/>
      <c r="E18" s="2"/>
      <c r="F18" s="2"/>
      <c r="G18" s="2"/>
      <c r="H18" s="2"/>
      <c r="I18" s="2"/>
      <c r="J18" s="2"/>
      <c r="K18" s="2"/>
      <c r="L18" s="2"/>
      <c r="M18" s="2"/>
      <c r="N18" s="2"/>
      <c r="O18" s="2"/>
      <c r="P18" s="2"/>
    </row>
    <row r="19" spans="1:16" ht="21" customHeight="1">
      <c r="A19" s="2"/>
      <c r="B19" s="2"/>
      <c r="C19" s="2"/>
      <c r="D19" s="2"/>
      <c r="E19" s="2"/>
      <c r="F19" s="2"/>
      <c r="G19" s="2"/>
      <c r="H19" s="2"/>
      <c r="I19" s="2"/>
      <c r="J19" s="2"/>
      <c r="K19" s="2"/>
      <c r="L19" s="2"/>
      <c r="M19" s="2"/>
      <c r="N19" s="2"/>
      <c r="O19" s="2"/>
      <c r="P19" s="2"/>
    </row>
    <row r="20" spans="1:16" ht="21" customHeight="1">
      <c r="A20" s="2"/>
      <c r="B20" s="2"/>
      <c r="C20" s="2"/>
      <c r="D20" s="2"/>
      <c r="E20" s="2"/>
      <c r="F20" s="2"/>
      <c r="G20" s="2"/>
      <c r="H20" s="2"/>
      <c r="I20" s="2"/>
      <c r="J20" s="2"/>
      <c r="K20" s="2"/>
      <c r="L20" s="2"/>
      <c r="M20" s="2"/>
      <c r="N20" s="2"/>
      <c r="O20" s="2"/>
      <c r="P20" s="2"/>
    </row>
    <row r="21" spans="1:16" ht="21" customHeight="1">
      <c r="A21" s="2"/>
      <c r="B21" s="2"/>
      <c r="C21" s="2"/>
      <c r="D21" s="2"/>
      <c r="E21" s="2"/>
      <c r="F21" s="2"/>
      <c r="G21" s="2"/>
      <c r="H21" s="2"/>
      <c r="I21" s="2"/>
      <c r="J21" s="2"/>
      <c r="K21" s="2"/>
      <c r="L21" s="2"/>
      <c r="M21" s="2"/>
      <c r="N21" s="2"/>
      <c r="O21" s="2"/>
      <c r="P21" s="2"/>
    </row>
    <row r="22" spans="1:16" ht="21" customHeight="1">
      <c r="A22" s="2"/>
      <c r="B22" s="2"/>
      <c r="C22" s="2"/>
      <c r="D22" s="2"/>
      <c r="E22" s="2"/>
      <c r="F22" s="2"/>
      <c r="G22" s="2"/>
      <c r="H22" s="2"/>
      <c r="I22" s="2"/>
      <c r="J22" s="2"/>
      <c r="K22" s="2"/>
      <c r="L22" s="2"/>
      <c r="M22" s="2"/>
      <c r="N22" s="2"/>
      <c r="O22" s="2"/>
      <c r="P22" s="2"/>
    </row>
    <row r="23" spans="1:16" ht="21" customHeight="1">
      <c r="A23" s="2"/>
      <c r="B23" s="2"/>
      <c r="C23" s="2"/>
      <c r="D23" s="2"/>
      <c r="E23" s="2"/>
      <c r="F23" s="2"/>
      <c r="G23" s="2"/>
      <c r="H23" s="2"/>
      <c r="I23" s="2"/>
      <c r="J23" s="2"/>
      <c r="K23" s="2"/>
      <c r="L23" s="2"/>
      <c r="M23" s="2"/>
      <c r="N23" s="2"/>
      <c r="O23" s="2"/>
      <c r="P23" s="2"/>
    </row>
    <row r="24" spans="1:16" ht="21" customHeight="1">
      <c r="A24" s="2"/>
      <c r="B24" s="2"/>
      <c r="C24" s="2"/>
      <c r="D24" s="2"/>
      <c r="E24" s="2"/>
      <c r="F24" s="2"/>
      <c r="G24" s="2"/>
      <c r="H24" s="2"/>
      <c r="I24" s="2"/>
      <c r="J24" s="2"/>
      <c r="K24" s="2"/>
      <c r="L24" s="2"/>
      <c r="M24" s="2"/>
      <c r="N24" s="2"/>
      <c r="O24" s="2"/>
      <c r="P24" s="2"/>
    </row>
    <row r="25" spans="1:16" ht="21" customHeight="1">
      <c r="A25" s="2"/>
      <c r="B25" s="2"/>
      <c r="C25" s="2"/>
      <c r="D25" s="2"/>
      <c r="E25" s="2"/>
      <c r="F25" s="2"/>
      <c r="G25" s="2"/>
      <c r="H25" s="2"/>
      <c r="I25" s="2"/>
      <c r="J25" s="2"/>
      <c r="K25" s="2"/>
      <c r="L25" s="2"/>
      <c r="M25" s="2"/>
      <c r="N25" s="2"/>
      <c r="O25" s="2"/>
      <c r="P25" s="2"/>
    </row>
    <row r="26" spans="1:16" ht="21" customHeight="1">
      <c r="A26" s="2"/>
      <c r="B26" s="2"/>
      <c r="C26" s="2"/>
      <c r="D26" s="2"/>
      <c r="E26" s="2"/>
      <c r="F26" s="2"/>
      <c r="G26" s="2"/>
      <c r="H26" s="2"/>
      <c r="I26" s="2"/>
      <c r="J26" s="2"/>
      <c r="K26" s="2"/>
      <c r="L26" s="2"/>
      <c r="M26" s="2"/>
      <c r="N26" s="2"/>
      <c r="O26" s="2"/>
      <c r="P26" s="2"/>
    </row>
    <row r="27" spans="1:16" ht="21" customHeight="1">
      <c r="A27" s="2"/>
      <c r="B27" s="2"/>
      <c r="C27" s="2"/>
      <c r="D27" s="2"/>
      <c r="E27" s="2"/>
      <c r="F27" s="2"/>
      <c r="G27" s="2"/>
      <c r="H27" s="2"/>
      <c r="I27" s="2"/>
      <c r="J27" s="2"/>
      <c r="K27" s="2"/>
      <c r="L27" s="2"/>
      <c r="M27" s="2"/>
      <c r="N27" s="2"/>
      <c r="O27" s="2"/>
      <c r="P27" s="2"/>
    </row>
    <row r="28" spans="1:16" ht="21" customHeight="1">
      <c r="A28" s="2"/>
      <c r="B28" s="2"/>
      <c r="C28" s="2"/>
      <c r="D28" s="2"/>
      <c r="E28" s="2"/>
      <c r="F28" s="2"/>
      <c r="G28" s="2"/>
      <c r="H28" s="2"/>
      <c r="I28" s="2"/>
      <c r="J28" s="2"/>
      <c r="K28" s="2"/>
      <c r="L28" s="2"/>
      <c r="M28" s="2"/>
      <c r="N28" s="2"/>
      <c r="O28" s="2"/>
      <c r="P28" s="2"/>
    </row>
    <row r="29" spans="1:16" ht="21" customHeight="1">
      <c r="A29" s="2"/>
      <c r="B29" s="2"/>
      <c r="C29" s="2"/>
      <c r="D29" s="2"/>
      <c r="E29" s="2"/>
      <c r="F29" s="2"/>
      <c r="G29" s="2"/>
      <c r="H29" s="2"/>
      <c r="I29" s="2"/>
      <c r="J29" s="2"/>
      <c r="K29" s="2"/>
      <c r="L29" s="2"/>
      <c r="M29" s="2"/>
      <c r="N29" s="2"/>
      <c r="O29" s="2"/>
      <c r="P29" s="2"/>
    </row>
    <row r="30" spans="1:16" ht="21" customHeight="1">
      <c r="A30" s="2"/>
      <c r="B30" s="2"/>
      <c r="C30" s="2"/>
      <c r="D30" s="2"/>
      <c r="E30" s="2"/>
      <c r="F30" s="2"/>
      <c r="G30" s="2"/>
      <c r="H30" s="2"/>
      <c r="I30" s="2"/>
      <c r="J30" s="2"/>
      <c r="K30" s="2"/>
      <c r="L30" s="2"/>
      <c r="M30" s="2"/>
      <c r="N30" s="2"/>
      <c r="O30" s="2"/>
      <c r="P30" s="2"/>
    </row>
    <row r="31" spans="1:16" ht="21" customHeight="1">
      <c r="A31" s="2"/>
      <c r="B31" s="2"/>
      <c r="C31" s="2"/>
      <c r="D31" s="2"/>
      <c r="E31" s="2"/>
      <c r="F31" s="2"/>
      <c r="G31" s="2"/>
      <c r="H31" s="2"/>
      <c r="I31" s="2"/>
      <c r="J31" s="2"/>
      <c r="K31" s="2"/>
      <c r="L31" s="2"/>
      <c r="M31" s="2"/>
      <c r="N31" s="2"/>
      <c r="O31" s="2"/>
      <c r="P31" s="2"/>
    </row>
    <row r="32" spans="1:16" ht="21" customHeight="1">
      <c r="A32" s="2"/>
      <c r="B32" s="2"/>
      <c r="C32" s="2"/>
      <c r="D32" s="2"/>
      <c r="E32" s="2"/>
      <c r="F32" s="2"/>
      <c r="G32" s="2"/>
      <c r="H32" s="2"/>
      <c r="I32" s="2"/>
      <c r="J32" s="2"/>
      <c r="K32" s="2"/>
      <c r="L32" s="2"/>
      <c r="M32" s="2"/>
      <c r="N32" s="2"/>
      <c r="O32" s="2"/>
      <c r="P32" s="2"/>
    </row>
    <row r="33" spans="1:16" ht="21" customHeight="1">
      <c r="A33" s="2"/>
      <c r="B33" s="2"/>
      <c r="C33" s="2"/>
      <c r="D33" s="2"/>
      <c r="E33" s="2"/>
      <c r="F33" s="2"/>
      <c r="G33" s="2"/>
      <c r="H33" s="2"/>
      <c r="I33" s="2"/>
      <c r="J33" s="2"/>
      <c r="K33" s="2"/>
      <c r="L33" s="2"/>
      <c r="M33" s="2"/>
      <c r="N33" s="2"/>
      <c r="O33" s="2"/>
      <c r="P33" s="2"/>
    </row>
    <row r="34" spans="1:16" ht="21" customHeight="1">
      <c r="A34" s="2"/>
      <c r="B34" s="2"/>
      <c r="C34" s="2"/>
      <c r="D34" s="2"/>
      <c r="E34" s="2"/>
      <c r="F34" s="2"/>
      <c r="G34" s="2"/>
      <c r="H34" s="2"/>
      <c r="I34" s="2"/>
      <c r="J34" s="2"/>
      <c r="K34" s="2"/>
      <c r="L34" s="2"/>
      <c r="M34" s="2"/>
      <c r="N34" s="2"/>
      <c r="O34" s="2"/>
      <c r="P34" s="2"/>
    </row>
    <row r="35" spans="1:16" ht="21" customHeight="1">
      <c r="A35" s="2"/>
      <c r="B35" s="2"/>
      <c r="C35" s="2"/>
      <c r="D35" s="2"/>
      <c r="E35" s="2"/>
      <c r="F35" s="2"/>
      <c r="G35" s="2"/>
      <c r="H35" s="2"/>
      <c r="I35" s="2"/>
      <c r="J35" s="2"/>
      <c r="K35" s="2"/>
      <c r="L35" s="2"/>
      <c r="M35" s="2"/>
      <c r="N35" s="2"/>
      <c r="O35" s="2"/>
      <c r="P35" s="2"/>
    </row>
    <row r="36" spans="1:16" ht="21" customHeight="1">
      <c r="A36" s="2"/>
      <c r="B36" s="2"/>
      <c r="C36" s="2"/>
      <c r="D36" s="2"/>
      <c r="E36" s="2"/>
      <c r="F36" s="2"/>
      <c r="G36" s="2"/>
      <c r="H36" s="2"/>
      <c r="I36" s="2"/>
      <c r="J36" s="2"/>
      <c r="K36" s="2"/>
      <c r="L36" s="2"/>
      <c r="M36" s="2"/>
      <c r="N36" s="2"/>
      <c r="O36" s="2"/>
      <c r="P36" s="2"/>
    </row>
    <row r="37" spans="1:16" ht="21" customHeight="1">
      <c r="A37" s="2"/>
      <c r="B37" s="2"/>
      <c r="C37" s="2"/>
      <c r="D37" s="2"/>
      <c r="E37" s="2"/>
      <c r="F37" s="2"/>
      <c r="G37" s="2"/>
      <c r="H37" s="2"/>
      <c r="I37" s="2"/>
      <c r="J37" s="2"/>
      <c r="K37" s="2"/>
      <c r="L37" s="2"/>
      <c r="M37" s="2"/>
      <c r="N37" s="2"/>
      <c r="O37" s="2"/>
      <c r="P37" s="2"/>
    </row>
    <row r="38" spans="1:16" ht="21" customHeight="1">
      <c r="A38" s="2"/>
      <c r="B38" s="2"/>
      <c r="C38" s="2"/>
      <c r="D38" s="2"/>
      <c r="E38" s="2"/>
      <c r="F38" s="2"/>
      <c r="G38" s="2"/>
      <c r="H38" s="2"/>
      <c r="I38" s="2"/>
      <c r="J38" s="2"/>
      <c r="K38" s="2"/>
      <c r="L38" s="2"/>
      <c r="M38" s="2"/>
      <c r="N38" s="2"/>
      <c r="O38" s="2"/>
      <c r="P38" s="2"/>
    </row>
    <row r="39" spans="1:16" ht="21" customHeight="1">
      <c r="A39" s="2"/>
      <c r="B39" s="2"/>
      <c r="C39" s="2"/>
      <c r="D39" s="2"/>
      <c r="E39" s="2"/>
      <c r="F39" s="2"/>
      <c r="G39" s="2"/>
      <c r="H39" s="2"/>
      <c r="I39" s="2"/>
      <c r="J39" s="2"/>
      <c r="K39" s="2"/>
      <c r="L39" s="2"/>
      <c r="M39" s="2"/>
      <c r="N39" s="2"/>
      <c r="O39" s="2"/>
      <c r="P39" s="2"/>
    </row>
    <row r="40" spans="1:16" ht="21" customHeight="1">
      <c r="A40" s="2"/>
      <c r="B40" s="2"/>
      <c r="C40" s="2"/>
      <c r="D40" s="2"/>
      <c r="E40" s="2"/>
      <c r="F40" s="2"/>
      <c r="G40" s="2"/>
      <c r="H40" s="2"/>
      <c r="I40" s="2"/>
      <c r="J40" s="2"/>
      <c r="K40" s="2"/>
      <c r="L40" s="2"/>
      <c r="M40" s="2"/>
      <c r="N40" s="2"/>
      <c r="O40" s="2"/>
      <c r="P40" s="2"/>
    </row>
    <row r="41" spans="1:16" ht="21" customHeight="1">
      <c r="A41" s="2"/>
      <c r="B41" s="2"/>
      <c r="C41" s="2"/>
      <c r="D41" s="2"/>
      <c r="E41" s="2"/>
      <c r="F41" s="2"/>
      <c r="G41" s="2"/>
      <c r="H41" s="2"/>
      <c r="I41" s="2"/>
      <c r="J41" s="2"/>
      <c r="K41" s="2"/>
      <c r="L41" s="2"/>
      <c r="M41" s="2"/>
      <c r="N41" s="2"/>
      <c r="O41" s="2"/>
      <c r="P41" s="2"/>
    </row>
    <row r="42" spans="1:16" ht="21" customHeight="1">
      <c r="A42" s="2"/>
      <c r="B42" s="2"/>
      <c r="C42" s="2"/>
      <c r="D42" s="2"/>
      <c r="E42" s="2"/>
      <c r="F42" s="2"/>
      <c r="G42" s="2"/>
      <c r="H42" s="2"/>
      <c r="I42" s="2"/>
      <c r="J42" s="2"/>
      <c r="K42" s="2"/>
      <c r="L42" s="2"/>
      <c r="M42" s="2"/>
      <c r="N42" s="2"/>
      <c r="O42" s="2"/>
      <c r="P42" s="2"/>
    </row>
    <row r="43" spans="1:16" ht="21" customHeight="1">
      <c r="A43" s="2"/>
      <c r="B43" s="2"/>
      <c r="C43" s="2"/>
      <c r="D43" s="2"/>
      <c r="E43" s="2"/>
      <c r="F43" s="2"/>
      <c r="G43" s="2"/>
      <c r="H43" s="2"/>
      <c r="I43" s="2"/>
      <c r="J43" s="2"/>
      <c r="K43" s="2"/>
      <c r="L43" s="2"/>
      <c r="M43" s="2"/>
      <c r="N43" s="2"/>
      <c r="O43" s="2"/>
      <c r="P43" s="2"/>
    </row>
    <row r="44" spans="1:16" ht="21" customHeight="1">
      <c r="A44" s="2"/>
      <c r="B44" s="2"/>
      <c r="C44" s="2"/>
      <c r="D44" s="2"/>
      <c r="E44" s="2"/>
      <c r="F44" s="2"/>
      <c r="G44" s="2"/>
      <c r="H44" s="2"/>
      <c r="I44" s="2"/>
      <c r="J44" s="2"/>
      <c r="K44" s="2"/>
      <c r="L44" s="2"/>
      <c r="M44" s="2"/>
      <c r="N44" s="2"/>
      <c r="O44" s="2"/>
      <c r="P44" s="2"/>
    </row>
    <row r="45" spans="1:16" ht="21" customHeight="1">
      <c r="A45" s="2"/>
      <c r="B45" s="2"/>
      <c r="C45" s="2"/>
      <c r="D45" s="2"/>
      <c r="E45" s="2"/>
      <c r="F45" s="2"/>
      <c r="G45" s="2"/>
      <c r="H45" s="2"/>
      <c r="I45" s="2"/>
      <c r="J45" s="2"/>
      <c r="K45" s="2"/>
      <c r="L45" s="2"/>
      <c r="M45" s="2"/>
      <c r="N45" s="2"/>
      <c r="O45" s="2"/>
      <c r="P45" s="2"/>
    </row>
    <row r="46" spans="1:16" ht="21" customHeight="1">
      <c r="A46" s="2"/>
      <c r="B46" s="2"/>
      <c r="C46" s="2"/>
      <c r="D46" s="2"/>
      <c r="E46" s="2"/>
      <c r="F46" s="2"/>
      <c r="G46" s="2"/>
      <c r="H46" s="2"/>
      <c r="I46" s="2"/>
      <c r="J46" s="2"/>
      <c r="K46" s="2"/>
      <c r="L46" s="2"/>
      <c r="M46" s="2"/>
      <c r="N46" s="2"/>
      <c r="O46" s="2"/>
      <c r="P46" s="2"/>
    </row>
    <row r="47" spans="1:16" ht="21" customHeight="1">
      <c r="A47" s="2"/>
      <c r="B47" s="2"/>
      <c r="C47" s="2"/>
      <c r="D47" s="2"/>
      <c r="E47" s="2"/>
      <c r="F47" s="2"/>
      <c r="G47" s="2"/>
      <c r="H47" s="2"/>
      <c r="I47" s="2"/>
      <c r="J47" s="2"/>
      <c r="K47" s="2"/>
      <c r="L47" s="2"/>
      <c r="M47" s="2"/>
      <c r="N47" s="2"/>
      <c r="O47" s="2"/>
      <c r="P47" s="2"/>
    </row>
    <row r="48" spans="1:16" ht="21" customHeight="1">
      <c r="A48" s="2"/>
      <c r="B48" s="2"/>
      <c r="C48" s="2"/>
      <c r="D48" s="2"/>
      <c r="E48" s="2"/>
      <c r="F48" s="2"/>
      <c r="G48" s="2"/>
      <c r="H48" s="2"/>
      <c r="I48" s="2"/>
      <c r="J48" s="2"/>
      <c r="K48" s="2"/>
      <c r="L48" s="2"/>
      <c r="M48" s="2"/>
      <c r="N48" s="2"/>
      <c r="O48" s="2"/>
      <c r="P48" s="2"/>
    </row>
    <row r="49" spans="1:16" ht="21" customHeight="1">
      <c r="A49" s="2"/>
      <c r="B49" s="2"/>
      <c r="C49" s="2"/>
      <c r="D49" s="2"/>
      <c r="E49" s="2"/>
      <c r="F49" s="2"/>
      <c r="G49" s="2"/>
      <c r="H49" s="2"/>
      <c r="I49" s="2"/>
      <c r="J49" s="2"/>
      <c r="K49" s="2"/>
      <c r="L49" s="2"/>
      <c r="M49" s="2"/>
      <c r="N49" s="2"/>
      <c r="O49" s="2"/>
      <c r="P49" s="2"/>
    </row>
    <row r="50" spans="1:16" ht="21" customHeight="1">
      <c r="A50" s="2"/>
      <c r="B50" s="2"/>
      <c r="C50" s="2"/>
      <c r="D50" s="2"/>
      <c r="E50" s="2"/>
      <c r="F50" s="2"/>
      <c r="G50" s="2"/>
      <c r="H50" s="2"/>
      <c r="I50" s="2"/>
      <c r="J50" s="2"/>
      <c r="K50" s="2"/>
      <c r="L50" s="2"/>
      <c r="M50" s="2"/>
      <c r="N50" s="2"/>
      <c r="O50" s="2"/>
      <c r="P50" s="2"/>
    </row>
    <row r="51" spans="1:16" ht="21" customHeight="1">
      <c r="A51" s="2"/>
      <c r="B51" s="2"/>
      <c r="C51" s="2"/>
      <c r="D51" s="2"/>
      <c r="E51" s="2"/>
      <c r="F51" s="2"/>
      <c r="G51" s="2"/>
      <c r="H51" s="2"/>
      <c r="I51" s="2"/>
      <c r="J51" s="2"/>
      <c r="K51" s="2"/>
      <c r="L51" s="2"/>
      <c r="M51" s="2"/>
      <c r="N51" s="2"/>
      <c r="O51" s="2"/>
      <c r="P51" s="2"/>
    </row>
    <row r="52" spans="1:16" ht="21" customHeight="1">
      <c r="A52" s="2"/>
      <c r="B52" s="2"/>
      <c r="C52" s="2"/>
      <c r="D52" s="2"/>
      <c r="E52" s="2"/>
      <c r="F52" s="2"/>
      <c r="G52" s="2"/>
      <c r="H52" s="2"/>
      <c r="I52" s="2"/>
      <c r="J52" s="2"/>
      <c r="K52" s="2"/>
      <c r="L52" s="2"/>
      <c r="M52" s="2"/>
      <c r="N52" s="2"/>
      <c r="O52" s="2"/>
      <c r="P52" s="2"/>
    </row>
    <row r="53" spans="1:16" ht="21" customHeight="1">
      <c r="A53" s="2"/>
      <c r="B53" s="2"/>
      <c r="C53" s="2"/>
      <c r="D53" s="2"/>
      <c r="E53" s="2"/>
      <c r="F53" s="2"/>
      <c r="G53" s="2"/>
      <c r="H53" s="2"/>
      <c r="I53" s="2"/>
      <c r="J53" s="2"/>
      <c r="K53" s="2"/>
      <c r="L53" s="2"/>
      <c r="M53" s="2"/>
      <c r="N53" s="2"/>
      <c r="O53" s="2"/>
      <c r="P53" s="2"/>
    </row>
    <row r="54" spans="1:16" ht="21" customHeight="1">
      <c r="A54" s="2"/>
      <c r="B54" s="2"/>
      <c r="C54" s="2"/>
      <c r="D54" s="2"/>
      <c r="E54" s="2"/>
      <c r="F54" s="2"/>
      <c r="G54" s="2"/>
      <c r="H54" s="2"/>
      <c r="I54" s="2"/>
      <c r="J54" s="2"/>
      <c r="K54" s="2"/>
      <c r="L54" s="2"/>
      <c r="M54" s="2"/>
      <c r="N54" s="2"/>
      <c r="O54" s="2"/>
      <c r="P54" s="2"/>
    </row>
    <row r="55" spans="1:16" ht="21" customHeight="1">
      <c r="A55" s="2"/>
      <c r="B55" s="2"/>
      <c r="C55" s="2"/>
      <c r="D55" s="2"/>
      <c r="E55" s="2"/>
      <c r="F55" s="2"/>
      <c r="G55" s="2"/>
      <c r="H55" s="2"/>
      <c r="I55" s="2"/>
      <c r="J55" s="2"/>
      <c r="K55" s="2"/>
      <c r="L55" s="2"/>
      <c r="M55" s="2"/>
      <c r="N55" s="2"/>
      <c r="O55" s="2"/>
      <c r="P55" s="2"/>
    </row>
    <row r="56" spans="1:16" ht="21" customHeight="1">
      <c r="A56" s="2"/>
      <c r="B56" s="2"/>
      <c r="C56" s="2"/>
      <c r="D56" s="2"/>
      <c r="E56" s="2"/>
      <c r="F56" s="2"/>
      <c r="G56" s="2"/>
      <c r="H56" s="2"/>
      <c r="I56" s="2"/>
      <c r="J56" s="2"/>
      <c r="K56" s="2"/>
      <c r="L56" s="2"/>
      <c r="M56" s="2"/>
      <c r="N56" s="2"/>
      <c r="O56" s="2"/>
      <c r="P56" s="2"/>
    </row>
    <row r="57" spans="1:16" ht="21" customHeight="1">
      <c r="A57" s="2"/>
      <c r="B57" s="2"/>
      <c r="C57" s="2"/>
      <c r="D57" s="2"/>
      <c r="E57" s="2"/>
      <c r="F57" s="2"/>
      <c r="G57" s="2"/>
      <c r="H57" s="2"/>
      <c r="I57" s="2"/>
      <c r="J57" s="2"/>
      <c r="K57" s="2"/>
      <c r="L57" s="2"/>
      <c r="M57" s="2"/>
      <c r="N57" s="2"/>
      <c r="O57" s="2"/>
      <c r="P57" s="2"/>
    </row>
    <row r="58" spans="1:16" ht="21" customHeight="1">
      <c r="A58" s="2"/>
      <c r="B58" s="2"/>
      <c r="C58" s="2"/>
      <c r="D58" s="2"/>
      <c r="E58" s="2"/>
      <c r="F58" s="2"/>
      <c r="G58" s="2"/>
      <c r="H58" s="2"/>
      <c r="I58" s="2"/>
      <c r="J58" s="2"/>
      <c r="K58" s="2"/>
      <c r="L58" s="2"/>
      <c r="M58" s="2"/>
      <c r="N58" s="2"/>
      <c r="O58" s="2"/>
      <c r="P58" s="2"/>
    </row>
    <row r="59" spans="1:16" ht="21" customHeight="1">
      <c r="A59" s="2"/>
      <c r="B59" s="2"/>
      <c r="C59" s="2"/>
      <c r="D59" s="2"/>
      <c r="E59" s="2"/>
      <c r="F59" s="2"/>
      <c r="G59" s="2"/>
      <c r="H59" s="2"/>
      <c r="I59" s="2"/>
      <c r="J59" s="2"/>
      <c r="K59" s="2"/>
      <c r="L59" s="2"/>
      <c r="M59" s="2"/>
      <c r="N59" s="2"/>
      <c r="O59" s="2"/>
      <c r="P59" s="2"/>
    </row>
    <row r="60" spans="1:16" ht="21" customHeight="1">
      <c r="A60" s="2"/>
      <c r="B60" s="2"/>
      <c r="C60" s="2"/>
      <c r="D60" s="2"/>
      <c r="E60" s="2"/>
      <c r="F60" s="2"/>
      <c r="G60" s="2"/>
      <c r="H60" s="2"/>
      <c r="I60" s="2"/>
      <c r="J60" s="2"/>
      <c r="K60" s="2"/>
      <c r="L60" s="2"/>
      <c r="M60" s="2"/>
      <c r="N60" s="2"/>
      <c r="O60" s="2"/>
      <c r="P60" s="2"/>
    </row>
    <row r="61" spans="1:16" ht="21" customHeight="1">
      <c r="A61" s="2"/>
      <c r="B61" s="2"/>
      <c r="C61" s="2"/>
      <c r="D61" s="2"/>
      <c r="E61" s="2"/>
      <c r="F61" s="2"/>
      <c r="G61" s="2"/>
      <c r="H61" s="2"/>
      <c r="I61" s="2"/>
      <c r="J61" s="2"/>
      <c r="K61" s="2"/>
      <c r="L61" s="2"/>
      <c r="M61" s="2"/>
      <c r="N61" s="2"/>
      <c r="O61" s="2"/>
      <c r="P61" s="2"/>
    </row>
    <row r="62" spans="1:16" ht="21" customHeight="1">
      <c r="A62" s="2"/>
      <c r="B62" s="2"/>
      <c r="C62" s="2"/>
      <c r="D62" s="2"/>
      <c r="E62" s="2"/>
      <c r="F62" s="2"/>
      <c r="G62" s="2"/>
      <c r="H62" s="2"/>
      <c r="I62" s="2"/>
      <c r="J62" s="2"/>
      <c r="K62" s="2"/>
      <c r="L62" s="2"/>
      <c r="M62" s="2"/>
      <c r="N62" s="2"/>
      <c r="O62" s="2"/>
      <c r="P62" s="2"/>
    </row>
    <row r="63" spans="1:16" ht="21" customHeight="1">
      <c r="A63" s="2"/>
      <c r="B63" s="2"/>
      <c r="C63" s="2"/>
      <c r="D63" s="2"/>
      <c r="E63" s="2"/>
      <c r="F63" s="2"/>
      <c r="G63" s="2"/>
      <c r="H63" s="2"/>
      <c r="I63" s="2"/>
      <c r="J63" s="2"/>
      <c r="K63" s="2"/>
      <c r="L63" s="2"/>
      <c r="M63" s="2"/>
      <c r="N63" s="2"/>
      <c r="O63" s="2"/>
      <c r="P63" s="2"/>
    </row>
    <row r="64" spans="1:16" ht="21" customHeight="1">
      <c r="A64" s="2"/>
      <c r="B64" s="2"/>
      <c r="C64" s="2"/>
      <c r="D64" s="2"/>
      <c r="E64" s="2"/>
      <c r="F64" s="2"/>
      <c r="G64" s="2"/>
      <c r="H64" s="2"/>
      <c r="I64" s="2"/>
      <c r="J64" s="2"/>
      <c r="K64" s="2"/>
      <c r="L64" s="2"/>
      <c r="M64" s="2"/>
      <c r="N64" s="2"/>
      <c r="O64" s="2"/>
      <c r="P64" s="2"/>
    </row>
    <row r="65" spans="1:16" ht="21" customHeight="1">
      <c r="A65" s="2"/>
      <c r="B65" s="2"/>
      <c r="C65" s="2"/>
      <c r="D65" s="2"/>
      <c r="E65" s="2"/>
      <c r="F65" s="2"/>
      <c r="G65" s="2"/>
      <c r="H65" s="2"/>
      <c r="I65" s="2"/>
      <c r="J65" s="2"/>
      <c r="K65" s="2"/>
      <c r="L65" s="2"/>
      <c r="M65" s="2"/>
      <c r="N65" s="2"/>
      <c r="O65" s="2"/>
      <c r="P65" s="2"/>
    </row>
    <row r="66" spans="1:16" ht="21" customHeight="1">
      <c r="A66" s="2"/>
      <c r="B66" s="2"/>
      <c r="C66" s="2"/>
      <c r="D66" s="2"/>
      <c r="E66" s="2"/>
      <c r="F66" s="2"/>
      <c r="G66" s="2"/>
      <c r="H66" s="2"/>
      <c r="I66" s="2"/>
      <c r="J66" s="2"/>
      <c r="K66" s="2"/>
      <c r="L66" s="2"/>
      <c r="M66" s="2"/>
      <c r="N66" s="2"/>
      <c r="O66" s="2"/>
      <c r="P66" s="2"/>
    </row>
    <row r="67" spans="1:16" ht="21" customHeight="1">
      <c r="A67" s="2"/>
      <c r="B67" s="2"/>
      <c r="C67" s="2"/>
      <c r="D67" s="2"/>
      <c r="E67" s="2"/>
      <c r="F67" s="2"/>
      <c r="G67" s="2"/>
      <c r="H67" s="2"/>
      <c r="I67" s="2"/>
      <c r="J67" s="2"/>
      <c r="K67" s="2"/>
      <c r="L67" s="2"/>
      <c r="M67" s="2"/>
      <c r="N67" s="2"/>
      <c r="O67" s="2"/>
      <c r="P67" s="2"/>
    </row>
    <row r="68" spans="1:16" ht="21" customHeight="1">
      <c r="A68" s="2"/>
      <c r="B68" s="2"/>
      <c r="C68" s="2"/>
      <c r="D68" s="2"/>
      <c r="E68" s="2"/>
      <c r="F68" s="2"/>
      <c r="G68" s="2"/>
      <c r="H68" s="2"/>
      <c r="I68" s="2"/>
      <c r="J68" s="2"/>
      <c r="K68" s="2"/>
      <c r="L68" s="2"/>
      <c r="M68" s="2"/>
      <c r="N68" s="2"/>
      <c r="O68" s="2"/>
      <c r="P68" s="2"/>
    </row>
    <row r="69" spans="1:16" ht="21" customHeight="1">
      <c r="A69" s="2"/>
      <c r="B69" s="2"/>
      <c r="C69" s="2"/>
      <c r="D69" s="2"/>
      <c r="E69" s="2"/>
      <c r="F69" s="2"/>
      <c r="G69" s="2"/>
      <c r="H69" s="2"/>
      <c r="I69" s="2"/>
      <c r="J69" s="2"/>
      <c r="K69" s="2"/>
      <c r="L69" s="2"/>
      <c r="M69" s="2"/>
      <c r="N69" s="2"/>
      <c r="O69" s="2"/>
      <c r="P69" s="2"/>
    </row>
    <row r="70" spans="1:16" ht="21" customHeight="1">
      <c r="A70" s="2"/>
      <c r="B70" s="2"/>
      <c r="C70" s="2"/>
      <c r="D70" s="2"/>
      <c r="E70" s="2"/>
      <c r="F70" s="2"/>
      <c r="G70" s="2"/>
      <c r="H70" s="2"/>
      <c r="I70" s="2"/>
      <c r="J70" s="2"/>
      <c r="K70" s="2"/>
      <c r="L70" s="2"/>
      <c r="M70" s="2"/>
      <c r="N70" s="2"/>
      <c r="O70" s="2"/>
      <c r="P70" s="2"/>
    </row>
    <row r="71" spans="1:16" ht="21" customHeight="1">
      <c r="A71" s="2"/>
      <c r="B71" s="2"/>
      <c r="C71" s="2"/>
      <c r="D71" s="2"/>
      <c r="E71" s="2"/>
      <c r="F71" s="2"/>
      <c r="G71" s="2"/>
      <c r="H71" s="2"/>
      <c r="I71" s="2"/>
      <c r="J71" s="2"/>
      <c r="K71" s="2"/>
      <c r="L71" s="2"/>
      <c r="M71" s="2"/>
      <c r="N71" s="2"/>
      <c r="O71" s="2"/>
      <c r="P71" s="2"/>
    </row>
    <row r="72" spans="1:16" ht="21" customHeight="1">
      <c r="A72" s="2"/>
      <c r="B72" s="2"/>
      <c r="C72" s="2"/>
      <c r="D72" s="2"/>
      <c r="E72" s="2"/>
      <c r="F72" s="2"/>
      <c r="G72" s="2"/>
      <c r="H72" s="2"/>
      <c r="I72" s="2"/>
      <c r="J72" s="2"/>
      <c r="K72" s="2"/>
      <c r="L72" s="2"/>
      <c r="M72" s="2"/>
      <c r="N72" s="2"/>
      <c r="O72" s="2"/>
      <c r="P72" s="2"/>
    </row>
    <row r="73" spans="1:16" ht="21" customHeight="1">
      <c r="A73" s="2"/>
      <c r="B73" s="2"/>
      <c r="C73" s="2"/>
      <c r="D73" s="2"/>
      <c r="E73" s="2"/>
      <c r="F73" s="2"/>
      <c r="G73" s="2"/>
      <c r="H73" s="2"/>
      <c r="I73" s="2"/>
      <c r="J73" s="2"/>
      <c r="K73" s="2"/>
      <c r="L73" s="2"/>
      <c r="M73" s="2"/>
      <c r="N73" s="2"/>
      <c r="O73" s="2"/>
      <c r="P73" s="2"/>
    </row>
    <row r="74" spans="1:16" ht="21" customHeight="1">
      <c r="A74" s="2"/>
      <c r="B74" s="2"/>
      <c r="C74" s="2"/>
      <c r="D74" s="2"/>
      <c r="E74" s="2"/>
      <c r="F74" s="2"/>
      <c r="G74" s="2"/>
      <c r="H74" s="2"/>
      <c r="I74" s="2"/>
      <c r="J74" s="2"/>
      <c r="K74" s="2"/>
      <c r="L74" s="2"/>
      <c r="M74" s="2"/>
      <c r="N74" s="2"/>
      <c r="O74" s="2"/>
      <c r="P74" s="2"/>
    </row>
    <row r="75" spans="1:16" ht="21" customHeight="1">
      <c r="A75" s="2"/>
      <c r="B75" s="2"/>
      <c r="C75" s="2"/>
      <c r="D75" s="2"/>
      <c r="E75" s="2"/>
      <c r="F75" s="2"/>
      <c r="G75" s="2"/>
      <c r="H75" s="2"/>
      <c r="I75" s="2"/>
      <c r="J75" s="2"/>
      <c r="K75" s="2"/>
      <c r="L75" s="2"/>
      <c r="M75" s="2"/>
      <c r="N75" s="2"/>
      <c r="O75" s="2"/>
      <c r="P75" s="2"/>
    </row>
    <row r="76" spans="1:16" ht="21" customHeight="1">
      <c r="A76" s="2"/>
      <c r="B76" s="2"/>
      <c r="C76" s="2"/>
      <c r="D76" s="2"/>
      <c r="E76" s="2"/>
      <c r="F76" s="2"/>
      <c r="G76" s="2"/>
      <c r="H76" s="2"/>
      <c r="I76" s="2"/>
      <c r="J76" s="2"/>
      <c r="K76" s="2"/>
      <c r="L76" s="2"/>
      <c r="M76" s="2"/>
      <c r="N76" s="2"/>
      <c r="O76" s="2"/>
      <c r="P76" s="2"/>
    </row>
    <row r="77" spans="1:16" ht="21" customHeight="1">
      <c r="A77" s="2"/>
      <c r="B77" s="2"/>
      <c r="C77" s="2"/>
      <c r="D77" s="2"/>
      <c r="E77" s="2"/>
      <c r="F77" s="2"/>
      <c r="G77" s="2"/>
      <c r="H77" s="2"/>
      <c r="I77" s="2"/>
      <c r="J77" s="2"/>
      <c r="K77" s="2"/>
      <c r="L77" s="2"/>
      <c r="M77" s="2"/>
      <c r="N77" s="2"/>
      <c r="O77" s="2"/>
      <c r="P77" s="2"/>
    </row>
    <row r="78" spans="1:16" ht="21" customHeight="1">
      <c r="A78" s="2"/>
      <c r="B78" s="2"/>
      <c r="C78" s="2"/>
      <c r="D78" s="2"/>
      <c r="E78" s="2"/>
      <c r="F78" s="2"/>
      <c r="G78" s="2"/>
      <c r="H78" s="2"/>
      <c r="I78" s="2"/>
      <c r="J78" s="2"/>
      <c r="K78" s="2"/>
      <c r="L78" s="2"/>
      <c r="M78" s="2"/>
      <c r="N78" s="2"/>
      <c r="O78" s="2"/>
      <c r="P78" s="2"/>
    </row>
    <row r="79" spans="1:16" ht="21" customHeight="1">
      <c r="A79" s="2"/>
      <c r="B79" s="2"/>
      <c r="C79" s="2"/>
      <c r="D79" s="2"/>
      <c r="E79" s="2"/>
      <c r="F79" s="2"/>
      <c r="G79" s="2"/>
      <c r="H79" s="2"/>
      <c r="I79" s="2"/>
      <c r="J79" s="2"/>
      <c r="K79" s="2"/>
      <c r="L79" s="2"/>
      <c r="M79" s="2"/>
      <c r="N79" s="2"/>
      <c r="O79" s="2"/>
      <c r="P79" s="2"/>
    </row>
    <row r="80" spans="1:16" ht="21" customHeight="1">
      <c r="A80" s="2"/>
      <c r="B80" s="2"/>
      <c r="C80" s="2"/>
      <c r="D80" s="2"/>
      <c r="E80" s="2"/>
      <c r="F80" s="2"/>
      <c r="G80" s="2"/>
      <c r="H80" s="2"/>
      <c r="I80" s="2"/>
      <c r="J80" s="2"/>
      <c r="K80" s="2"/>
      <c r="L80" s="2"/>
      <c r="M80" s="2"/>
      <c r="N80" s="2"/>
      <c r="O80" s="2"/>
      <c r="P80" s="2"/>
    </row>
    <row r="81" spans="1:16" ht="21" customHeight="1">
      <c r="A81" s="2"/>
      <c r="B81" s="2"/>
      <c r="C81" s="2"/>
      <c r="D81" s="2"/>
      <c r="E81" s="2"/>
      <c r="F81" s="2"/>
      <c r="G81" s="2"/>
      <c r="H81" s="2"/>
      <c r="I81" s="2"/>
      <c r="J81" s="2"/>
      <c r="K81" s="2"/>
      <c r="L81" s="2"/>
      <c r="M81" s="2"/>
      <c r="N81" s="2"/>
      <c r="O81" s="2"/>
      <c r="P81" s="2"/>
    </row>
    <row r="82" spans="1:16" ht="21" customHeight="1">
      <c r="A82" s="2"/>
      <c r="B82" s="2"/>
      <c r="C82" s="2"/>
      <c r="D82" s="2"/>
      <c r="E82" s="2"/>
      <c r="F82" s="2"/>
      <c r="G82" s="2"/>
      <c r="H82" s="2"/>
      <c r="I82" s="2"/>
      <c r="J82" s="2"/>
      <c r="K82" s="2"/>
      <c r="L82" s="2"/>
      <c r="M82" s="2"/>
      <c r="N82" s="2"/>
      <c r="O82" s="2"/>
      <c r="P82" s="2"/>
    </row>
    <row r="83" spans="1:16" ht="21" customHeight="1">
      <c r="A83" s="2"/>
      <c r="B83" s="2"/>
      <c r="C83" s="2"/>
      <c r="D83" s="2"/>
      <c r="E83" s="2"/>
      <c r="F83" s="2"/>
      <c r="G83" s="2"/>
      <c r="H83" s="2"/>
      <c r="I83" s="2"/>
      <c r="J83" s="2"/>
      <c r="K83" s="2"/>
      <c r="L83" s="2"/>
      <c r="M83" s="2"/>
      <c r="N83" s="2"/>
      <c r="O83" s="2"/>
      <c r="P83" s="2"/>
    </row>
    <row r="84" spans="1:16" ht="21" customHeight="1">
      <c r="A84" s="2"/>
      <c r="B84" s="2"/>
      <c r="C84" s="2"/>
      <c r="D84" s="2"/>
      <c r="E84" s="2"/>
      <c r="F84" s="2"/>
      <c r="G84" s="2"/>
      <c r="H84" s="2"/>
      <c r="I84" s="2"/>
      <c r="J84" s="2"/>
      <c r="K84" s="2"/>
      <c r="L84" s="2"/>
      <c r="M84" s="2"/>
      <c r="N84" s="2"/>
      <c r="O84" s="2"/>
      <c r="P84" s="2"/>
    </row>
    <row r="85" spans="1:16" ht="21" customHeight="1">
      <c r="A85" s="2"/>
      <c r="B85" s="2"/>
      <c r="C85" s="2"/>
      <c r="D85" s="2"/>
      <c r="E85" s="2"/>
      <c r="F85" s="2"/>
      <c r="G85" s="2"/>
      <c r="H85" s="2"/>
      <c r="I85" s="2"/>
      <c r="J85" s="2"/>
      <c r="K85" s="2"/>
      <c r="L85" s="2"/>
      <c r="M85" s="2"/>
      <c r="N85" s="2"/>
      <c r="O85" s="2"/>
      <c r="P85" s="2"/>
    </row>
    <row r="86" spans="1:16" ht="21" customHeight="1">
      <c r="A86" s="2"/>
      <c r="B86" s="2"/>
      <c r="C86" s="2"/>
      <c r="D86" s="2"/>
      <c r="E86" s="2"/>
      <c r="F86" s="2"/>
      <c r="G86" s="2"/>
      <c r="H86" s="2"/>
      <c r="I86" s="2"/>
      <c r="J86" s="2"/>
      <c r="K86" s="2"/>
      <c r="L86" s="2"/>
      <c r="M86" s="2"/>
      <c r="N86" s="2"/>
      <c r="O86" s="2"/>
      <c r="P86" s="2"/>
    </row>
    <row r="87" spans="1:16" ht="21" customHeight="1">
      <c r="A87" s="2"/>
      <c r="B87" s="2"/>
      <c r="C87" s="2"/>
      <c r="D87" s="2"/>
      <c r="E87" s="2"/>
      <c r="F87" s="2"/>
      <c r="G87" s="2"/>
      <c r="H87" s="2"/>
      <c r="I87" s="2"/>
      <c r="J87" s="2"/>
      <c r="K87" s="2"/>
      <c r="L87" s="2"/>
      <c r="M87" s="2"/>
      <c r="N87" s="2"/>
      <c r="O87" s="2"/>
      <c r="P87" s="2"/>
    </row>
    <row r="88" spans="1:16" ht="21" customHeight="1">
      <c r="A88" s="2"/>
      <c r="B88" s="2"/>
      <c r="C88" s="2"/>
      <c r="D88" s="2"/>
      <c r="E88" s="2"/>
      <c r="F88" s="2"/>
      <c r="G88" s="2"/>
      <c r="H88" s="2"/>
      <c r="I88" s="2"/>
      <c r="J88" s="2"/>
      <c r="K88" s="2"/>
      <c r="L88" s="2"/>
      <c r="M88" s="2"/>
      <c r="N88" s="2"/>
      <c r="O88" s="2"/>
      <c r="P88" s="2"/>
    </row>
    <row r="89" spans="1:16" ht="21" customHeight="1">
      <c r="A89" s="2"/>
      <c r="B89" s="2"/>
      <c r="C89" s="2"/>
      <c r="D89" s="2"/>
      <c r="E89" s="2"/>
      <c r="F89" s="2"/>
      <c r="G89" s="2"/>
      <c r="H89" s="2"/>
      <c r="I89" s="2"/>
      <c r="J89" s="2"/>
      <c r="K89" s="2"/>
      <c r="L89" s="2"/>
      <c r="M89" s="2"/>
      <c r="N89" s="2"/>
      <c r="O89" s="2"/>
      <c r="P89" s="2"/>
    </row>
    <row r="90" spans="1:16" ht="21" customHeight="1">
      <c r="A90" s="2"/>
      <c r="B90" s="2"/>
      <c r="C90" s="2"/>
      <c r="D90" s="2"/>
      <c r="E90" s="2"/>
      <c r="F90" s="2"/>
      <c r="G90" s="2"/>
      <c r="H90" s="2"/>
      <c r="I90" s="2"/>
      <c r="J90" s="2"/>
      <c r="K90" s="2"/>
      <c r="L90" s="2"/>
      <c r="M90" s="2"/>
      <c r="N90" s="2"/>
      <c r="O90" s="2"/>
      <c r="P90" s="2"/>
    </row>
    <row r="91" spans="1:16" ht="21" customHeight="1">
      <c r="A91" s="2"/>
      <c r="B91" s="2"/>
      <c r="C91" s="2"/>
      <c r="D91" s="2"/>
      <c r="E91" s="2"/>
      <c r="F91" s="2"/>
      <c r="G91" s="2"/>
      <c r="H91" s="2"/>
      <c r="I91" s="2"/>
      <c r="J91" s="2"/>
      <c r="K91" s="2"/>
      <c r="L91" s="2"/>
      <c r="M91" s="2"/>
      <c r="N91" s="2"/>
      <c r="O91" s="2"/>
      <c r="P91" s="2"/>
    </row>
    <row r="92" spans="1:16" ht="21" customHeight="1">
      <c r="A92" s="2"/>
      <c r="B92" s="2"/>
      <c r="C92" s="2"/>
      <c r="D92" s="2"/>
      <c r="E92" s="2"/>
      <c r="F92" s="2"/>
      <c r="G92" s="2"/>
      <c r="H92" s="2"/>
      <c r="I92" s="2"/>
      <c r="J92" s="2"/>
      <c r="K92" s="2"/>
      <c r="L92" s="2"/>
      <c r="M92" s="2"/>
      <c r="N92" s="2"/>
      <c r="O92" s="2"/>
      <c r="P92" s="2"/>
    </row>
    <row r="93" spans="1:16" ht="21" customHeight="1">
      <c r="A93" s="2"/>
      <c r="B93" s="2"/>
      <c r="C93" s="2"/>
      <c r="D93" s="2"/>
      <c r="E93" s="2"/>
      <c r="F93" s="2"/>
      <c r="G93" s="2"/>
      <c r="H93" s="2"/>
      <c r="I93" s="2"/>
      <c r="J93" s="2"/>
      <c r="K93" s="2"/>
      <c r="L93" s="2"/>
      <c r="M93" s="2"/>
      <c r="N93" s="2"/>
      <c r="O93" s="2"/>
      <c r="P93" s="2"/>
    </row>
    <row r="94" spans="1:16" ht="21" customHeight="1">
      <c r="A94" s="2"/>
      <c r="B94" s="2"/>
      <c r="C94" s="2"/>
      <c r="D94" s="2"/>
      <c r="E94" s="2"/>
      <c r="F94" s="2"/>
      <c r="G94" s="2"/>
      <c r="H94" s="2"/>
      <c r="I94" s="2"/>
      <c r="J94" s="2"/>
      <c r="K94" s="2"/>
      <c r="L94" s="2"/>
      <c r="M94" s="2"/>
      <c r="N94" s="2"/>
      <c r="O94" s="2"/>
      <c r="P94" s="2"/>
    </row>
    <row r="95" spans="1:16" ht="21" customHeight="1">
      <c r="A95" s="2"/>
      <c r="B95" s="2"/>
      <c r="C95" s="2"/>
      <c r="D95" s="2"/>
      <c r="E95" s="2"/>
      <c r="F95" s="2"/>
      <c r="G95" s="2"/>
      <c r="H95" s="2"/>
      <c r="I95" s="2"/>
      <c r="J95" s="2"/>
      <c r="K95" s="2"/>
      <c r="L95" s="2"/>
      <c r="M95" s="2"/>
      <c r="N95" s="2"/>
      <c r="O95" s="2"/>
      <c r="P95" s="2"/>
    </row>
    <row r="96" spans="1:16" ht="21" customHeight="1">
      <c r="A96" s="2"/>
      <c r="B96" s="2"/>
      <c r="C96" s="2"/>
      <c r="D96" s="2"/>
      <c r="E96" s="2"/>
      <c r="F96" s="2"/>
      <c r="G96" s="2"/>
      <c r="H96" s="2"/>
      <c r="I96" s="2"/>
      <c r="J96" s="2"/>
      <c r="K96" s="2"/>
      <c r="L96" s="2"/>
      <c r="M96" s="2"/>
      <c r="N96" s="2"/>
      <c r="O96" s="2"/>
      <c r="P96" s="2"/>
    </row>
    <row r="97" spans="1:16" ht="21" customHeight="1">
      <c r="A97" s="2"/>
      <c r="B97" s="2"/>
      <c r="C97" s="2"/>
      <c r="D97" s="2"/>
      <c r="E97" s="2"/>
      <c r="F97" s="2"/>
      <c r="G97" s="2"/>
      <c r="H97" s="2"/>
      <c r="I97" s="2"/>
      <c r="J97" s="2"/>
      <c r="K97" s="2"/>
      <c r="L97" s="2"/>
      <c r="M97" s="2"/>
      <c r="N97" s="2"/>
      <c r="O97" s="2"/>
      <c r="P97" s="2"/>
    </row>
    <row r="98" spans="1:16" ht="21" customHeight="1">
      <c r="A98" s="2"/>
      <c r="B98" s="2"/>
      <c r="C98" s="2"/>
      <c r="D98" s="2"/>
      <c r="E98" s="2"/>
      <c r="F98" s="2"/>
      <c r="G98" s="2"/>
      <c r="H98" s="2"/>
      <c r="I98" s="2"/>
      <c r="J98" s="2"/>
      <c r="K98" s="2"/>
      <c r="L98" s="2"/>
      <c r="M98" s="2"/>
      <c r="N98" s="2"/>
      <c r="O98" s="2"/>
      <c r="P98" s="2"/>
    </row>
    <row r="99" spans="1:16" ht="21" customHeight="1">
      <c r="A99" s="2"/>
      <c r="B99" s="2"/>
      <c r="C99" s="2"/>
      <c r="D99" s="2"/>
      <c r="E99" s="2"/>
      <c r="F99" s="2"/>
      <c r="G99" s="2"/>
      <c r="H99" s="2"/>
      <c r="I99" s="2"/>
      <c r="J99" s="2"/>
      <c r="K99" s="2"/>
      <c r="L99" s="2"/>
      <c r="M99" s="2"/>
      <c r="N99" s="2"/>
      <c r="O99" s="2"/>
      <c r="P99" s="2"/>
    </row>
    <row r="100" spans="1:16" ht="21" customHeight="1">
      <c r="A100" s="2"/>
      <c r="B100" s="2"/>
      <c r="C100" s="2"/>
      <c r="D100" s="2"/>
      <c r="E100" s="2"/>
      <c r="F100" s="2"/>
      <c r="G100" s="2"/>
      <c r="H100" s="2"/>
      <c r="I100" s="2"/>
      <c r="J100" s="2"/>
      <c r="K100" s="2"/>
      <c r="L100" s="2"/>
      <c r="M100" s="2"/>
      <c r="N100" s="2"/>
      <c r="O100" s="2"/>
      <c r="P100" s="2"/>
    </row>
    <row r="101" spans="1:16" ht="21" customHeight="1">
      <c r="A101" s="2"/>
      <c r="B101" s="2"/>
      <c r="C101" s="2"/>
      <c r="D101" s="2"/>
      <c r="E101" s="2"/>
      <c r="F101" s="2"/>
      <c r="G101" s="2"/>
      <c r="H101" s="2"/>
      <c r="I101" s="2"/>
      <c r="J101" s="2"/>
      <c r="K101" s="2"/>
      <c r="L101" s="2"/>
      <c r="M101" s="2"/>
      <c r="N101" s="2"/>
      <c r="O101" s="2"/>
      <c r="P101" s="2"/>
    </row>
    <row r="102" spans="1:16" ht="21" customHeight="1">
      <c r="A102" s="2"/>
      <c r="B102" s="2"/>
      <c r="C102" s="2"/>
      <c r="D102" s="2"/>
      <c r="E102" s="2"/>
      <c r="F102" s="2"/>
      <c r="G102" s="2"/>
      <c r="H102" s="2"/>
      <c r="I102" s="2"/>
      <c r="J102" s="2"/>
      <c r="K102" s="2"/>
      <c r="L102" s="2"/>
      <c r="M102" s="2"/>
      <c r="N102" s="2"/>
      <c r="O102" s="2"/>
      <c r="P102" s="2"/>
    </row>
    <row r="103" spans="1:16" ht="21" customHeight="1">
      <c r="A103" s="2"/>
      <c r="B103" s="2"/>
      <c r="C103" s="2"/>
      <c r="D103" s="2"/>
      <c r="E103" s="2"/>
      <c r="F103" s="2"/>
      <c r="G103" s="2"/>
      <c r="H103" s="2"/>
      <c r="I103" s="2"/>
      <c r="J103" s="2"/>
      <c r="K103" s="2"/>
      <c r="L103" s="2"/>
      <c r="M103" s="2"/>
      <c r="N103" s="2"/>
      <c r="O103" s="2"/>
      <c r="P103" s="2"/>
    </row>
    <row r="104" spans="1:16" ht="21" customHeight="1">
      <c r="A104" s="2"/>
      <c r="B104" s="2"/>
      <c r="C104" s="2"/>
      <c r="D104" s="2"/>
      <c r="E104" s="2"/>
      <c r="F104" s="2"/>
      <c r="G104" s="2"/>
      <c r="H104" s="2"/>
      <c r="I104" s="2"/>
      <c r="J104" s="2"/>
      <c r="K104" s="2"/>
      <c r="L104" s="2"/>
      <c r="M104" s="2"/>
      <c r="N104" s="2"/>
      <c r="O104" s="2"/>
      <c r="P104" s="2"/>
    </row>
    <row r="105" spans="1:16" ht="21" customHeight="1">
      <c r="A105" s="2"/>
      <c r="B105" s="2"/>
      <c r="C105" s="2"/>
      <c r="D105" s="2"/>
      <c r="E105" s="2"/>
      <c r="F105" s="2"/>
      <c r="G105" s="2"/>
      <c r="H105" s="2"/>
      <c r="I105" s="2"/>
      <c r="J105" s="2"/>
      <c r="K105" s="2"/>
      <c r="L105" s="2"/>
      <c r="M105" s="2"/>
      <c r="N105" s="2"/>
      <c r="O105" s="2"/>
      <c r="P105" s="2"/>
    </row>
    <row r="106" spans="1:16" ht="21" customHeight="1">
      <c r="A106" s="2"/>
      <c r="B106" s="2"/>
      <c r="C106" s="2"/>
      <c r="D106" s="2"/>
      <c r="E106" s="2"/>
      <c r="F106" s="2"/>
      <c r="G106" s="2"/>
      <c r="H106" s="2"/>
      <c r="I106" s="2"/>
      <c r="J106" s="2"/>
      <c r="K106" s="2"/>
      <c r="L106" s="2"/>
      <c r="M106" s="2"/>
      <c r="N106" s="2"/>
      <c r="O106" s="2"/>
      <c r="P106" s="2"/>
    </row>
    <row r="107" spans="1:16" ht="21" customHeight="1">
      <c r="A107" s="2"/>
      <c r="B107" s="2"/>
      <c r="C107" s="2"/>
      <c r="D107" s="2"/>
      <c r="E107" s="2"/>
      <c r="F107" s="2"/>
      <c r="G107" s="2"/>
      <c r="H107" s="2"/>
      <c r="I107" s="2"/>
      <c r="J107" s="2"/>
      <c r="K107" s="2"/>
      <c r="L107" s="2"/>
      <c r="M107" s="2"/>
      <c r="N107" s="2"/>
      <c r="O107" s="2"/>
      <c r="P107" s="2"/>
    </row>
    <row r="108" spans="1:16" ht="21" customHeight="1">
      <c r="A108" s="2"/>
      <c r="B108" s="2"/>
      <c r="C108" s="2"/>
      <c r="D108" s="2"/>
      <c r="E108" s="2"/>
      <c r="F108" s="2"/>
      <c r="G108" s="2"/>
      <c r="H108" s="2"/>
      <c r="I108" s="2"/>
      <c r="J108" s="2"/>
      <c r="K108" s="2"/>
      <c r="L108" s="2"/>
      <c r="M108" s="2"/>
      <c r="N108" s="2"/>
      <c r="O108" s="2"/>
      <c r="P108" s="2"/>
    </row>
    <row r="109" spans="1:16" ht="21" customHeight="1">
      <c r="A109" s="2"/>
      <c r="B109" s="2"/>
      <c r="C109" s="2"/>
      <c r="D109" s="2"/>
      <c r="E109" s="2"/>
      <c r="F109" s="2"/>
      <c r="G109" s="2"/>
      <c r="H109" s="2"/>
      <c r="I109" s="2"/>
      <c r="J109" s="2"/>
      <c r="K109" s="2"/>
      <c r="L109" s="2"/>
      <c r="M109" s="2"/>
      <c r="N109" s="2"/>
      <c r="O109" s="2"/>
      <c r="P109" s="2"/>
    </row>
    <row r="110" spans="1:16" ht="21" customHeight="1">
      <c r="A110" s="2"/>
      <c r="B110" s="2"/>
      <c r="C110" s="2"/>
      <c r="D110" s="2"/>
      <c r="E110" s="2"/>
      <c r="F110" s="2"/>
      <c r="G110" s="2"/>
      <c r="H110" s="2"/>
      <c r="I110" s="2"/>
      <c r="J110" s="2"/>
      <c r="K110" s="2"/>
      <c r="L110" s="2"/>
      <c r="M110" s="2"/>
      <c r="N110" s="2"/>
      <c r="O110" s="2"/>
      <c r="P110" s="2"/>
    </row>
    <row r="111" spans="1:16" ht="21" customHeight="1">
      <c r="A111" s="2"/>
      <c r="B111" s="2"/>
      <c r="C111" s="2"/>
      <c r="D111" s="2"/>
      <c r="E111" s="2"/>
      <c r="F111" s="2"/>
      <c r="G111" s="2"/>
      <c r="H111" s="2"/>
      <c r="I111" s="2"/>
      <c r="J111" s="2"/>
      <c r="K111" s="2"/>
      <c r="L111" s="2"/>
      <c r="M111" s="2"/>
      <c r="N111" s="2"/>
      <c r="O111" s="2"/>
      <c r="P111" s="2"/>
    </row>
    <row r="112" spans="1:16" ht="21" customHeight="1">
      <c r="A112" s="2"/>
      <c r="B112" s="2"/>
      <c r="C112" s="2"/>
      <c r="D112" s="2"/>
      <c r="E112" s="2"/>
      <c r="F112" s="2"/>
      <c r="G112" s="2"/>
      <c r="H112" s="2"/>
      <c r="I112" s="2"/>
      <c r="J112" s="2"/>
      <c r="K112" s="2"/>
      <c r="L112" s="2"/>
      <c r="M112" s="2"/>
      <c r="N112" s="2"/>
      <c r="O112" s="2"/>
      <c r="P112" s="2"/>
    </row>
    <row r="113" spans="1:16" ht="21" customHeight="1">
      <c r="A113" s="2"/>
      <c r="B113" s="2"/>
      <c r="C113" s="2"/>
      <c r="D113" s="2"/>
      <c r="E113" s="2"/>
      <c r="F113" s="2"/>
      <c r="G113" s="2"/>
      <c r="H113" s="2"/>
      <c r="I113" s="2"/>
      <c r="J113" s="2"/>
      <c r="K113" s="2"/>
      <c r="L113" s="2"/>
      <c r="M113" s="2"/>
      <c r="N113" s="2"/>
      <c r="O113" s="2"/>
      <c r="P113" s="2"/>
    </row>
    <row r="114" spans="1:16" ht="21" customHeight="1">
      <c r="A114" s="2"/>
      <c r="B114" s="2"/>
      <c r="C114" s="2"/>
      <c r="D114" s="2"/>
      <c r="E114" s="2"/>
      <c r="F114" s="2"/>
      <c r="G114" s="2"/>
      <c r="H114" s="2"/>
      <c r="I114" s="2"/>
      <c r="J114" s="2"/>
      <c r="K114" s="2"/>
      <c r="L114" s="2"/>
      <c r="M114" s="2"/>
      <c r="N114" s="2"/>
      <c r="O114" s="2"/>
      <c r="P114" s="2"/>
    </row>
    <row r="115" spans="1:16" ht="21" customHeight="1">
      <c r="A115" s="2"/>
      <c r="B115" s="2"/>
      <c r="C115" s="2"/>
      <c r="D115" s="2"/>
      <c r="E115" s="2"/>
      <c r="F115" s="2"/>
      <c r="G115" s="2"/>
      <c r="H115" s="2"/>
      <c r="I115" s="2"/>
      <c r="J115" s="2"/>
      <c r="K115" s="2"/>
      <c r="L115" s="2"/>
      <c r="M115" s="2"/>
      <c r="N115" s="2"/>
      <c r="O115" s="2"/>
      <c r="P115" s="2"/>
    </row>
    <row r="116" spans="1:16" ht="21" customHeight="1">
      <c r="A116" s="2"/>
      <c r="B116" s="2"/>
      <c r="C116" s="2"/>
      <c r="D116" s="2"/>
      <c r="E116" s="2"/>
      <c r="F116" s="2"/>
      <c r="G116" s="2"/>
      <c r="H116" s="2"/>
      <c r="I116" s="2"/>
      <c r="J116" s="2"/>
      <c r="K116" s="2"/>
      <c r="L116" s="2"/>
      <c r="M116" s="2"/>
      <c r="N116" s="2"/>
      <c r="O116" s="2"/>
      <c r="P116" s="2"/>
    </row>
    <row r="117" spans="1:16" ht="21" customHeight="1">
      <c r="A117" s="2"/>
      <c r="B117" s="2"/>
      <c r="C117" s="2"/>
      <c r="D117" s="2"/>
      <c r="E117" s="2"/>
      <c r="F117" s="2"/>
      <c r="G117" s="2"/>
      <c r="H117" s="2"/>
      <c r="I117" s="2"/>
      <c r="J117" s="2"/>
      <c r="K117" s="2"/>
      <c r="L117" s="2"/>
      <c r="M117" s="2"/>
      <c r="N117" s="2"/>
      <c r="O117" s="2"/>
      <c r="P117" s="2"/>
    </row>
    <row r="118" spans="1:16" ht="21" customHeight="1">
      <c r="A118" s="2"/>
      <c r="B118" s="2"/>
      <c r="C118" s="2"/>
      <c r="D118" s="2"/>
      <c r="E118" s="2"/>
      <c r="F118" s="2"/>
      <c r="G118" s="2"/>
      <c r="H118" s="2"/>
      <c r="I118" s="2"/>
      <c r="J118" s="2"/>
      <c r="K118" s="2"/>
      <c r="L118" s="2"/>
      <c r="M118" s="2"/>
      <c r="N118" s="2"/>
      <c r="O118" s="2"/>
      <c r="P118" s="2"/>
    </row>
    <row r="119" spans="1:16" ht="21" customHeight="1">
      <c r="A119" s="2"/>
      <c r="B119" s="2"/>
      <c r="C119" s="2"/>
      <c r="D119" s="2"/>
      <c r="E119" s="2"/>
      <c r="F119" s="2"/>
      <c r="G119" s="2"/>
      <c r="H119" s="2"/>
      <c r="I119" s="2"/>
      <c r="J119" s="2"/>
      <c r="K119" s="2"/>
      <c r="L119" s="2"/>
      <c r="M119" s="2"/>
      <c r="N119" s="2"/>
      <c r="O119" s="2"/>
      <c r="P119" s="2"/>
    </row>
    <row r="120" spans="1:16" ht="21" customHeight="1">
      <c r="A120" s="2"/>
      <c r="B120" s="2"/>
      <c r="C120" s="2"/>
      <c r="D120" s="2"/>
      <c r="E120" s="2"/>
      <c r="F120" s="2"/>
      <c r="G120" s="2"/>
      <c r="H120" s="2"/>
      <c r="I120" s="2"/>
      <c r="J120" s="2"/>
      <c r="K120" s="2"/>
      <c r="L120" s="2"/>
      <c r="M120" s="2"/>
      <c r="N120" s="2"/>
      <c r="O120" s="2"/>
      <c r="P120" s="2"/>
    </row>
    <row r="121" spans="1:16" ht="21" customHeight="1"/>
    <row r="122" spans="1:16" ht="21" customHeight="1"/>
    <row r="123" spans="1:16" ht="21" customHeight="1"/>
    <row r="124" spans="1:16" ht="21" customHeight="1"/>
    <row r="125" spans="1:16" ht="21" customHeight="1"/>
    <row r="126" spans="1:16" ht="21" customHeight="1"/>
    <row r="127" spans="1:16" ht="21" customHeight="1"/>
    <row r="128" spans="1:16" ht="21" customHeight="1"/>
    <row r="129" ht="21" customHeight="1"/>
    <row r="130" ht="21" customHeight="1"/>
    <row r="131" ht="21" customHeight="1"/>
    <row r="132" ht="21" customHeight="1"/>
    <row r="133" ht="21" customHeight="1"/>
    <row r="134" ht="21" customHeight="1"/>
    <row r="135" ht="21" customHeight="1"/>
    <row r="136" ht="21" customHeight="1"/>
    <row r="137" ht="21" customHeight="1"/>
    <row r="138" ht="21" customHeight="1"/>
    <row r="139" ht="21" customHeight="1"/>
    <row r="140" ht="21" customHeight="1"/>
    <row r="141" ht="21" customHeight="1"/>
    <row r="142" ht="21" customHeight="1"/>
    <row r="143" ht="21" customHeight="1"/>
    <row r="144" ht="21" customHeight="1"/>
    <row r="145" ht="21" customHeight="1"/>
    <row r="146" ht="21" customHeight="1"/>
    <row r="147" ht="21" customHeight="1"/>
    <row r="148" ht="21" customHeight="1"/>
    <row r="149" ht="21" customHeight="1"/>
    <row r="150" ht="21" customHeight="1"/>
    <row r="151" ht="21" customHeight="1"/>
    <row r="152" ht="21" customHeight="1"/>
    <row r="153" ht="21" customHeight="1"/>
    <row r="154" ht="21" customHeight="1"/>
    <row r="155" ht="21" customHeight="1"/>
    <row r="156" ht="21" customHeight="1"/>
    <row r="157" ht="21" customHeight="1"/>
    <row r="158" ht="21" customHeight="1"/>
    <row r="159" ht="21" customHeight="1"/>
    <row r="160" ht="21" customHeight="1"/>
    <row r="161" ht="21" customHeight="1"/>
    <row r="162" ht="21" customHeight="1"/>
    <row r="163" ht="21" customHeight="1"/>
    <row r="164" ht="21" customHeight="1"/>
    <row r="165" ht="21" customHeight="1"/>
    <row r="166" ht="21" customHeight="1"/>
    <row r="167" ht="21" customHeight="1"/>
    <row r="168" ht="21" customHeight="1"/>
    <row r="169" ht="21" customHeight="1"/>
    <row r="170" ht="21" customHeight="1"/>
    <row r="171" ht="21" customHeight="1"/>
    <row r="172" ht="21" customHeight="1"/>
    <row r="173" ht="21" customHeight="1"/>
    <row r="174" ht="21" customHeight="1"/>
    <row r="175" ht="21" customHeight="1"/>
    <row r="176" ht="21" customHeight="1"/>
    <row r="177" ht="21" customHeight="1"/>
    <row r="178" ht="21" customHeight="1"/>
    <row r="179" ht="21" customHeight="1"/>
    <row r="180" ht="21" customHeight="1"/>
    <row r="181" ht="21" customHeight="1"/>
    <row r="182" ht="21" customHeight="1"/>
    <row r="183" ht="21" customHeight="1"/>
    <row r="184" ht="21" customHeight="1"/>
    <row r="185" ht="21" customHeight="1"/>
    <row r="186" ht="21" customHeight="1"/>
    <row r="187" ht="21" customHeight="1"/>
    <row r="188" ht="21" customHeight="1"/>
    <row r="189" ht="21" customHeight="1"/>
    <row r="190" ht="21" customHeight="1"/>
    <row r="191" ht="21" customHeight="1"/>
    <row r="192" ht="21" customHeight="1"/>
    <row r="193" ht="21" customHeight="1"/>
    <row r="194" ht="21" customHeight="1"/>
    <row r="195" ht="21" customHeight="1"/>
    <row r="196" ht="21" customHeight="1"/>
    <row r="197" ht="21" customHeight="1"/>
    <row r="198" ht="21" customHeight="1"/>
    <row r="199" ht="21" customHeight="1"/>
    <row r="200" ht="21" customHeight="1"/>
    <row r="201" ht="21" customHeight="1"/>
    <row r="202" ht="21" customHeight="1"/>
    <row r="203" ht="21" customHeight="1"/>
    <row r="204" ht="21" customHeight="1"/>
    <row r="205" ht="21" customHeight="1"/>
    <row r="206" ht="21" customHeight="1"/>
    <row r="207" ht="21" customHeight="1"/>
    <row r="208" ht="21" customHeight="1"/>
    <row r="209" ht="21" customHeight="1"/>
    <row r="210" ht="21" customHeight="1"/>
    <row r="211" ht="21" customHeight="1"/>
    <row r="212" ht="21" customHeight="1"/>
    <row r="213" ht="21" customHeight="1"/>
    <row r="214" ht="21" customHeight="1"/>
    <row r="215" ht="21" customHeight="1"/>
    <row r="216" ht="21" customHeight="1"/>
    <row r="217" ht="21" customHeight="1"/>
    <row r="218" ht="21" customHeight="1"/>
    <row r="219" ht="21" customHeight="1"/>
    <row r="220" ht="21" customHeight="1"/>
    <row r="221" ht="21" customHeight="1"/>
    <row r="222" ht="21" customHeight="1"/>
    <row r="223" ht="21" customHeight="1"/>
    <row r="224" ht="21" customHeight="1"/>
    <row r="225" ht="21" customHeight="1"/>
    <row r="226" ht="21" customHeight="1"/>
    <row r="227" ht="21" customHeight="1"/>
    <row r="228" ht="21" customHeight="1"/>
    <row r="229" ht="21" customHeight="1"/>
    <row r="230" ht="21" customHeight="1"/>
    <row r="231" ht="21" customHeight="1"/>
    <row r="232" ht="21" customHeight="1"/>
    <row r="233" ht="21" customHeight="1"/>
    <row r="234" ht="21" customHeight="1"/>
    <row r="235" ht="21" customHeight="1"/>
    <row r="236" ht="21" customHeight="1"/>
    <row r="237" ht="21" customHeight="1"/>
    <row r="238" ht="21" customHeight="1"/>
    <row r="239" ht="21" customHeight="1"/>
    <row r="240" ht="21" customHeight="1"/>
    <row r="241" ht="21" customHeight="1"/>
    <row r="242" ht="21" customHeight="1"/>
    <row r="243" ht="21" customHeight="1"/>
    <row r="244" ht="21" customHeight="1"/>
    <row r="245" ht="21" customHeight="1"/>
    <row r="246" ht="21" customHeight="1"/>
    <row r="247" ht="21" customHeight="1"/>
    <row r="248" ht="21" customHeight="1"/>
    <row r="249" ht="21" customHeight="1"/>
    <row r="250" ht="21" customHeight="1"/>
    <row r="251" ht="21" customHeight="1"/>
    <row r="252" ht="21" customHeight="1"/>
    <row r="253" ht="21" customHeight="1"/>
    <row r="254" ht="21" customHeight="1"/>
    <row r="255" ht="21" customHeight="1"/>
    <row r="256" ht="21" customHeight="1"/>
    <row r="257" ht="21" customHeight="1"/>
    <row r="258" ht="21" customHeight="1"/>
    <row r="259" ht="21" customHeight="1"/>
    <row r="260" ht="21" customHeight="1"/>
    <row r="261" ht="21" customHeight="1"/>
    <row r="262" ht="21" customHeight="1"/>
    <row r="263" ht="21" customHeight="1"/>
    <row r="264" ht="21" customHeight="1"/>
    <row r="265" ht="21" customHeight="1"/>
    <row r="266" ht="21" customHeight="1"/>
    <row r="267" ht="21" customHeight="1"/>
    <row r="268" ht="21" customHeight="1"/>
    <row r="269" ht="21" customHeight="1"/>
    <row r="270" ht="21" customHeight="1"/>
    <row r="271" ht="21" customHeight="1"/>
    <row r="272" ht="21" customHeight="1"/>
    <row r="273" ht="21" customHeight="1"/>
    <row r="274" ht="21" customHeight="1"/>
    <row r="275" ht="21" customHeight="1"/>
    <row r="276" ht="21" customHeight="1"/>
    <row r="277" ht="21" customHeight="1"/>
    <row r="278" ht="21" customHeight="1"/>
    <row r="279" ht="21" customHeight="1"/>
    <row r="280" ht="21" customHeight="1"/>
    <row r="281" ht="21" customHeight="1"/>
    <row r="282" ht="21" customHeight="1"/>
    <row r="283" ht="21" customHeight="1"/>
    <row r="284" ht="21" customHeight="1"/>
    <row r="285" ht="21" customHeight="1"/>
    <row r="286" ht="21" customHeight="1"/>
    <row r="287" ht="21" customHeight="1"/>
    <row r="288" ht="21" customHeight="1"/>
    <row r="289" ht="21" customHeight="1"/>
    <row r="290" ht="21" customHeight="1"/>
    <row r="291" ht="21" customHeight="1"/>
    <row r="292" ht="21" customHeight="1"/>
    <row r="293" ht="21" customHeight="1"/>
    <row r="294" ht="21" customHeight="1"/>
    <row r="295" ht="21" customHeight="1"/>
    <row r="296" ht="21" customHeight="1"/>
    <row r="297" ht="21" customHeight="1"/>
    <row r="298" ht="21" customHeight="1"/>
    <row r="299" ht="21" customHeight="1"/>
    <row r="300" ht="21" customHeight="1"/>
    <row r="301" ht="21" customHeight="1"/>
    <row r="302" ht="21" customHeight="1"/>
    <row r="303" ht="21" customHeight="1"/>
    <row r="304" ht="21" customHeight="1"/>
    <row r="305" ht="21" customHeight="1"/>
    <row r="306" ht="21" customHeight="1"/>
    <row r="307" ht="21" customHeight="1"/>
    <row r="308" ht="21" customHeight="1"/>
    <row r="309" ht="21" customHeight="1"/>
    <row r="310" ht="21" customHeight="1"/>
    <row r="311" ht="21" customHeight="1"/>
    <row r="312" ht="21" customHeight="1"/>
    <row r="313" ht="21" customHeight="1"/>
    <row r="314" ht="21" customHeight="1"/>
    <row r="315" ht="21" customHeight="1"/>
    <row r="316" ht="21" customHeight="1"/>
    <row r="317" ht="21" customHeight="1"/>
    <row r="318" ht="21" customHeight="1"/>
    <row r="319" ht="21" customHeight="1"/>
    <row r="320" ht="21" customHeight="1"/>
    <row r="321" ht="21" customHeight="1"/>
    <row r="322" ht="21" customHeight="1"/>
    <row r="323" ht="21" customHeight="1"/>
    <row r="324" ht="21" customHeight="1"/>
    <row r="325" ht="21" customHeight="1"/>
    <row r="326" ht="21" customHeight="1"/>
    <row r="327" ht="21" customHeight="1"/>
    <row r="328" ht="21" customHeight="1"/>
    <row r="329" ht="21" customHeight="1"/>
    <row r="330" ht="21" customHeight="1"/>
    <row r="331" ht="21" customHeight="1"/>
    <row r="332" ht="21" customHeight="1"/>
    <row r="333" ht="21" customHeight="1"/>
    <row r="334" ht="21" customHeight="1"/>
    <row r="335" ht="21" customHeight="1"/>
    <row r="336" ht="21" customHeight="1"/>
    <row r="337" ht="21" customHeight="1"/>
    <row r="338" ht="21" customHeight="1"/>
    <row r="339" ht="21" customHeight="1"/>
    <row r="340" ht="21" customHeight="1"/>
    <row r="341" ht="21" customHeight="1"/>
    <row r="342" ht="21" customHeight="1"/>
    <row r="343" ht="21" customHeight="1"/>
    <row r="344" ht="21" customHeight="1"/>
    <row r="345" ht="21" customHeight="1"/>
    <row r="346" ht="21" customHeight="1"/>
    <row r="347" ht="21" customHeight="1"/>
    <row r="348" ht="21" customHeight="1"/>
    <row r="349" ht="21" customHeight="1"/>
    <row r="350" ht="21" customHeight="1"/>
    <row r="351" ht="21" customHeight="1"/>
    <row r="352" ht="21" customHeight="1"/>
    <row r="353" ht="21" customHeight="1"/>
    <row r="354" ht="21" customHeight="1"/>
    <row r="355" ht="21" customHeight="1"/>
    <row r="356" ht="21" customHeight="1"/>
    <row r="357" ht="21" customHeight="1"/>
    <row r="358" ht="21" customHeight="1"/>
    <row r="359" ht="21" customHeight="1"/>
    <row r="360" ht="21" customHeight="1"/>
    <row r="361" ht="21" customHeight="1"/>
    <row r="362" ht="21" customHeight="1"/>
    <row r="363" ht="21" customHeight="1"/>
    <row r="364" ht="21" customHeight="1"/>
    <row r="365" ht="21" customHeight="1"/>
    <row r="366" ht="21" customHeight="1"/>
    <row r="367" ht="21" customHeight="1"/>
    <row r="368" ht="21" customHeight="1"/>
    <row r="369" ht="21" customHeight="1"/>
    <row r="370" ht="21" customHeight="1"/>
    <row r="371" ht="21" customHeight="1"/>
    <row r="372" ht="21" customHeight="1"/>
    <row r="373" ht="21" customHeight="1"/>
    <row r="374" ht="21" customHeight="1"/>
    <row r="375" ht="21" customHeight="1"/>
    <row r="376" ht="21" customHeight="1"/>
    <row r="377" ht="21" customHeight="1"/>
    <row r="378" ht="21" customHeight="1"/>
    <row r="379" ht="21" customHeight="1"/>
    <row r="380" ht="21" customHeight="1"/>
    <row r="381" ht="21" customHeight="1"/>
    <row r="382" ht="21" customHeight="1"/>
    <row r="383" ht="21" customHeight="1"/>
    <row r="384" ht="21" customHeight="1"/>
    <row r="385" ht="21" customHeight="1"/>
    <row r="386" ht="21" customHeight="1"/>
    <row r="387" ht="21" customHeight="1"/>
    <row r="388" ht="21" customHeight="1"/>
    <row r="389" ht="21" customHeight="1"/>
    <row r="390" ht="21" customHeight="1"/>
    <row r="391" ht="21" customHeight="1"/>
    <row r="392" ht="21" customHeight="1"/>
    <row r="393" ht="21" customHeight="1"/>
    <row r="394" ht="21" customHeight="1"/>
    <row r="395" ht="21" customHeight="1"/>
    <row r="396" ht="21" customHeight="1"/>
    <row r="397" ht="21" customHeight="1"/>
    <row r="398" ht="21" customHeight="1"/>
    <row r="399" ht="21" customHeight="1"/>
    <row r="400" ht="21" customHeight="1"/>
    <row r="401" ht="21" customHeight="1"/>
    <row r="402" ht="21" customHeight="1"/>
    <row r="403" ht="21" customHeight="1"/>
    <row r="404" ht="21" customHeight="1"/>
    <row r="405" ht="21" customHeight="1"/>
    <row r="406" ht="21" customHeight="1"/>
    <row r="407" ht="21" customHeight="1"/>
    <row r="408" ht="21" customHeight="1"/>
    <row r="409" ht="21" customHeight="1"/>
    <row r="410" ht="21" customHeight="1"/>
    <row r="411" ht="21" customHeight="1"/>
    <row r="412" ht="21" customHeight="1"/>
    <row r="413" ht="21" customHeight="1"/>
    <row r="414" ht="21" customHeight="1"/>
    <row r="415" ht="21" customHeight="1"/>
    <row r="416" ht="21" customHeight="1"/>
    <row r="417" ht="21" customHeight="1"/>
    <row r="418" ht="21" customHeight="1"/>
    <row r="419" ht="21" customHeight="1"/>
    <row r="420" ht="21" customHeight="1"/>
    <row r="421" ht="21" customHeight="1"/>
    <row r="422" ht="21" customHeight="1"/>
    <row r="423" ht="21" customHeight="1"/>
    <row r="424" ht="21" customHeight="1"/>
    <row r="425" ht="21" customHeight="1"/>
    <row r="426" ht="21" customHeight="1"/>
    <row r="427" ht="21" customHeight="1"/>
    <row r="428" ht="21" customHeight="1"/>
    <row r="429" ht="21" customHeight="1"/>
    <row r="430" ht="21" customHeight="1"/>
    <row r="431" ht="21" customHeight="1"/>
    <row r="432" ht="21" customHeight="1"/>
    <row r="433" ht="21" customHeight="1"/>
    <row r="434" ht="21" customHeight="1"/>
    <row r="435" ht="21" customHeight="1"/>
    <row r="436" ht="21" customHeight="1"/>
    <row r="437" ht="21" customHeight="1"/>
    <row r="438" ht="21" customHeight="1"/>
    <row r="439" ht="21" customHeight="1"/>
    <row r="440" ht="21" customHeight="1"/>
    <row r="441" ht="21" customHeight="1"/>
    <row r="442" ht="21" customHeight="1"/>
    <row r="443" ht="21" customHeight="1"/>
    <row r="444" ht="21" customHeight="1"/>
    <row r="445" ht="21" customHeight="1"/>
    <row r="446" ht="21" customHeight="1"/>
    <row r="447" ht="21" customHeight="1"/>
    <row r="448" ht="21" customHeight="1"/>
    <row r="449" ht="21" customHeight="1"/>
    <row r="450" ht="21" customHeight="1"/>
    <row r="451" ht="21" customHeight="1"/>
    <row r="452" ht="21" customHeight="1"/>
    <row r="453" ht="21" customHeight="1"/>
    <row r="454" ht="21" customHeight="1"/>
    <row r="455" ht="21" customHeight="1"/>
    <row r="456" ht="21" customHeight="1"/>
    <row r="457" ht="21" customHeight="1"/>
    <row r="458" ht="21" customHeight="1"/>
    <row r="459" ht="21" customHeight="1"/>
    <row r="460" ht="21" customHeight="1"/>
    <row r="461" ht="21" customHeight="1"/>
    <row r="462" ht="21" customHeight="1"/>
    <row r="463" ht="21" customHeight="1"/>
    <row r="464" ht="21" customHeight="1"/>
    <row r="465" ht="21" customHeight="1"/>
    <row r="466" ht="21" customHeight="1"/>
    <row r="467" ht="21" customHeight="1"/>
    <row r="468" ht="21" customHeight="1"/>
    <row r="469" ht="21" customHeight="1"/>
    <row r="470" ht="21" customHeight="1"/>
    <row r="471" ht="21" customHeight="1"/>
    <row r="472" ht="21" customHeight="1"/>
    <row r="473" ht="21" customHeight="1"/>
    <row r="474" ht="21" customHeight="1"/>
    <row r="475" ht="21" customHeight="1"/>
    <row r="476" ht="21" customHeight="1"/>
    <row r="477" ht="21" customHeight="1"/>
    <row r="478" ht="21" customHeight="1"/>
    <row r="479" ht="21" customHeight="1"/>
    <row r="480" ht="21" customHeight="1"/>
    <row r="481" ht="21" customHeight="1"/>
    <row r="482" ht="21" customHeight="1"/>
    <row r="483" ht="21" customHeight="1"/>
    <row r="484" ht="21" customHeight="1"/>
    <row r="485" ht="21" customHeight="1"/>
    <row r="486" ht="21" customHeight="1"/>
    <row r="487" ht="21" customHeight="1"/>
    <row r="488" ht="21" customHeight="1"/>
    <row r="489" ht="21" customHeight="1"/>
    <row r="490" ht="21" customHeight="1"/>
    <row r="491" ht="21" customHeight="1"/>
    <row r="492" ht="21" customHeight="1"/>
    <row r="493" ht="21" customHeight="1"/>
    <row r="494" ht="21" customHeight="1"/>
    <row r="495" ht="21" customHeight="1"/>
    <row r="496" ht="21" customHeight="1"/>
    <row r="497" ht="21" customHeight="1"/>
    <row r="498" ht="21" customHeight="1"/>
    <row r="499" ht="21" customHeight="1"/>
    <row r="500" ht="21" customHeight="1"/>
    <row r="501" ht="21" customHeight="1"/>
    <row r="502" ht="21" customHeight="1"/>
    <row r="503" ht="21" customHeight="1"/>
    <row r="504" ht="21" customHeight="1"/>
    <row r="505" ht="21" customHeight="1"/>
    <row r="506" ht="21" customHeight="1"/>
    <row r="507" ht="21" customHeight="1"/>
    <row r="508" ht="21" customHeight="1"/>
    <row r="509" ht="21" customHeight="1"/>
    <row r="510" ht="21" customHeight="1"/>
    <row r="511" ht="21" customHeight="1"/>
    <row r="512" ht="21" customHeight="1"/>
    <row r="513" ht="21" customHeight="1"/>
    <row r="514" ht="21" customHeight="1"/>
    <row r="515" ht="21" customHeight="1"/>
    <row r="516" ht="21" customHeight="1"/>
    <row r="517" ht="21" customHeight="1"/>
    <row r="518" ht="21" customHeight="1"/>
    <row r="519" ht="21" customHeight="1"/>
    <row r="520" ht="21" customHeight="1"/>
    <row r="521" ht="21" customHeight="1"/>
    <row r="522" ht="21" customHeight="1"/>
    <row r="523" ht="21" customHeight="1"/>
    <row r="524" ht="21" customHeight="1"/>
    <row r="525" ht="21" customHeight="1"/>
    <row r="526" ht="21" customHeight="1"/>
    <row r="527" ht="21" customHeight="1"/>
    <row r="528" ht="21" customHeight="1"/>
    <row r="529" ht="21" customHeight="1"/>
    <row r="530" ht="21" customHeight="1"/>
    <row r="531" ht="21" customHeight="1"/>
    <row r="532" ht="21" customHeight="1"/>
    <row r="533" ht="21" customHeight="1"/>
    <row r="534" ht="21" customHeight="1"/>
    <row r="535" ht="21" customHeight="1"/>
    <row r="536" ht="21" customHeight="1"/>
    <row r="537" ht="21" customHeight="1"/>
    <row r="538" ht="21" customHeight="1"/>
    <row r="539" ht="21" customHeight="1"/>
    <row r="540" ht="21" customHeight="1"/>
    <row r="541" ht="21" customHeight="1"/>
    <row r="542" ht="21" customHeight="1"/>
    <row r="543" ht="21" customHeight="1"/>
    <row r="544" ht="21" customHeight="1"/>
    <row r="545" ht="21" customHeight="1"/>
    <row r="546" ht="21" customHeight="1"/>
    <row r="547" ht="21" customHeight="1"/>
    <row r="548" ht="21" customHeight="1"/>
    <row r="549" ht="21" customHeight="1"/>
    <row r="550" ht="21" customHeight="1"/>
    <row r="551" ht="21" customHeight="1"/>
    <row r="552" ht="21" customHeight="1"/>
    <row r="553" ht="21" customHeight="1"/>
    <row r="554" ht="21" customHeight="1"/>
    <row r="555" ht="21" customHeight="1"/>
    <row r="556" ht="21" customHeight="1"/>
    <row r="557" ht="21" customHeight="1"/>
    <row r="558" ht="21" customHeight="1"/>
    <row r="559" ht="21" customHeight="1"/>
    <row r="560" ht="21" customHeight="1"/>
    <row r="561" ht="21" customHeight="1"/>
    <row r="562" ht="21" customHeight="1"/>
    <row r="563" ht="21" customHeight="1"/>
    <row r="564" ht="21" customHeight="1"/>
    <row r="565" ht="21" customHeight="1"/>
    <row r="566" ht="21" customHeight="1"/>
    <row r="567" ht="21" customHeight="1"/>
    <row r="568" ht="21" customHeight="1"/>
    <row r="569" ht="21" customHeight="1"/>
    <row r="570" ht="21" customHeight="1"/>
    <row r="571" ht="21" customHeight="1"/>
    <row r="572" ht="21" customHeight="1"/>
    <row r="573" ht="21" customHeight="1"/>
    <row r="574" ht="21" customHeight="1"/>
    <row r="575" ht="21" customHeight="1"/>
    <row r="576" ht="21" customHeight="1"/>
    <row r="577" ht="21" customHeight="1"/>
    <row r="578" ht="21" customHeight="1"/>
    <row r="579" ht="21" customHeight="1"/>
    <row r="580" ht="21" customHeight="1"/>
    <row r="581" ht="21" customHeight="1"/>
    <row r="582" ht="21" customHeight="1"/>
    <row r="583" ht="21" customHeight="1"/>
    <row r="584" ht="21" customHeight="1"/>
    <row r="585" ht="21" customHeight="1"/>
    <row r="586" ht="21" customHeight="1"/>
    <row r="587" ht="21" customHeight="1"/>
    <row r="588" ht="21" customHeight="1"/>
    <row r="589" ht="21" customHeight="1"/>
    <row r="590" ht="21" customHeight="1"/>
    <row r="591" ht="21" customHeight="1"/>
    <row r="592" ht="21" customHeight="1"/>
    <row r="593" ht="21" customHeight="1"/>
    <row r="594" ht="21" customHeight="1"/>
    <row r="595" ht="21" customHeight="1"/>
    <row r="596" ht="21" customHeight="1"/>
    <row r="597" ht="21" customHeight="1"/>
    <row r="598" ht="21" customHeight="1"/>
    <row r="599" ht="21" customHeight="1"/>
    <row r="600" ht="21" customHeight="1"/>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P600"/>
  <sheetViews>
    <sheetView showGridLines="0" workbookViewId="0">
      <pane ySplit="1" topLeftCell="A2" activePane="bottomLeft" state="frozen"/>
      <selection pane="bottomLeft"/>
    </sheetView>
  </sheetViews>
  <sheetFormatPr defaultRowHeight="14.25"/>
  <cols>
    <col min="1" max="3" width="20" customWidth="1"/>
    <col min="4" max="4" width="65" customWidth="1"/>
    <col min="5" max="7" width="20" customWidth="1"/>
  </cols>
  <sheetData>
    <row r="1" spans="1:16" ht="21" customHeight="1">
      <c r="A1" s="6" t="s">
        <v>508</v>
      </c>
      <c r="B1" s="6" t="s">
        <v>509</v>
      </c>
      <c r="C1" s="6" t="s">
        <v>496</v>
      </c>
      <c r="D1" s="6" t="s">
        <v>40</v>
      </c>
      <c r="E1" s="2"/>
      <c r="F1" s="2" t="s">
        <v>510</v>
      </c>
      <c r="G1" s="2"/>
      <c r="H1" s="2"/>
      <c r="I1" s="2"/>
      <c r="J1" s="2"/>
      <c r="K1" s="2"/>
      <c r="L1" s="2"/>
      <c r="M1" s="2"/>
      <c r="N1" s="2"/>
      <c r="O1" s="2"/>
      <c r="P1" s="2"/>
    </row>
    <row r="2" spans="1:16" ht="21" customHeight="1">
      <c r="A2" s="16">
        <v>45943</v>
      </c>
      <c r="B2" s="11">
        <v>277.22000000000003</v>
      </c>
      <c r="C2" t="s">
        <v>511</v>
      </c>
      <c r="D2" t="s">
        <v>65</v>
      </c>
      <c r="E2" s="2"/>
      <c r="F2" s="2">
        <f>IF(Data!$H$2,IF(ISNUMBER(B2),B2,NA()),NA())</f>
        <v>277.22000000000003</v>
      </c>
      <c r="G2" s="2"/>
      <c r="H2" s="2"/>
      <c r="I2" s="2"/>
      <c r="J2" s="2"/>
      <c r="K2" s="2"/>
      <c r="L2" s="2"/>
      <c r="M2" s="2"/>
      <c r="N2" s="2"/>
      <c r="O2" s="2"/>
      <c r="P2" s="2"/>
    </row>
    <row r="3" spans="1:16" ht="21" customHeight="1">
      <c r="A3" s="14">
        <v>45944</v>
      </c>
      <c r="B3" s="10">
        <v>276.14999999999998</v>
      </c>
      <c r="C3" s="2" t="s">
        <v>511</v>
      </c>
      <c r="D3" s="2" t="s">
        <v>65</v>
      </c>
      <c r="E3" s="2"/>
      <c r="F3" s="2">
        <f>IF(Data!$H$2,IF(ISNUMBER(B3),B3,NA()),NA())</f>
        <v>276.14999999999998</v>
      </c>
      <c r="G3" s="2"/>
      <c r="H3" s="2"/>
      <c r="I3" s="2"/>
      <c r="J3" s="2"/>
      <c r="K3" s="2"/>
      <c r="L3" s="2"/>
      <c r="M3" s="2"/>
      <c r="N3" s="2"/>
      <c r="O3" s="2"/>
      <c r="P3" s="2"/>
    </row>
    <row r="4" spans="1:16" ht="21" customHeight="1">
      <c r="A4" s="14">
        <v>45945</v>
      </c>
      <c r="B4" s="10">
        <v>280.75</v>
      </c>
      <c r="C4" s="2" t="s">
        <v>511</v>
      </c>
      <c r="D4" s="2" t="s">
        <v>65</v>
      </c>
      <c r="E4" s="2"/>
      <c r="F4" s="2">
        <f>IF(Data!$H$2,IF(ISNUMBER(B4),B4,NA()),NA())</f>
        <v>280.75</v>
      </c>
      <c r="G4" s="2"/>
      <c r="H4" s="2"/>
      <c r="I4" s="2"/>
      <c r="J4" s="2"/>
      <c r="K4" s="2"/>
      <c r="L4" s="2"/>
      <c r="M4" s="2"/>
      <c r="N4" s="2"/>
      <c r="O4" s="2"/>
      <c r="P4" s="2"/>
    </row>
    <row r="5" spans="1:16" ht="21" customHeight="1">
      <c r="A5" s="14">
        <v>45946</v>
      </c>
      <c r="B5" s="10">
        <v>275.97000000000003</v>
      </c>
      <c r="C5" s="2" t="s">
        <v>511</v>
      </c>
      <c r="D5" s="2" t="s">
        <v>65</v>
      </c>
      <c r="E5" s="2"/>
      <c r="F5" s="2">
        <f>IF(Data!$H$2,IF(ISNUMBER(B5),B5,NA()),NA())</f>
        <v>275.97000000000003</v>
      </c>
      <c r="G5" s="2"/>
      <c r="H5" s="2"/>
      <c r="I5" s="2"/>
      <c r="J5" s="2"/>
      <c r="K5" s="2"/>
      <c r="L5" s="2"/>
      <c r="M5" s="2"/>
      <c r="N5" s="2"/>
      <c r="O5" s="2"/>
      <c r="P5" s="2"/>
    </row>
    <row r="6" spans="1:16" ht="21" customHeight="1">
      <c r="A6" s="14">
        <v>45947</v>
      </c>
      <c r="B6" s="10">
        <v>281.27999999999997</v>
      </c>
      <c r="C6" s="2" t="s">
        <v>511</v>
      </c>
      <c r="D6" s="2" t="s">
        <v>65</v>
      </c>
      <c r="E6" s="2"/>
      <c r="F6" s="2">
        <f>IF(Data!$H$2,IF(ISNUMBER(B6),B6,NA()),NA())</f>
        <v>281.27999999999997</v>
      </c>
      <c r="G6" s="2"/>
      <c r="H6" s="2"/>
      <c r="I6" s="2"/>
      <c r="J6" s="2"/>
      <c r="K6" s="2"/>
      <c r="L6" s="2"/>
      <c r="M6" s="2"/>
      <c r="N6" s="2"/>
      <c r="O6" s="2"/>
      <c r="P6" s="2"/>
    </row>
    <row r="7" spans="1:16" ht="21" customHeight="1">
      <c r="A7" s="14">
        <v>45950</v>
      </c>
      <c r="B7" s="10">
        <v>283.64999999999998</v>
      </c>
      <c r="C7" s="2" t="s">
        <v>511</v>
      </c>
      <c r="D7" s="2" t="s">
        <v>65</v>
      </c>
      <c r="E7" s="2"/>
      <c r="F7" s="2">
        <f>IF(Data!$H$2,IF(ISNUMBER(B7),B7,NA()),NA())</f>
        <v>283.64999999999998</v>
      </c>
      <c r="G7" s="2"/>
      <c r="H7" s="2"/>
      <c r="I7" s="2"/>
      <c r="J7" s="2"/>
      <c r="K7" s="2"/>
      <c r="L7" s="2"/>
      <c r="M7" s="2"/>
      <c r="N7" s="2"/>
      <c r="O7" s="2"/>
      <c r="P7" s="2"/>
    </row>
    <row r="8" spans="1:16" ht="21" customHeight="1">
      <c r="A8" s="14">
        <v>45951</v>
      </c>
      <c r="B8" s="10">
        <v>282.05</v>
      </c>
      <c r="C8" s="2" t="s">
        <v>511</v>
      </c>
      <c r="D8" s="2" t="s">
        <v>65</v>
      </c>
      <c r="E8" s="2"/>
      <c r="F8" s="2">
        <f>IF(Data!$H$2,IF(ISNUMBER(B8),B8,NA()),NA())</f>
        <v>282.05</v>
      </c>
      <c r="G8" s="2"/>
      <c r="H8" s="2"/>
      <c r="I8" s="2"/>
      <c r="J8" s="2"/>
      <c r="K8" s="2"/>
      <c r="L8" s="2"/>
      <c r="M8" s="2"/>
      <c r="N8" s="2"/>
      <c r="O8" s="2"/>
      <c r="P8" s="2"/>
    </row>
    <row r="9" spans="1:16" ht="21" customHeight="1">
      <c r="A9" s="14">
        <v>45952</v>
      </c>
      <c r="B9" s="10">
        <v>287.51</v>
      </c>
      <c r="C9" s="2" t="s">
        <v>511</v>
      </c>
      <c r="D9" s="2" t="s">
        <v>65</v>
      </c>
      <c r="E9" s="2"/>
      <c r="F9" s="2">
        <f>IF(Data!$H$2,IF(ISNUMBER(B9),B9,NA()),NA())</f>
        <v>287.51</v>
      </c>
      <c r="G9" s="2"/>
      <c r="H9" s="2"/>
      <c r="I9" s="2"/>
      <c r="J9" s="2"/>
      <c r="K9" s="2"/>
      <c r="L9" s="2"/>
      <c r="M9" s="2"/>
      <c r="N9" s="2"/>
      <c r="O9" s="2"/>
      <c r="P9" s="2"/>
    </row>
    <row r="10" spans="1:16" ht="21" customHeight="1">
      <c r="A10" s="14">
        <v>45953</v>
      </c>
      <c r="B10" s="10">
        <v>285</v>
      </c>
      <c r="C10" s="2" t="s">
        <v>511</v>
      </c>
      <c r="D10" s="2" t="s">
        <v>65</v>
      </c>
      <c r="E10" s="2"/>
      <c r="F10" s="2">
        <f>IF(Data!$H$2,IF(ISNUMBER(B10),B10,NA()),NA())</f>
        <v>285</v>
      </c>
      <c r="G10" s="2"/>
      <c r="H10" s="2"/>
      <c r="I10" s="2"/>
      <c r="J10" s="2"/>
      <c r="K10" s="2"/>
      <c r="L10" s="2"/>
      <c r="M10" s="2"/>
      <c r="N10" s="2"/>
      <c r="O10" s="2"/>
      <c r="P10" s="2"/>
    </row>
    <row r="11" spans="1:16" ht="21" customHeight="1">
      <c r="A11" s="14">
        <v>45954</v>
      </c>
      <c r="B11" s="10">
        <v>307.45999999999998</v>
      </c>
      <c r="C11" s="2" t="s">
        <v>511</v>
      </c>
      <c r="D11" s="2" t="s">
        <v>65</v>
      </c>
      <c r="E11" s="2"/>
      <c r="F11" s="2">
        <f>IF(Data!$H$2,IF(ISNUMBER(B11),B11,NA()),NA())</f>
        <v>307.45999999999998</v>
      </c>
      <c r="G11" s="2"/>
      <c r="H11" s="2"/>
      <c r="I11" s="2"/>
      <c r="J11" s="2"/>
      <c r="K11" s="2"/>
      <c r="L11" s="2"/>
      <c r="M11" s="2"/>
      <c r="N11" s="2"/>
      <c r="O11" s="2"/>
      <c r="P11" s="2"/>
    </row>
    <row r="12" spans="1:16" ht="21" customHeight="1">
      <c r="A12" s="14">
        <v>45957</v>
      </c>
      <c r="B12" s="10">
        <v>313.08999999999997</v>
      </c>
      <c r="C12" s="2" t="s">
        <v>511</v>
      </c>
      <c r="D12" s="2" t="s">
        <v>65</v>
      </c>
      <c r="E12" s="2"/>
      <c r="F12" s="2">
        <f>IF(Data!$H$2,IF(ISNUMBER(B12),B12,NA()),NA())</f>
        <v>313.08999999999997</v>
      </c>
      <c r="G12" s="2"/>
      <c r="H12" s="2"/>
      <c r="I12" s="2"/>
      <c r="J12" s="2"/>
      <c r="K12" s="2"/>
      <c r="L12" s="2"/>
      <c r="M12" s="2"/>
      <c r="N12" s="2"/>
      <c r="O12" s="2"/>
      <c r="P12" s="2"/>
    </row>
    <row r="13" spans="1:16" ht="21" customHeight="1">
      <c r="A13" s="14">
        <v>45958</v>
      </c>
      <c r="B13" s="10">
        <v>312.57</v>
      </c>
      <c r="C13" s="2" t="s">
        <v>511</v>
      </c>
      <c r="D13" s="2" t="s">
        <v>65</v>
      </c>
      <c r="E13" s="2"/>
      <c r="F13" s="2">
        <f>IF(Data!$H$2,IF(ISNUMBER(B13),B13,NA()),NA())</f>
        <v>312.57</v>
      </c>
      <c r="G13" s="2"/>
      <c r="H13" s="2"/>
      <c r="I13" s="2"/>
      <c r="J13" s="2"/>
      <c r="K13" s="2"/>
      <c r="L13" s="2"/>
      <c r="M13" s="2"/>
      <c r="N13" s="2"/>
      <c r="O13" s="2"/>
      <c r="P13" s="2"/>
    </row>
    <row r="14" spans="1:16" ht="21" customHeight="1">
      <c r="A14" s="14">
        <v>45959</v>
      </c>
      <c r="B14" s="10">
        <v>308.20999999999998</v>
      </c>
      <c r="C14" s="2" t="s">
        <v>511</v>
      </c>
      <c r="D14" s="2" t="s">
        <v>65</v>
      </c>
      <c r="E14" s="2"/>
      <c r="F14" s="2">
        <f>IF(Data!$H$2,IF(ISNUMBER(B14),B14,NA()),NA())</f>
        <v>308.20999999999998</v>
      </c>
      <c r="G14" s="2"/>
      <c r="H14" s="2"/>
      <c r="I14" s="2"/>
      <c r="J14" s="2"/>
      <c r="K14" s="2"/>
      <c r="L14" s="2"/>
      <c r="M14" s="2"/>
      <c r="N14" s="2"/>
      <c r="O14" s="2"/>
      <c r="P14" s="2"/>
    </row>
    <row r="15" spans="1:16" ht="21" customHeight="1">
      <c r="A15" s="14">
        <v>45960</v>
      </c>
      <c r="B15" s="10">
        <v>310.06</v>
      </c>
      <c r="C15" s="2" t="s">
        <v>511</v>
      </c>
      <c r="D15" s="2" t="s">
        <v>65</v>
      </c>
      <c r="E15" s="2"/>
      <c r="F15" s="2">
        <f>IF(Data!$H$2,IF(ISNUMBER(B15),B15,NA()),NA())</f>
        <v>310.06</v>
      </c>
      <c r="G15" s="2"/>
      <c r="H15" s="2"/>
      <c r="I15" s="2"/>
      <c r="J15" s="2"/>
      <c r="K15" s="2"/>
      <c r="L15" s="2"/>
      <c r="M15" s="2"/>
      <c r="N15" s="2"/>
      <c r="O15" s="2"/>
      <c r="P15" s="2"/>
    </row>
    <row r="16" spans="1:16" ht="21" customHeight="1">
      <c r="A16" s="14">
        <v>45961</v>
      </c>
      <c r="B16" s="10">
        <v>307.41000000000003</v>
      </c>
      <c r="C16" s="2" t="s">
        <v>511</v>
      </c>
      <c r="D16" s="2" t="s">
        <v>65</v>
      </c>
      <c r="E16" s="2"/>
      <c r="F16" s="2">
        <f>IF(Data!$H$2,IF(ISNUMBER(B16),B16,NA()),NA())</f>
        <v>307.41000000000003</v>
      </c>
      <c r="G16" s="2"/>
      <c r="H16" s="2"/>
      <c r="I16" s="2"/>
      <c r="J16" s="2"/>
      <c r="K16" s="2"/>
      <c r="L16" s="2"/>
      <c r="M16" s="2"/>
      <c r="N16" s="2"/>
      <c r="O16" s="2"/>
      <c r="P16" s="2"/>
    </row>
    <row r="17" spans="1:16" ht="21" customHeight="1">
      <c r="A17" s="14">
        <v>45964</v>
      </c>
      <c r="B17" s="10">
        <v>304.73</v>
      </c>
      <c r="C17" s="2" t="s">
        <v>511</v>
      </c>
      <c r="D17" s="2" t="s">
        <v>65</v>
      </c>
      <c r="E17" s="2"/>
      <c r="F17" s="2">
        <f>IF(Data!$H$2,IF(ISNUMBER(B17),B17,NA()),NA())</f>
        <v>304.73</v>
      </c>
      <c r="G17" s="2"/>
      <c r="H17" s="2"/>
      <c r="I17" s="2"/>
      <c r="J17" s="2"/>
      <c r="K17" s="2"/>
      <c r="L17" s="2"/>
      <c r="M17" s="2"/>
      <c r="N17" s="2"/>
      <c r="O17" s="2"/>
      <c r="P17" s="2"/>
    </row>
    <row r="18" spans="1:16" ht="21" customHeight="1">
      <c r="A18" s="14">
        <v>45965</v>
      </c>
      <c r="B18" s="10">
        <v>300.85000000000002</v>
      </c>
      <c r="C18" s="2" t="s">
        <v>511</v>
      </c>
      <c r="D18" s="2" t="s">
        <v>65</v>
      </c>
      <c r="E18" s="2"/>
      <c r="F18" s="2">
        <f>IF(Data!$H$2,IF(ISNUMBER(B18),B18,NA()),NA())</f>
        <v>300.85000000000002</v>
      </c>
      <c r="G18" s="2"/>
      <c r="H18" s="2"/>
      <c r="I18" s="2"/>
      <c r="J18" s="2"/>
      <c r="K18" s="2"/>
      <c r="L18" s="2"/>
      <c r="M18" s="2"/>
      <c r="N18" s="2"/>
      <c r="O18" s="2"/>
      <c r="P18" s="2"/>
    </row>
    <row r="19" spans="1:16" ht="21" customHeight="1">
      <c r="A19" s="14">
        <v>45966</v>
      </c>
      <c r="B19" s="10">
        <v>306.77</v>
      </c>
      <c r="C19" s="2" t="s">
        <v>511</v>
      </c>
      <c r="D19" s="2" t="s">
        <v>65</v>
      </c>
      <c r="E19" s="2"/>
      <c r="F19" s="2">
        <f>IF(Data!$H$2,IF(ISNUMBER(B19),B19,NA()),NA())</f>
        <v>306.77</v>
      </c>
      <c r="G19" s="2"/>
      <c r="H19" s="2"/>
      <c r="I19" s="2"/>
      <c r="J19" s="2"/>
      <c r="K19" s="2"/>
      <c r="L19" s="2"/>
      <c r="M19" s="2"/>
      <c r="N19" s="2"/>
      <c r="O19" s="2"/>
      <c r="P19" s="2"/>
    </row>
    <row r="20" spans="1:16" ht="21" customHeight="1">
      <c r="A20" s="14">
        <v>45967</v>
      </c>
      <c r="B20" s="10">
        <v>312.42</v>
      </c>
      <c r="C20" s="2" t="s">
        <v>511</v>
      </c>
      <c r="D20" s="2" t="s">
        <v>65</v>
      </c>
      <c r="E20" s="2"/>
      <c r="F20" s="2">
        <f>IF(Data!$H$2,IF(ISNUMBER(B20),B20,NA()),NA())</f>
        <v>312.42</v>
      </c>
      <c r="G20" s="2"/>
      <c r="H20" s="2"/>
      <c r="I20" s="2"/>
      <c r="J20" s="2"/>
      <c r="K20" s="2"/>
      <c r="L20" s="2"/>
      <c r="M20" s="2"/>
      <c r="N20" s="2"/>
      <c r="O20" s="2"/>
      <c r="P20" s="2"/>
    </row>
    <row r="21" spans="1:16" ht="21" customHeight="1">
      <c r="A21" s="14">
        <v>45968</v>
      </c>
      <c r="B21" s="10">
        <v>306.38</v>
      </c>
      <c r="C21" s="2" t="s">
        <v>511</v>
      </c>
      <c r="D21" s="2" t="s">
        <v>65</v>
      </c>
      <c r="E21" s="2"/>
      <c r="F21" s="2">
        <f>IF(Data!$H$2,IF(ISNUMBER(B21),B21,NA()),NA())</f>
        <v>306.38</v>
      </c>
      <c r="G21" s="2"/>
      <c r="H21" s="2"/>
      <c r="I21" s="2"/>
      <c r="J21" s="2"/>
      <c r="K21" s="2"/>
      <c r="L21" s="2"/>
      <c r="M21" s="2"/>
      <c r="N21" s="2"/>
      <c r="O21" s="2"/>
      <c r="P21" s="2"/>
    </row>
    <row r="22" spans="1:16" ht="21" customHeight="1">
      <c r="A22" s="14">
        <v>45971</v>
      </c>
      <c r="B22" s="10">
        <v>309.13</v>
      </c>
      <c r="C22" s="2" t="s">
        <v>511</v>
      </c>
      <c r="D22" s="2" t="s">
        <v>65</v>
      </c>
      <c r="E22" s="2"/>
      <c r="F22" s="2">
        <f>IF(Data!$H$2,IF(ISNUMBER(B22),B22,NA()),NA())</f>
        <v>309.13</v>
      </c>
      <c r="G22" s="2"/>
      <c r="H22" s="2"/>
      <c r="I22" s="2"/>
      <c r="J22" s="2"/>
      <c r="K22" s="2"/>
      <c r="L22" s="2"/>
      <c r="M22" s="2"/>
      <c r="N22" s="2"/>
      <c r="O22" s="2"/>
      <c r="P22" s="2"/>
    </row>
    <row r="23" spans="1:16" ht="21" customHeight="1">
      <c r="A23" s="14">
        <v>45972</v>
      </c>
      <c r="B23" s="10">
        <v>313.72000000000003</v>
      </c>
      <c r="C23" s="2" t="s">
        <v>511</v>
      </c>
      <c r="D23" s="2" t="s">
        <v>65</v>
      </c>
      <c r="E23" s="2"/>
      <c r="F23" s="2">
        <f>IF(Data!$H$2,IF(ISNUMBER(B23),B23,NA()),NA())</f>
        <v>313.72000000000003</v>
      </c>
      <c r="G23" s="2"/>
      <c r="H23" s="2"/>
      <c r="I23" s="2"/>
      <c r="J23" s="2"/>
      <c r="K23" s="2"/>
      <c r="L23" s="2"/>
      <c r="M23" s="2"/>
      <c r="N23" s="2"/>
      <c r="O23" s="2"/>
      <c r="P23" s="2"/>
    </row>
    <row r="24" spans="1:16" ht="21" customHeight="1">
      <c r="A24" s="14">
        <v>45973</v>
      </c>
      <c r="B24" s="10">
        <v>314.98</v>
      </c>
      <c r="C24" s="2" t="s">
        <v>511</v>
      </c>
      <c r="D24" s="2" t="s">
        <v>65</v>
      </c>
      <c r="E24" s="2"/>
      <c r="F24" s="2">
        <f>IF(Data!$H$2,IF(ISNUMBER(B24),B24,NA()),NA())</f>
        <v>314.98</v>
      </c>
      <c r="G24" s="2"/>
      <c r="H24" s="2"/>
      <c r="I24" s="2"/>
      <c r="J24" s="2"/>
      <c r="K24" s="2"/>
      <c r="L24" s="2"/>
      <c r="M24" s="2"/>
      <c r="N24" s="2"/>
      <c r="O24" s="2"/>
      <c r="P24" s="2"/>
    </row>
    <row r="25" spans="1:16" ht="21" customHeight="1">
      <c r="A25" s="14">
        <v>45974</v>
      </c>
      <c r="B25" s="10">
        <v>304.86</v>
      </c>
      <c r="C25" s="2" t="s">
        <v>511</v>
      </c>
      <c r="D25" s="2" t="s">
        <v>65</v>
      </c>
      <c r="E25" s="2"/>
      <c r="F25" s="2">
        <f>IF(Data!$H$2,IF(ISNUMBER(B25),B25,NA()),NA())</f>
        <v>304.86</v>
      </c>
      <c r="G25" s="2"/>
      <c r="H25" s="2"/>
      <c r="I25" s="2"/>
      <c r="J25" s="2"/>
      <c r="K25" s="2"/>
      <c r="L25" s="2"/>
      <c r="M25" s="2"/>
      <c r="N25" s="2"/>
      <c r="O25" s="2"/>
      <c r="P25" s="2"/>
    </row>
    <row r="26" spans="1:16" ht="21" customHeight="1">
      <c r="A26" s="14">
        <v>45975</v>
      </c>
      <c r="B26" s="10">
        <v>305.69</v>
      </c>
      <c r="C26" s="2" t="s">
        <v>511</v>
      </c>
      <c r="D26" s="2" t="s">
        <v>65</v>
      </c>
      <c r="E26" s="2"/>
      <c r="F26" s="2">
        <f>IF(Data!$H$2,IF(ISNUMBER(B26),B26,NA()),NA())</f>
        <v>305.69</v>
      </c>
      <c r="G26" s="2"/>
      <c r="H26" s="2"/>
      <c r="I26" s="2"/>
      <c r="J26" s="2"/>
      <c r="K26" s="2"/>
      <c r="L26" s="2"/>
      <c r="M26" s="2"/>
      <c r="N26" s="2"/>
      <c r="O26" s="2"/>
      <c r="P26" s="2"/>
    </row>
    <row r="27" spans="1:16" ht="21" customHeight="1">
      <c r="A27" s="14">
        <v>45978</v>
      </c>
      <c r="B27" s="10">
        <v>297.17</v>
      </c>
      <c r="C27" s="2" t="s">
        <v>511</v>
      </c>
      <c r="D27" s="2" t="s">
        <v>65</v>
      </c>
      <c r="E27" s="2"/>
      <c r="F27" s="2">
        <f>IF(Data!$H$2,IF(ISNUMBER(B27),B27,NA()),NA())</f>
        <v>297.17</v>
      </c>
      <c r="G27" s="2"/>
      <c r="H27" s="2"/>
      <c r="I27" s="2"/>
      <c r="J27" s="2"/>
      <c r="K27" s="2"/>
      <c r="L27" s="2"/>
      <c r="M27" s="2"/>
      <c r="N27" s="2"/>
      <c r="O27" s="2"/>
      <c r="P27" s="2"/>
    </row>
    <row r="28" spans="1:16" ht="21" customHeight="1">
      <c r="A28" s="14">
        <v>45979</v>
      </c>
      <c r="B28" s="10">
        <v>289.95</v>
      </c>
      <c r="C28" s="2" t="s">
        <v>511</v>
      </c>
      <c r="D28" s="2" t="s">
        <v>65</v>
      </c>
      <c r="E28" s="2"/>
      <c r="F28" s="2">
        <f>IF(Data!$H$2,IF(ISNUMBER(B28),B28,NA()),NA())</f>
        <v>289.95</v>
      </c>
      <c r="G28" s="2"/>
      <c r="H28" s="2"/>
      <c r="I28" s="2"/>
      <c r="J28" s="2"/>
      <c r="K28" s="2"/>
      <c r="L28" s="2"/>
      <c r="M28" s="2"/>
      <c r="N28" s="2"/>
      <c r="O28" s="2"/>
      <c r="P28" s="2"/>
    </row>
    <row r="29" spans="1:16" ht="21" customHeight="1">
      <c r="A29" s="14">
        <v>45980</v>
      </c>
      <c r="B29" s="10">
        <v>288.52999999999997</v>
      </c>
      <c r="C29" s="2" t="s">
        <v>511</v>
      </c>
      <c r="D29" s="2" t="s">
        <v>65</v>
      </c>
      <c r="E29" s="2"/>
      <c r="F29" s="2">
        <f>IF(Data!$H$2,IF(ISNUMBER(B29),B29,NA()),NA())</f>
        <v>288.52999999999997</v>
      </c>
      <c r="G29" s="2"/>
      <c r="H29" s="2"/>
      <c r="I29" s="2"/>
      <c r="J29" s="2"/>
      <c r="K29" s="2"/>
      <c r="L29" s="2"/>
      <c r="M29" s="2"/>
      <c r="N29" s="2"/>
      <c r="O29" s="2"/>
      <c r="P29" s="2"/>
    </row>
    <row r="30" spans="1:16" ht="21" customHeight="1">
      <c r="A30" s="14">
        <v>45981</v>
      </c>
      <c r="B30" s="10">
        <v>290.39999999999998</v>
      </c>
      <c r="C30" s="2" t="s">
        <v>511</v>
      </c>
      <c r="D30" s="2" t="s">
        <v>65</v>
      </c>
      <c r="E30" s="2"/>
      <c r="F30" s="2">
        <f>IF(Data!$H$2,IF(ISNUMBER(B30),B30,NA()),NA())</f>
        <v>290.39999999999998</v>
      </c>
      <c r="G30" s="2"/>
      <c r="H30" s="2"/>
      <c r="I30" s="2"/>
      <c r="J30" s="2"/>
      <c r="K30" s="2"/>
      <c r="L30" s="2"/>
      <c r="M30" s="2"/>
      <c r="N30" s="2"/>
      <c r="O30" s="2"/>
      <c r="P30" s="2"/>
    </row>
    <row r="31" spans="1:16" ht="21" customHeight="1">
      <c r="A31" s="14">
        <v>45982</v>
      </c>
      <c r="B31" s="10">
        <v>297.44</v>
      </c>
      <c r="C31" s="2" t="s">
        <v>511</v>
      </c>
      <c r="D31" s="2" t="s">
        <v>65</v>
      </c>
      <c r="E31" s="2"/>
      <c r="F31" s="2">
        <f>IF(Data!$H$2,IF(ISNUMBER(B31),B31,NA()),NA())</f>
        <v>297.44</v>
      </c>
      <c r="G31" s="2"/>
      <c r="H31" s="2"/>
      <c r="I31" s="2"/>
      <c r="J31" s="2"/>
      <c r="K31" s="2"/>
      <c r="L31" s="2"/>
      <c r="M31" s="2"/>
      <c r="N31" s="2"/>
      <c r="O31" s="2"/>
      <c r="P31" s="2"/>
    </row>
    <row r="32" spans="1:16" ht="21" customHeight="1">
      <c r="A32" s="14">
        <v>45985</v>
      </c>
      <c r="B32" s="10">
        <v>304.12</v>
      </c>
      <c r="C32" s="2" t="s">
        <v>511</v>
      </c>
      <c r="D32" s="2" t="s">
        <v>65</v>
      </c>
      <c r="E32" s="2"/>
      <c r="F32" s="2">
        <f>IF(Data!$H$2,IF(ISNUMBER(B32),B32,NA()),NA())</f>
        <v>304.12</v>
      </c>
      <c r="G32" s="2"/>
      <c r="H32" s="2"/>
      <c r="I32" s="2"/>
      <c r="J32" s="2"/>
      <c r="K32" s="2"/>
      <c r="L32" s="2"/>
      <c r="M32" s="2"/>
      <c r="N32" s="2"/>
      <c r="O32" s="2"/>
      <c r="P32" s="2"/>
    </row>
    <row r="33" spans="1:16" ht="21" customHeight="1">
      <c r="A33" s="14">
        <v>45986</v>
      </c>
      <c r="B33" s="10">
        <v>304.48</v>
      </c>
      <c r="C33" s="2" t="s">
        <v>511</v>
      </c>
      <c r="D33" s="2" t="s">
        <v>65</v>
      </c>
      <c r="E33" s="2"/>
      <c r="F33" s="2">
        <f>IF(Data!$H$2,IF(ISNUMBER(B33),B33,NA()),NA())</f>
        <v>304.48</v>
      </c>
      <c r="G33" s="2"/>
      <c r="H33" s="2"/>
      <c r="I33" s="2"/>
      <c r="J33" s="2"/>
      <c r="K33" s="2"/>
      <c r="L33" s="2"/>
      <c r="M33" s="2"/>
      <c r="N33" s="2"/>
      <c r="O33" s="2"/>
      <c r="P33" s="2"/>
    </row>
    <row r="34" spans="1:16" ht="21" customHeight="1">
      <c r="A34" s="14">
        <v>45987</v>
      </c>
      <c r="B34" s="10">
        <v>303.20999999999998</v>
      </c>
      <c r="C34" s="2" t="s">
        <v>511</v>
      </c>
      <c r="D34" s="2" t="s">
        <v>65</v>
      </c>
      <c r="E34" s="2"/>
      <c r="F34" s="2">
        <f>IF(Data!$H$2,IF(ISNUMBER(B34),B34,NA()),NA())</f>
        <v>303.20999999999998</v>
      </c>
      <c r="G34" s="2"/>
      <c r="H34" s="2"/>
      <c r="I34" s="2"/>
      <c r="J34" s="2"/>
      <c r="K34" s="2"/>
      <c r="L34" s="2"/>
      <c r="M34" s="2"/>
      <c r="N34" s="2"/>
      <c r="O34" s="2"/>
      <c r="P34" s="2"/>
    </row>
    <row r="35" spans="1:16" ht="21" customHeight="1">
      <c r="A35" s="14">
        <v>45989</v>
      </c>
      <c r="B35" s="10">
        <v>308.58</v>
      </c>
      <c r="C35" s="2" t="s">
        <v>511</v>
      </c>
      <c r="D35" s="2" t="s">
        <v>65</v>
      </c>
      <c r="E35" s="2"/>
      <c r="F35" s="2">
        <f>IF(Data!$H$2,IF(ISNUMBER(B35),B35,NA()),NA())</f>
        <v>308.58</v>
      </c>
      <c r="G35" s="2"/>
      <c r="H35" s="2"/>
      <c r="I35" s="2"/>
      <c r="J35" s="2"/>
      <c r="K35" s="2"/>
      <c r="L35" s="2"/>
      <c r="M35" s="2"/>
      <c r="N35" s="2"/>
      <c r="O35" s="2"/>
      <c r="P35" s="2"/>
    </row>
    <row r="36" spans="1:16" ht="21" customHeight="1">
      <c r="A36" s="14">
        <v>45992</v>
      </c>
      <c r="B36" s="10">
        <v>305.67</v>
      </c>
      <c r="C36" s="2" t="s">
        <v>511</v>
      </c>
      <c r="D36" s="2" t="s">
        <v>65</v>
      </c>
      <c r="E36" s="2"/>
      <c r="F36" s="2">
        <f>IF(Data!$H$2,IF(ISNUMBER(B36),B36,NA()),NA())</f>
        <v>305.67</v>
      </c>
      <c r="G36" s="2"/>
      <c r="H36" s="2"/>
      <c r="I36" s="2"/>
      <c r="J36" s="2"/>
      <c r="K36" s="2"/>
      <c r="L36" s="2"/>
      <c r="M36" s="2"/>
      <c r="N36" s="2"/>
      <c r="O36" s="2"/>
      <c r="P36" s="2"/>
    </row>
    <row r="37" spans="1:16" ht="21" customHeight="1">
      <c r="A37" s="14">
        <v>45993</v>
      </c>
      <c r="B37" s="10">
        <v>301.77999999999997</v>
      </c>
      <c r="C37" s="2" t="s">
        <v>511</v>
      </c>
      <c r="D37" s="2" t="s">
        <v>65</v>
      </c>
      <c r="E37" s="2"/>
      <c r="F37" s="2">
        <f>IF(Data!$H$2,IF(ISNUMBER(B37),B37,NA()),NA())</f>
        <v>301.77999999999997</v>
      </c>
      <c r="G37" s="2"/>
      <c r="H37" s="2"/>
      <c r="I37" s="2"/>
      <c r="J37" s="2"/>
      <c r="K37" s="2"/>
      <c r="L37" s="2"/>
      <c r="M37" s="2"/>
      <c r="N37" s="2"/>
      <c r="O37" s="2"/>
      <c r="P37" s="2"/>
    </row>
    <row r="38" spans="1:16" ht="21" customHeight="1">
      <c r="A38" s="14">
        <v>45994</v>
      </c>
      <c r="B38" s="10">
        <v>302.62</v>
      </c>
      <c r="C38" s="2" t="s">
        <v>511</v>
      </c>
      <c r="D38" s="2" t="s">
        <v>65</v>
      </c>
      <c r="E38" s="2"/>
      <c r="F38" s="2">
        <f>IF(Data!$H$2,IF(ISNUMBER(B38),B38,NA()),NA())</f>
        <v>302.62</v>
      </c>
      <c r="G38" s="2"/>
      <c r="H38" s="2"/>
      <c r="I38" s="2"/>
      <c r="J38" s="2"/>
      <c r="K38" s="2"/>
      <c r="L38" s="2"/>
      <c r="M38" s="2"/>
      <c r="N38" s="2"/>
      <c r="O38" s="2"/>
      <c r="P38" s="2"/>
    </row>
    <row r="39" spans="1:16" ht="21" customHeight="1">
      <c r="A39" s="14">
        <v>45995</v>
      </c>
      <c r="B39" s="10">
        <v>307.99</v>
      </c>
      <c r="C39" s="2" t="s">
        <v>511</v>
      </c>
      <c r="D39" s="2" t="s">
        <v>65</v>
      </c>
      <c r="E39" s="2"/>
      <c r="F39" s="2">
        <f>IF(Data!$H$2,IF(ISNUMBER(B39),B39,NA()),NA())</f>
        <v>307.99</v>
      </c>
      <c r="G39" s="2"/>
      <c r="H39" s="2"/>
      <c r="I39" s="2"/>
      <c r="J39" s="2"/>
      <c r="K39" s="2"/>
      <c r="L39" s="2"/>
      <c r="M39" s="2"/>
      <c r="N39" s="2"/>
      <c r="O39" s="2"/>
      <c r="P39" s="2"/>
    </row>
    <row r="40" spans="1:16" ht="21" customHeight="1">
      <c r="A40" s="14">
        <v>45996</v>
      </c>
      <c r="B40" s="10">
        <v>307.94</v>
      </c>
      <c r="C40" s="2" t="s">
        <v>511</v>
      </c>
      <c r="D40" s="2" t="s">
        <v>65</v>
      </c>
      <c r="E40" s="2"/>
      <c r="F40" s="2">
        <f>IF(Data!$H$2,IF(ISNUMBER(B40),B40,NA()),NA())</f>
        <v>307.94</v>
      </c>
      <c r="G40" s="2"/>
      <c r="H40" s="2"/>
      <c r="I40" s="2"/>
      <c r="J40" s="2"/>
      <c r="K40" s="2"/>
      <c r="L40" s="2"/>
      <c r="M40" s="2"/>
      <c r="N40" s="2"/>
      <c r="O40" s="2"/>
      <c r="P40" s="2"/>
    </row>
    <row r="41" spans="1:16" ht="21" customHeight="1">
      <c r="A41" s="14">
        <v>45999</v>
      </c>
      <c r="B41" s="10">
        <v>309.18</v>
      </c>
      <c r="C41" s="2" t="s">
        <v>511</v>
      </c>
      <c r="D41" s="2" t="s">
        <v>65</v>
      </c>
      <c r="E41" s="2"/>
      <c r="F41" s="2">
        <f>IF(Data!$H$2,IF(ISNUMBER(B41),B41,NA()),NA())</f>
        <v>309.18</v>
      </c>
      <c r="G41" s="2"/>
      <c r="H41" s="2"/>
      <c r="I41" s="2"/>
      <c r="J41" s="2"/>
      <c r="K41" s="2"/>
      <c r="L41" s="2"/>
      <c r="M41" s="2"/>
      <c r="N41" s="2"/>
      <c r="O41" s="2"/>
      <c r="P41" s="2"/>
    </row>
    <row r="42" spans="1:16" ht="21" customHeight="1">
      <c r="A42" s="14">
        <v>46000</v>
      </c>
      <c r="B42" s="10">
        <v>310.48</v>
      </c>
      <c r="C42" s="2" t="s">
        <v>511</v>
      </c>
      <c r="D42" s="2" t="s">
        <v>65</v>
      </c>
      <c r="E42" s="2"/>
      <c r="F42" s="2">
        <f>IF(Data!$H$2,IF(ISNUMBER(B42),B42,NA()),NA())</f>
        <v>310.48</v>
      </c>
      <c r="G42" s="2"/>
      <c r="H42" s="2"/>
      <c r="I42" s="2"/>
      <c r="J42" s="2"/>
      <c r="K42" s="2"/>
      <c r="L42" s="2"/>
      <c r="M42" s="2"/>
      <c r="N42" s="2"/>
      <c r="O42" s="2"/>
      <c r="P42" s="2"/>
    </row>
    <row r="43" spans="1:16" ht="21" customHeight="1">
      <c r="A43" s="14">
        <v>46001</v>
      </c>
      <c r="B43" s="10">
        <v>312.67</v>
      </c>
      <c r="C43" s="2" t="s">
        <v>511</v>
      </c>
      <c r="D43" s="2" t="s">
        <v>65</v>
      </c>
      <c r="E43" s="2"/>
      <c r="F43" s="2">
        <f>IF(Data!$H$2,IF(ISNUMBER(B43),B43,NA()),NA())</f>
        <v>312.67</v>
      </c>
      <c r="G43" s="2"/>
      <c r="H43" s="2"/>
      <c r="I43" s="2"/>
      <c r="J43" s="2"/>
      <c r="K43" s="2"/>
      <c r="L43" s="2"/>
      <c r="M43" s="2"/>
      <c r="N43" s="2"/>
      <c r="O43" s="2"/>
      <c r="P43" s="2"/>
    </row>
    <row r="44" spans="1:16" ht="21" customHeight="1">
      <c r="A44" s="14">
        <v>46002</v>
      </c>
      <c r="B44" s="10">
        <v>310.74</v>
      </c>
      <c r="C44" s="2" t="s">
        <v>511</v>
      </c>
      <c r="D44" s="2" t="s">
        <v>65</v>
      </c>
      <c r="E44" s="2"/>
      <c r="F44" s="2">
        <f>IF(Data!$H$2,IF(ISNUMBER(B44),B44,NA()),NA())</f>
        <v>310.74</v>
      </c>
      <c r="G44" s="2"/>
      <c r="H44" s="2"/>
      <c r="I44" s="2"/>
      <c r="J44" s="2"/>
      <c r="K44" s="2"/>
      <c r="L44" s="2"/>
      <c r="M44" s="2"/>
      <c r="N44" s="2"/>
      <c r="O44" s="2"/>
      <c r="P44" s="2"/>
    </row>
    <row r="45" spans="1:16" ht="21" customHeight="1">
      <c r="A45" s="14">
        <v>46003</v>
      </c>
      <c r="B45" s="10">
        <v>309.24</v>
      </c>
      <c r="C45" s="2" t="s">
        <v>511</v>
      </c>
      <c r="D45" s="2" t="s">
        <v>65</v>
      </c>
      <c r="E45" s="2"/>
      <c r="F45" s="2">
        <f>IF(Data!$H$2,IF(ISNUMBER(B45),B45,NA()),NA())</f>
        <v>309.24</v>
      </c>
      <c r="G45" s="2"/>
      <c r="H45" s="2"/>
      <c r="I45" s="2"/>
      <c r="J45" s="2"/>
      <c r="K45" s="2"/>
      <c r="L45" s="2"/>
      <c r="M45" s="2"/>
      <c r="N45" s="2"/>
      <c r="O45" s="2"/>
      <c r="P45" s="2"/>
    </row>
    <row r="46" spans="1:16" ht="21" customHeight="1">
      <c r="A46" s="14">
        <v>46006</v>
      </c>
      <c r="B46" s="10">
        <v>308.66000000000003</v>
      </c>
      <c r="C46" s="2" t="s">
        <v>511</v>
      </c>
      <c r="D46" s="2" t="s">
        <v>65</v>
      </c>
      <c r="E46" s="2"/>
      <c r="F46" s="2">
        <f>IF(Data!$H$2,IF(ISNUMBER(B46),B46,NA()),NA())</f>
        <v>308.66000000000003</v>
      </c>
      <c r="G46" s="2"/>
      <c r="H46" s="2"/>
      <c r="I46" s="2"/>
      <c r="J46" s="2"/>
      <c r="K46" s="2"/>
      <c r="L46" s="2"/>
      <c r="M46" s="2"/>
      <c r="N46" s="2"/>
      <c r="O46" s="2"/>
      <c r="P46" s="2"/>
    </row>
    <row r="47" spans="1:16" ht="21" customHeight="1">
      <c r="A47" s="14">
        <v>46007</v>
      </c>
      <c r="B47" s="10">
        <v>303.18</v>
      </c>
      <c r="C47" s="2" t="s">
        <v>511</v>
      </c>
      <c r="D47" s="2" t="s">
        <v>65</v>
      </c>
      <c r="E47" s="2"/>
      <c r="F47" s="2">
        <f>IF(Data!$H$2,IF(ISNUMBER(B47),B47,NA()),NA())</f>
        <v>303.18</v>
      </c>
      <c r="G47" s="2"/>
      <c r="H47" s="2"/>
      <c r="I47" s="2"/>
      <c r="J47" s="2"/>
      <c r="K47" s="2"/>
      <c r="L47" s="2"/>
      <c r="M47" s="2"/>
      <c r="N47" s="2"/>
      <c r="O47" s="2"/>
      <c r="P47" s="2"/>
    </row>
    <row r="48" spans="1:16" ht="21" customHeight="1">
      <c r="A48" s="14">
        <v>46008</v>
      </c>
      <c r="B48" s="10">
        <v>303.32</v>
      </c>
      <c r="C48" s="2" t="s">
        <v>511</v>
      </c>
      <c r="D48" s="2" t="s">
        <v>65</v>
      </c>
      <c r="E48" s="2"/>
      <c r="F48" s="2">
        <f>IF(Data!$H$2,IF(ISNUMBER(B48),B48,NA()),NA())</f>
        <v>303.32</v>
      </c>
      <c r="G48" s="2"/>
      <c r="H48" s="2"/>
      <c r="I48" s="2"/>
      <c r="J48" s="2"/>
      <c r="K48" s="2"/>
      <c r="L48" s="2"/>
      <c r="M48" s="2"/>
      <c r="N48" s="2"/>
      <c r="O48" s="2"/>
      <c r="P48" s="2"/>
    </row>
    <row r="49" spans="1:16" ht="21" customHeight="1">
      <c r="A49" s="14">
        <v>46009</v>
      </c>
      <c r="B49" s="10">
        <v>300.45</v>
      </c>
      <c r="C49" s="2" t="s">
        <v>511</v>
      </c>
      <c r="D49" s="2" t="s">
        <v>65</v>
      </c>
      <c r="E49" s="2"/>
      <c r="F49" s="2">
        <f>IF(Data!$H$2,IF(ISNUMBER(B49),B49,NA()),NA())</f>
        <v>300.45</v>
      </c>
      <c r="G49" s="2"/>
      <c r="H49" s="2"/>
      <c r="I49" s="2"/>
      <c r="J49" s="2"/>
      <c r="K49" s="2"/>
      <c r="L49" s="2"/>
      <c r="M49" s="2"/>
      <c r="N49" s="2"/>
      <c r="O49" s="2"/>
      <c r="P49" s="2"/>
    </row>
    <row r="50" spans="1:16" ht="21" customHeight="1">
      <c r="A50" s="14">
        <v>46010</v>
      </c>
      <c r="B50" s="10">
        <v>300.98</v>
      </c>
      <c r="C50" s="2" t="s">
        <v>511</v>
      </c>
      <c r="D50" s="2" t="s">
        <v>65</v>
      </c>
      <c r="E50" s="2"/>
      <c r="F50" s="2">
        <f>IF(Data!$H$2,IF(ISNUMBER(B50),B50,NA()),NA())</f>
        <v>300.98</v>
      </c>
      <c r="G50" s="2"/>
      <c r="H50" s="2"/>
      <c r="I50" s="2"/>
      <c r="J50" s="2"/>
      <c r="K50" s="2"/>
      <c r="L50" s="2"/>
      <c r="M50" s="2"/>
      <c r="N50" s="2"/>
      <c r="O50" s="2"/>
      <c r="P50" s="2"/>
    </row>
    <row r="51" spans="1:16" ht="21" customHeight="1">
      <c r="A51" s="14">
        <v>46013</v>
      </c>
      <c r="B51" s="10">
        <v>302.79000000000002</v>
      </c>
      <c r="C51" s="2" t="s">
        <v>511</v>
      </c>
      <c r="D51" s="2" t="s">
        <v>65</v>
      </c>
      <c r="E51" s="2"/>
      <c r="F51" s="2">
        <f>IF(Data!$H$2,IF(ISNUMBER(B51),B51,NA()),NA())</f>
        <v>302.79000000000002</v>
      </c>
      <c r="G51" s="2"/>
      <c r="H51" s="2"/>
      <c r="I51" s="2"/>
      <c r="J51" s="2"/>
      <c r="K51" s="2"/>
      <c r="L51" s="2"/>
      <c r="M51" s="2"/>
      <c r="N51" s="2"/>
      <c r="O51" s="2"/>
      <c r="P51" s="2"/>
    </row>
    <row r="52" spans="1:16" ht="21" customHeight="1">
      <c r="A52" s="14">
        <v>46014</v>
      </c>
      <c r="B52" s="10">
        <v>303.77999999999997</v>
      </c>
      <c r="C52" s="2" t="s">
        <v>511</v>
      </c>
      <c r="D52" s="2" t="s">
        <v>65</v>
      </c>
      <c r="E52" s="2"/>
      <c r="F52" s="2">
        <f>IF(Data!$H$2,IF(ISNUMBER(B52),B52,NA()),NA())</f>
        <v>303.77999999999997</v>
      </c>
      <c r="G52" s="2"/>
      <c r="H52" s="2"/>
      <c r="I52" s="2"/>
      <c r="J52" s="2"/>
      <c r="K52" s="2"/>
      <c r="L52" s="2"/>
      <c r="M52" s="2"/>
      <c r="N52" s="2"/>
      <c r="O52" s="2"/>
      <c r="P52" s="2"/>
    </row>
    <row r="53" spans="1:16" ht="21" customHeight="1">
      <c r="A53" s="14">
        <v>46015</v>
      </c>
      <c r="B53" s="10">
        <v>304.56</v>
      </c>
      <c r="C53" s="2" t="s">
        <v>511</v>
      </c>
      <c r="D53" s="2" t="s">
        <v>65</v>
      </c>
      <c r="E53" s="2"/>
      <c r="F53" s="2">
        <f>IF(Data!$H$2,IF(ISNUMBER(B53),B53,NA()),NA())</f>
        <v>304.56</v>
      </c>
      <c r="G53" s="2"/>
      <c r="H53" s="2"/>
      <c r="I53" s="2"/>
      <c r="J53" s="2"/>
      <c r="K53" s="2"/>
      <c r="L53" s="2"/>
      <c r="M53" s="2"/>
      <c r="N53" s="2"/>
      <c r="O53" s="2"/>
      <c r="P53" s="2"/>
    </row>
    <row r="54" spans="1:16" ht="21" customHeight="1">
      <c r="A54" s="14">
        <v>46017</v>
      </c>
      <c r="B54" s="10">
        <v>305.08999999999997</v>
      </c>
      <c r="C54" s="2" t="s">
        <v>511</v>
      </c>
      <c r="D54" s="2" t="s">
        <v>65</v>
      </c>
      <c r="E54" s="2"/>
      <c r="F54" s="2">
        <f>IF(Data!$H$2,IF(ISNUMBER(B54),B54,NA()),NA())</f>
        <v>305.08999999999997</v>
      </c>
      <c r="G54" s="2"/>
      <c r="H54" s="2"/>
      <c r="I54" s="2"/>
      <c r="J54" s="2"/>
      <c r="K54" s="2"/>
      <c r="L54" s="2"/>
      <c r="M54" s="2"/>
      <c r="N54" s="2"/>
      <c r="O54" s="2"/>
      <c r="P54" s="2"/>
    </row>
    <row r="55" spans="1:16" ht="21" customHeight="1">
      <c r="A55" s="14">
        <v>46020</v>
      </c>
      <c r="B55" s="10">
        <v>305.74</v>
      </c>
      <c r="C55" s="2" t="s">
        <v>511</v>
      </c>
      <c r="D55" s="2" t="s">
        <v>65</v>
      </c>
      <c r="E55" s="2"/>
      <c r="F55" s="2">
        <f>IF(Data!$H$2,IF(ISNUMBER(B55),B55,NA()),NA())</f>
        <v>305.74</v>
      </c>
      <c r="G55" s="2"/>
      <c r="H55" s="2"/>
      <c r="I55" s="2"/>
      <c r="J55" s="2"/>
      <c r="K55" s="2"/>
      <c r="L55" s="2"/>
      <c r="M55" s="2"/>
      <c r="N55" s="2"/>
      <c r="O55" s="2"/>
      <c r="P55" s="2"/>
    </row>
    <row r="56" spans="1:16" ht="21" customHeight="1">
      <c r="A56" s="14">
        <v>46021</v>
      </c>
      <c r="B56" s="10">
        <v>302.05</v>
      </c>
      <c r="C56" s="2" t="s">
        <v>511</v>
      </c>
      <c r="D56" s="2" t="s">
        <v>65</v>
      </c>
      <c r="E56" s="2"/>
      <c r="F56" s="2">
        <f>IF(Data!$H$2,IF(ISNUMBER(B56),B56,NA()),NA())</f>
        <v>302.05</v>
      </c>
      <c r="G56" s="2"/>
      <c r="H56" s="2"/>
      <c r="I56" s="2"/>
      <c r="J56" s="2"/>
      <c r="K56" s="2"/>
      <c r="L56" s="2"/>
      <c r="M56" s="2"/>
      <c r="N56" s="2"/>
      <c r="O56" s="2"/>
      <c r="P56" s="2"/>
    </row>
    <row r="57" spans="1:16" ht="21" customHeight="1">
      <c r="A57" s="14">
        <v>46022</v>
      </c>
      <c r="B57" s="10">
        <v>296.20999999999998</v>
      </c>
      <c r="C57" s="2" t="s">
        <v>511</v>
      </c>
      <c r="D57" s="2" t="s">
        <v>65</v>
      </c>
      <c r="E57" s="2"/>
      <c r="F57" s="2">
        <f>IF(Data!$H$2,IF(ISNUMBER(B57),B57,NA()),NA())</f>
        <v>296.20999999999998</v>
      </c>
      <c r="G57" s="2"/>
      <c r="H57" s="2"/>
      <c r="I57" s="2"/>
      <c r="J57" s="2"/>
      <c r="K57" s="2"/>
      <c r="L57" s="2"/>
      <c r="M57" s="2"/>
      <c r="N57" s="2"/>
      <c r="O57" s="2"/>
      <c r="P57" s="2"/>
    </row>
    <row r="58" spans="1:16" ht="21" customHeight="1">
      <c r="A58" s="14">
        <v>46024</v>
      </c>
      <c r="B58" s="10">
        <v>291.5</v>
      </c>
      <c r="C58" s="2" t="s">
        <v>511</v>
      </c>
      <c r="D58" s="2" t="s">
        <v>65</v>
      </c>
      <c r="E58" s="2"/>
      <c r="F58" s="2">
        <f>IF(Data!$H$2,IF(ISNUMBER(B58),B58,NA()),NA())</f>
        <v>291.5</v>
      </c>
      <c r="G58" s="2"/>
      <c r="H58" s="2"/>
      <c r="I58" s="2"/>
      <c r="J58" s="2"/>
      <c r="K58" s="2"/>
      <c r="L58" s="2"/>
      <c r="M58" s="2"/>
      <c r="N58" s="2"/>
      <c r="O58" s="2"/>
      <c r="P58" s="2"/>
    </row>
    <row r="59" spans="1:16" ht="21" customHeight="1">
      <c r="A59" s="14">
        <v>46027</v>
      </c>
      <c r="B59" s="10">
        <v>294.97000000000003</v>
      </c>
      <c r="C59" s="2" t="s">
        <v>511</v>
      </c>
      <c r="D59" s="2" t="s">
        <v>65</v>
      </c>
      <c r="E59" s="2"/>
      <c r="F59" s="2">
        <f>IF(Data!$H$2,IF(ISNUMBER(B59),B59,NA()),NA())</f>
        <v>294.97000000000003</v>
      </c>
      <c r="G59" s="2"/>
      <c r="H59" s="2"/>
      <c r="I59" s="2"/>
      <c r="J59" s="2"/>
      <c r="K59" s="2"/>
      <c r="L59" s="2"/>
      <c r="M59" s="2"/>
      <c r="N59" s="2"/>
      <c r="O59" s="2"/>
      <c r="P59" s="2"/>
    </row>
    <row r="60" spans="1:16" ht="21" customHeight="1">
      <c r="A60" s="14">
        <v>46028</v>
      </c>
      <c r="B60" s="10">
        <v>302.47000000000003</v>
      </c>
      <c r="C60" s="2" t="s">
        <v>511</v>
      </c>
      <c r="D60" s="2" t="s">
        <v>65</v>
      </c>
      <c r="E60" s="2"/>
      <c r="F60" s="2">
        <f>IF(Data!$H$2,IF(ISNUMBER(B60),B60,NA()),NA())</f>
        <v>302.47000000000003</v>
      </c>
      <c r="G60" s="2"/>
      <c r="H60" s="2"/>
      <c r="I60" s="2"/>
      <c r="J60" s="2"/>
      <c r="K60" s="2"/>
      <c r="L60" s="2"/>
      <c r="M60" s="2"/>
      <c r="N60" s="2"/>
      <c r="O60" s="2"/>
      <c r="P60" s="2"/>
    </row>
    <row r="61" spans="1:16" ht="21" customHeight="1">
      <c r="A61" s="14">
        <v>46029</v>
      </c>
      <c r="B61" s="10">
        <v>296.73</v>
      </c>
      <c r="C61" s="2" t="s">
        <v>511</v>
      </c>
      <c r="D61" s="2" t="s">
        <v>65</v>
      </c>
      <c r="E61" s="2"/>
      <c r="F61" s="2">
        <f>IF(Data!$H$2,IF(ISNUMBER(B61),B61,NA()),NA())</f>
        <v>296.73</v>
      </c>
      <c r="G61" s="2"/>
      <c r="H61" s="2"/>
      <c r="I61" s="2"/>
      <c r="J61" s="2"/>
      <c r="K61" s="2"/>
      <c r="L61" s="2"/>
      <c r="M61" s="2"/>
      <c r="N61" s="2"/>
      <c r="O61" s="2"/>
      <c r="P61" s="2"/>
    </row>
    <row r="62" spans="1:16" ht="21" customHeight="1">
      <c r="A62" s="14">
        <v>46030</v>
      </c>
      <c r="B62" s="10">
        <v>302.72000000000003</v>
      </c>
      <c r="C62" s="2" t="s">
        <v>511</v>
      </c>
      <c r="D62" s="2" t="s">
        <v>65</v>
      </c>
      <c r="E62" s="2"/>
      <c r="F62" s="2">
        <f>IF(Data!$H$2,IF(ISNUMBER(B62),B62,NA()),NA())</f>
        <v>302.72000000000003</v>
      </c>
      <c r="G62" s="2"/>
      <c r="H62" s="2"/>
      <c r="I62" s="2"/>
      <c r="J62" s="2"/>
      <c r="K62" s="2"/>
      <c r="L62" s="2"/>
      <c r="M62" s="2"/>
      <c r="N62" s="2"/>
      <c r="O62" s="2"/>
      <c r="P62" s="2"/>
    </row>
    <row r="63" spans="1:16" ht="21" customHeight="1">
      <c r="A63" s="14">
        <v>46031</v>
      </c>
      <c r="B63" s="10">
        <v>304.22000000000003</v>
      </c>
      <c r="C63" s="2" t="s">
        <v>511</v>
      </c>
      <c r="D63" s="2" t="s">
        <v>65</v>
      </c>
      <c r="E63" s="2"/>
      <c r="F63" s="2">
        <f>IF(Data!$H$2,IF(ISNUMBER(B63),B63,NA()),NA())</f>
        <v>304.22000000000003</v>
      </c>
      <c r="G63" s="2"/>
      <c r="H63" s="2"/>
      <c r="I63" s="2"/>
      <c r="J63" s="2"/>
      <c r="K63" s="2"/>
      <c r="L63" s="2"/>
      <c r="M63" s="2"/>
      <c r="N63" s="2"/>
      <c r="O63" s="2"/>
      <c r="P63" s="2"/>
    </row>
    <row r="64" spans="1:16" ht="21" customHeight="1">
      <c r="A64" s="14">
        <v>46034</v>
      </c>
      <c r="B64" s="10">
        <v>312.18</v>
      </c>
      <c r="C64" s="2" t="s">
        <v>511</v>
      </c>
      <c r="D64" s="2" t="s">
        <v>65</v>
      </c>
      <c r="E64" s="2"/>
      <c r="F64" s="2">
        <f>IF(Data!$H$2,IF(ISNUMBER(B64),B64,NA()),NA())</f>
        <v>312.18</v>
      </c>
      <c r="G64" s="2"/>
      <c r="H64" s="2"/>
      <c r="I64" s="2"/>
      <c r="J64" s="2"/>
      <c r="K64" s="2"/>
      <c r="L64" s="2"/>
      <c r="M64" s="2"/>
      <c r="N64" s="2"/>
      <c r="O64" s="2"/>
      <c r="P64" s="2"/>
    </row>
    <row r="65" spans="1:16" ht="21" customHeight="1">
      <c r="A65" s="14">
        <v>46035</v>
      </c>
      <c r="B65" s="10">
        <v>303.16000000000003</v>
      </c>
      <c r="C65" s="2" t="s">
        <v>511</v>
      </c>
      <c r="D65" s="2" t="s">
        <v>65</v>
      </c>
      <c r="E65" s="2"/>
      <c r="F65" s="2">
        <f>IF(Data!$H$2,IF(ISNUMBER(B65),B65,NA()),NA())</f>
        <v>303.16000000000003</v>
      </c>
      <c r="G65" s="2"/>
      <c r="H65" s="2"/>
      <c r="I65" s="2"/>
      <c r="J65" s="2"/>
      <c r="K65" s="2"/>
      <c r="L65" s="2"/>
      <c r="M65" s="2"/>
      <c r="N65" s="2"/>
      <c r="O65" s="2"/>
      <c r="P65" s="2"/>
    </row>
    <row r="66" spans="1:16" ht="21" customHeight="1">
      <c r="A66" s="14">
        <v>46036</v>
      </c>
      <c r="B66" s="10">
        <v>309.02999999999997</v>
      </c>
      <c r="C66" s="2" t="s">
        <v>511</v>
      </c>
      <c r="D66" s="2" t="s">
        <v>65</v>
      </c>
      <c r="E66" s="2"/>
      <c r="F66" s="2">
        <f>IF(Data!$H$2,IF(ISNUMBER(B66),B66,NA()),NA())</f>
        <v>309.02999999999997</v>
      </c>
      <c r="G66" s="2"/>
      <c r="H66" s="2"/>
      <c r="I66" s="2"/>
      <c r="J66" s="2"/>
      <c r="K66" s="2"/>
      <c r="L66" s="2"/>
      <c r="M66" s="2"/>
      <c r="N66" s="2"/>
      <c r="O66" s="2"/>
      <c r="P66" s="2"/>
    </row>
    <row r="67" spans="1:16" ht="21" customHeight="1">
      <c r="A67" s="14">
        <v>46037</v>
      </c>
      <c r="B67" s="10">
        <v>297.95</v>
      </c>
      <c r="C67" s="2" t="s">
        <v>511</v>
      </c>
      <c r="D67" s="2" t="s">
        <v>65</v>
      </c>
      <c r="E67" s="2"/>
      <c r="F67" s="2">
        <f>IF(Data!$H$2,IF(ISNUMBER(B67),B67,NA()),NA())</f>
        <v>297.95</v>
      </c>
      <c r="G67" s="2"/>
      <c r="H67" s="2"/>
      <c r="I67" s="2"/>
      <c r="J67" s="2"/>
      <c r="K67" s="2"/>
      <c r="L67" s="2"/>
      <c r="M67" s="2"/>
      <c r="N67" s="2"/>
      <c r="O67" s="2"/>
      <c r="P67" s="2"/>
    </row>
    <row r="68" spans="1:16" ht="21" customHeight="1">
      <c r="A68" s="14">
        <v>46038</v>
      </c>
      <c r="B68" s="10">
        <v>305.67</v>
      </c>
      <c r="C68" s="2" t="s">
        <v>511</v>
      </c>
      <c r="D68" s="2" t="s">
        <v>65</v>
      </c>
      <c r="E68" s="2"/>
      <c r="F68" s="2">
        <f>IF(Data!$H$2,IF(ISNUMBER(B68),B68,NA()),NA())</f>
        <v>305.67</v>
      </c>
      <c r="G68" s="2"/>
      <c r="H68" s="2"/>
      <c r="I68" s="2"/>
      <c r="J68" s="2"/>
      <c r="K68" s="2"/>
      <c r="L68" s="2"/>
      <c r="M68" s="2"/>
      <c r="N68" s="2"/>
      <c r="O68" s="2"/>
      <c r="P68" s="2"/>
    </row>
    <row r="69" spans="1:16" ht="21" customHeight="1">
      <c r="A69" s="14">
        <v>46042</v>
      </c>
      <c r="B69" s="10">
        <v>291.35000000000002</v>
      </c>
      <c r="C69" s="2" t="s">
        <v>511</v>
      </c>
      <c r="D69" s="2" t="s">
        <v>65</v>
      </c>
      <c r="E69" s="2"/>
      <c r="F69" s="2">
        <f>IF(Data!$H$2,IF(ISNUMBER(B69),B69,NA()),NA())</f>
        <v>291.35000000000002</v>
      </c>
      <c r="G69" s="2"/>
      <c r="H69" s="2"/>
      <c r="I69" s="2"/>
      <c r="J69" s="2"/>
      <c r="K69" s="2"/>
      <c r="L69" s="2"/>
      <c r="M69" s="2"/>
      <c r="N69" s="2"/>
      <c r="O69" s="2"/>
      <c r="P69" s="2"/>
    </row>
    <row r="70" spans="1:16" ht="21" customHeight="1">
      <c r="A70" s="14">
        <v>46043</v>
      </c>
      <c r="B70" s="10">
        <v>297.54000000000002</v>
      </c>
      <c r="C70" s="2" t="s">
        <v>511</v>
      </c>
      <c r="D70" s="2" t="s">
        <v>65</v>
      </c>
      <c r="E70" s="2"/>
      <c r="F70" s="2">
        <f>IF(Data!$H$2,IF(ISNUMBER(B70),B70,NA()),NA())</f>
        <v>297.54000000000002</v>
      </c>
      <c r="G70" s="2"/>
      <c r="H70" s="2"/>
      <c r="I70" s="2"/>
      <c r="J70" s="2"/>
      <c r="K70" s="2"/>
      <c r="L70" s="2"/>
      <c r="M70" s="2"/>
      <c r="N70" s="2"/>
      <c r="O70" s="2"/>
      <c r="P70" s="2"/>
    </row>
    <row r="71" spans="1:16" ht="21" customHeight="1">
      <c r="A71" s="14">
        <v>46044</v>
      </c>
      <c r="B71" s="10">
        <v>294.67</v>
      </c>
      <c r="C71" s="2" t="s">
        <v>511</v>
      </c>
      <c r="D71" s="2" t="s">
        <v>65</v>
      </c>
      <c r="E71" s="2"/>
      <c r="F71" s="2">
        <f>IF(Data!$H$2,IF(ISNUMBER(B71),B71,NA()),NA())</f>
        <v>294.67</v>
      </c>
      <c r="G71" s="2"/>
      <c r="H71" s="2"/>
      <c r="I71" s="2"/>
      <c r="J71" s="2"/>
      <c r="K71" s="2"/>
      <c r="L71" s="2"/>
      <c r="M71" s="2"/>
      <c r="N71" s="2"/>
      <c r="O71" s="2"/>
      <c r="P71" s="2"/>
    </row>
    <row r="72" spans="1:16" ht="21" customHeight="1">
      <c r="A72" s="14">
        <v>46045</v>
      </c>
      <c r="B72" s="10">
        <v>292.44</v>
      </c>
      <c r="C72" s="2" t="s">
        <v>511</v>
      </c>
      <c r="D72" s="2" t="s">
        <v>65</v>
      </c>
      <c r="E72" s="2"/>
      <c r="F72" s="2">
        <f>IF(Data!$H$2,IF(ISNUMBER(B72),B72,NA()),NA())</f>
        <v>292.44</v>
      </c>
      <c r="G72" s="2"/>
      <c r="H72" s="2"/>
      <c r="I72" s="2"/>
      <c r="J72" s="2"/>
      <c r="K72" s="2"/>
      <c r="L72" s="2"/>
      <c r="M72" s="2"/>
      <c r="N72" s="2"/>
      <c r="O72" s="2"/>
      <c r="P72" s="2"/>
    </row>
    <row r="73" spans="1:16" ht="21" customHeight="1">
      <c r="A73" s="14">
        <v>46048</v>
      </c>
      <c r="B73" s="10">
        <v>296.33</v>
      </c>
      <c r="C73" s="2" t="s">
        <v>511</v>
      </c>
      <c r="D73" s="2" t="s">
        <v>65</v>
      </c>
      <c r="E73" s="2"/>
      <c r="F73" s="2">
        <f>IF(Data!$H$2,IF(ISNUMBER(B73),B73,NA()),NA())</f>
        <v>296.33</v>
      </c>
      <c r="G73" s="2"/>
      <c r="H73" s="2"/>
      <c r="I73" s="2"/>
      <c r="J73" s="2"/>
      <c r="K73" s="2"/>
      <c r="L73" s="2"/>
      <c r="M73" s="2"/>
      <c r="N73" s="2"/>
      <c r="O73" s="2"/>
      <c r="P73" s="2"/>
    </row>
    <row r="74" spans="1:16" ht="21" customHeight="1">
      <c r="A74" s="14">
        <v>46049</v>
      </c>
      <c r="B74" s="10">
        <v>293.86</v>
      </c>
      <c r="C74" s="2" t="s">
        <v>511</v>
      </c>
      <c r="D74" s="2" t="s">
        <v>65</v>
      </c>
      <c r="E74" s="2"/>
      <c r="F74" s="2">
        <f>IF(Data!$H$2,IF(ISNUMBER(B74),B74,NA()),NA())</f>
        <v>293.86</v>
      </c>
      <c r="G74" s="2"/>
      <c r="H74" s="2"/>
      <c r="I74" s="2"/>
      <c r="J74" s="2"/>
      <c r="K74" s="2"/>
      <c r="L74" s="2"/>
      <c r="M74" s="2"/>
      <c r="N74" s="2"/>
      <c r="O74" s="2"/>
      <c r="P74" s="2"/>
    </row>
    <row r="75" spans="1:16" ht="21" customHeight="1">
      <c r="A75" s="14">
        <v>46050</v>
      </c>
      <c r="B75" s="10">
        <v>294.16000000000003</v>
      </c>
      <c r="C75" s="2" t="s">
        <v>511</v>
      </c>
      <c r="D75" s="2" t="s">
        <v>65</v>
      </c>
      <c r="E75" s="2"/>
      <c r="F75" s="2">
        <f>IF(Data!$H$2,IF(ISNUMBER(B75),B75,NA()),NA())</f>
        <v>294.16000000000003</v>
      </c>
      <c r="G75" s="2"/>
      <c r="H75" s="2"/>
      <c r="I75" s="2"/>
      <c r="J75" s="2"/>
      <c r="K75" s="2"/>
      <c r="L75" s="2"/>
      <c r="M75" s="2"/>
      <c r="N75" s="2"/>
      <c r="O75" s="2"/>
      <c r="P75" s="2"/>
    </row>
    <row r="76" spans="1:16" ht="21" customHeight="1">
      <c r="A76" s="14">
        <v>46051</v>
      </c>
      <c r="B76" s="10">
        <v>309.24</v>
      </c>
      <c r="C76" s="2" t="s">
        <v>511</v>
      </c>
      <c r="D76" s="2" t="s">
        <v>65</v>
      </c>
      <c r="E76" s="2"/>
      <c r="F76" s="2">
        <f>IF(Data!$H$2,IF(ISNUMBER(B76),B76,NA()),NA())</f>
        <v>309.24</v>
      </c>
      <c r="G76" s="2"/>
      <c r="H76" s="2"/>
      <c r="I76" s="2"/>
      <c r="J76" s="2"/>
      <c r="K76" s="2"/>
      <c r="L76" s="2"/>
      <c r="M76" s="2"/>
      <c r="N76" s="2"/>
      <c r="O76" s="2"/>
      <c r="P76" s="2"/>
    </row>
    <row r="77" spans="1:16" ht="21" customHeight="1">
      <c r="A77" s="14">
        <v>46052</v>
      </c>
      <c r="B77" s="10">
        <v>306.7</v>
      </c>
      <c r="C77" s="2" t="s">
        <v>511</v>
      </c>
      <c r="D77" s="2" t="s">
        <v>65</v>
      </c>
      <c r="E77" s="2"/>
      <c r="F77" s="2">
        <f>IF(Data!$H$2,IF(ISNUMBER(B77),B77,NA()),NA())</f>
        <v>306.7</v>
      </c>
      <c r="G77" s="2"/>
      <c r="H77" s="2"/>
      <c r="I77" s="2"/>
      <c r="J77" s="2"/>
      <c r="K77" s="2"/>
      <c r="L77" s="2"/>
      <c r="M77" s="2"/>
      <c r="N77" s="2"/>
      <c r="O77" s="2"/>
      <c r="P77" s="2"/>
    </row>
    <row r="78" spans="1:16" ht="21" customHeight="1">
      <c r="A78" s="14">
        <v>46055</v>
      </c>
      <c r="B78" s="10">
        <v>314.73</v>
      </c>
      <c r="C78" s="2" t="s">
        <v>511</v>
      </c>
      <c r="D78" s="2" t="s">
        <v>65</v>
      </c>
      <c r="E78" s="2"/>
      <c r="F78" s="2">
        <f>IF(Data!$H$2,IF(ISNUMBER(B78),B78,NA()),NA())</f>
        <v>314.73</v>
      </c>
      <c r="G78" s="2"/>
      <c r="H78" s="2"/>
      <c r="I78" s="2"/>
      <c r="J78" s="2"/>
      <c r="K78" s="2"/>
      <c r="L78" s="2"/>
      <c r="M78" s="2"/>
      <c r="N78" s="2"/>
      <c r="O78" s="2"/>
      <c r="P78" s="2"/>
    </row>
    <row r="79" spans="1:16" ht="21" customHeight="1">
      <c r="A79" s="14">
        <v>46056</v>
      </c>
      <c r="B79" s="10">
        <v>294.31</v>
      </c>
      <c r="C79" s="2" t="s">
        <v>511</v>
      </c>
      <c r="D79" s="2" t="s">
        <v>65</v>
      </c>
      <c r="E79" s="2"/>
      <c r="F79" s="2">
        <f>IF(Data!$H$2,IF(ISNUMBER(B79),B79,NA()),NA())</f>
        <v>294.31</v>
      </c>
      <c r="G79" s="2"/>
      <c r="H79" s="2"/>
      <c r="I79" s="2"/>
      <c r="J79" s="2"/>
      <c r="K79" s="2"/>
      <c r="L79" s="2"/>
      <c r="M79" s="2"/>
      <c r="N79" s="2"/>
      <c r="O79" s="2"/>
      <c r="P79" s="2"/>
    </row>
    <row r="80" spans="1:16" ht="21" customHeight="1">
      <c r="A80" s="14">
        <v>46057</v>
      </c>
      <c r="B80" s="10">
        <v>289.05</v>
      </c>
      <c r="C80" s="2" t="s">
        <v>511</v>
      </c>
      <c r="D80" s="2" t="s">
        <v>65</v>
      </c>
      <c r="E80" s="2"/>
      <c r="F80" s="2">
        <f>IF(Data!$H$2,IF(ISNUMBER(B80),B80,NA()),NA())</f>
        <v>289.05</v>
      </c>
      <c r="G80" s="2"/>
      <c r="H80" s="2"/>
      <c r="I80" s="2"/>
      <c r="J80" s="2"/>
      <c r="K80" s="2"/>
      <c r="L80" s="2"/>
      <c r="M80" s="2"/>
      <c r="N80" s="2"/>
      <c r="O80" s="2"/>
      <c r="P80" s="2"/>
    </row>
    <row r="81" spans="1:16" ht="21" customHeight="1">
      <c r="A81" s="14">
        <v>46058</v>
      </c>
      <c r="B81" s="10">
        <v>289.89</v>
      </c>
      <c r="C81" s="2" t="s">
        <v>511</v>
      </c>
      <c r="D81" s="2" t="s">
        <v>65</v>
      </c>
      <c r="E81" s="2"/>
      <c r="F81" s="2">
        <f>IF(Data!$H$2,IF(ISNUMBER(B81),B81,NA()),NA())</f>
        <v>289.89</v>
      </c>
      <c r="G81" s="2"/>
      <c r="H81" s="2"/>
      <c r="I81" s="2"/>
      <c r="J81" s="2"/>
      <c r="K81" s="2"/>
      <c r="L81" s="2"/>
      <c r="M81" s="2"/>
      <c r="N81" s="2"/>
      <c r="O81" s="2"/>
      <c r="P81" s="2"/>
    </row>
    <row r="82" spans="1:16" ht="21" customHeight="1">
      <c r="A82" s="14">
        <v>46059</v>
      </c>
      <c r="B82" s="10">
        <v>298.93</v>
      </c>
      <c r="C82" s="2" t="s">
        <v>511</v>
      </c>
      <c r="D82" s="2" t="s">
        <v>65</v>
      </c>
      <c r="E82" s="2"/>
      <c r="F82" s="2">
        <f>IF(Data!$H$2,IF(ISNUMBER(B82),B82,NA()),NA())</f>
        <v>298.93</v>
      </c>
      <c r="G82" s="2"/>
      <c r="H82" s="2"/>
      <c r="I82" s="2"/>
      <c r="J82" s="2"/>
      <c r="K82" s="2"/>
      <c r="L82" s="2"/>
      <c r="M82" s="2"/>
      <c r="N82" s="2"/>
      <c r="O82" s="2"/>
      <c r="P82" s="2"/>
    </row>
    <row r="83" spans="1:16" ht="21" customHeight="1">
      <c r="A83" s="14">
        <v>46062</v>
      </c>
      <c r="B83" s="10">
        <v>296.33999999999997</v>
      </c>
      <c r="C83" s="2" t="s">
        <v>511</v>
      </c>
      <c r="D83" s="2" t="s">
        <v>65</v>
      </c>
      <c r="E83" s="2"/>
      <c r="F83" s="2">
        <f>IF(Data!$H$2,IF(ISNUMBER(B83),B83,NA()),NA())</f>
        <v>296.33999999999997</v>
      </c>
      <c r="G83" s="2"/>
      <c r="H83" s="2"/>
      <c r="I83" s="2"/>
      <c r="J83" s="2"/>
      <c r="K83" s="2"/>
      <c r="L83" s="2"/>
      <c r="M83" s="2"/>
      <c r="N83" s="2"/>
      <c r="O83" s="2"/>
      <c r="P83" s="2"/>
    </row>
    <row r="84" spans="1:16" ht="21" customHeight="1">
      <c r="A84" s="14">
        <v>46063</v>
      </c>
      <c r="B84" s="10">
        <v>291.76</v>
      </c>
      <c r="C84" s="2" t="s">
        <v>511</v>
      </c>
      <c r="D84" s="2" t="s">
        <v>65</v>
      </c>
      <c r="E84" s="2"/>
      <c r="F84" s="2">
        <f>IF(Data!$H$2,IF(ISNUMBER(B84),B84,NA()),NA())</f>
        <v>291.76</v>
      </c>
      <c r="G84" s="2"/>
      <c r="H84" s="2"/>
      <c r="I84" s="2"/>
      <c r="J84" s="2"/>
      <c r="K84" s="2"/>
      <c r="L84" s="2"/>
      <c r="M84" s="2"/>
      <c r="N84" s="2"/>
      <c r="O84" s="2"/>
      <c r="P84" s="2"/>
    </row>
    <row r="85" spans="1:16" ht="21" customHeight="1">
      <c r="A85" s="14">
        <v>46064</v>
      </c>
      <c r="B85" s="10">
        <v>272.81</v>
      </c>
      <c r="C85" s="2" t="s">
        <v>511</v>
      </c>
      <c r="D85" s="2" t="s">
        <v>65</v>
      </c>
      <c r="E85" s="2"/>
      <c r="F85" s="2">
        <f>IF(Data!$H$2,IF(ISNUMBER(B85),B85,NA()),NA())</f>
        <v>272.81</v>
      </c>
      <c r="G85" s="2"/>
      <c r="H85" s="2"/>
      <c r="I85" s="2"/>
      <c r="J85" s="2"/>
      <c r="K85" s="2"/>
      <c r="L85" s="2"/>
      <c r="M85" s="2"/>
      <c r="N85" s="2"/>
      <c r="O85" s="2"/>
      <c r="P85" s="2"/>
    </row>
    <row r="86" spans="1:16" ht="21" customHeight="1">
      <c r="A86" s="14">
        <v>46065</v>
      </c>
      <c r="B86" s="10">
        <v>259.52</v>
      </c>
      <c r="C86" s="2" t="s">
        <v>511</v>
      </c>
      <c r="D86" s="2" t="s">
        <v>65</v>
      </c>
      <c r="E86" s="2"/>
      <c r="F86" s="2">
        <f>IF(Data!$H$2,IF(ISNUMBER(B86),B86,NA()),NA())</f>
        <v>259.52</v>
      </c>
      <c r="G86" s="2"/>
      <c r="H86" s="2"/>
      <c r="I86" s="2"/>
      <c r="J86" s="2"/>
      <c r="K86" s="2"/>
      <c r="L86" s="2"/>
      <c r="M86" s="2"/>
      <c r="N86" s="2"/>
      <c r="O86" s="2"/>
      <c r="P86" s="2"/>
    </row>
    <row r="87" spans="1:16" ht="21" customHeight="1">
      <c r="A87" s="14">
        <v>46066</v>
      </c>
      <c r="B87" s="10">
        <v>262.38</v>
      </c>
      <c r="C87" s="2" t="s">
        <v>511</v>
      </c>
      <c r="D87" s="2" t="s">
        <v>65</v>
      </c>
      <c r="E87" s="2"/>
      <c r="F87" s="2">
        <f>IF(Data!$H$2,IF(ISNUMBER(B87),B87,NA()),NA())</f>
        <v>262.38</v>
      </c>
      <c r="G87" s="2"/>
      <c r="H87" s="2"/>
      <c r="I87" s="2"/>
      <c r="J87" s="2"/>
      <c r="K87" s="2"/>
      <c r="L87" s="2"/>
      <c r="M87" s="2"/>
      <c r="N87" s="2"/>
      <c r="O87" s="2"/>
      <c r="P87" s="2"/>
    </row>
    <row r="88" spans="1:16" ht="21" customHeight="1">
      <c r="A88" s="14">
        <v>46070</v>
      </c>
      <c r="B88" s="10">
        <v>258.31</v>
      </c>
      <c r="C88" s="2" t="s">
        <v>511</v>
      </c>
      <c r="D88" s="2" t="s">
        <v>65</v>
      </c>
      <c r="E88" s="2"/>
      <c r="F88" s="2">
        <f>IF(Data!$H$2,IF(ISNUMBER(B88),B88,NA()),NA())</f>
        <v>258.31</v>
      </c>
      <c r="G88" s="2"/>
      <c r="H88" s="2"/>
      <c r="I88" s="2"/>
      <c r="J88" s="2"/>
      <c r="K88" s="2"/>
      <c r="L88" s="2"/>
      <c r="M88" s="2"/>
      <c r="N88" s="2"/>
      <c r="O88" s="2"/>
      <c r="P88" s="2"/>
    </row>
    <row r="89" spans="1:16" ht="21" customHeight="1">
      <c r="A89" s="14">
        <v>46071</v>
      </c>
      <c r="B89" s="10">
        <v>260.79000000000002</v>
      </c>
      <c r="C89" s="2" t="s">
        <v>511</v>
      </c>
      <c r="D89" s="2" t="s">
        <v>65</v>
      </c>
      <c r="E89" s="2"/>
      <c r="F89" s="2">
        <f>IF(Data!$H$2,IF(ISNUMBER(B89),B89,NA()),NA())</f>
        <v>260.79000000000002</v>
      </c>
      <c r="G89" s="2"/>
      <c r="H89" s="2"/>
      <c r="I89" s="2"/>
      <c r="J89" s="2"/>
      <c r="K89" s="2"/>
      <c r="L89" s="2"/>
      <c r="M89" s="2"/>
      <c r="N89" s="2"/>
      <c r="O89" s="2"/>
      <c r="P89" s="2"/>
    </row>
    <row r="90" spans="1:16" ht="21" customHeight="1">
      <c r="A90" s="14">
        <v>46072</v>
      </c>
      <c r="B90" s="10">
        <v>256.27999999999997</v>
      </c>
      <c r="C90" s="2" t="s">
        <v>511</v>
      </c>
      <c r="D90" s="2" t="s">
        <v>65</v>
      </c>
      <c r="E90" s="2"/>
      <c r="F90" s="2">
        <f>IF(Data!$H$2,IF(ISNUMBER(B90),B90,NA()),NA())</f>
        <v>256.27999999999997</v>
      </c>
      <c r="G90" s="2"/>
      <c r="H90" s="2"/>
      <c r="I90" s="2"/>
      <c r="J90" s="2"/>
      <c r="K90" s="2"/>
      <c r="L90" s="2"/>
      <c r="M90" s="2"/>
      <c r="N90" s="2"/>
      <c r="O90" s="2"/>
      <c r="P90" s="2"/>
    </row>
    <row r="91" spans="1:16" ht="21" customHeight="1">
      <c r="A91" s="14">
        <v>46073</v>
      </c>
      <c r="B91" s="10">
        <v>257.16000000000003</v>
      </c>
      <c r="C91" s="2" t="s">
        <v>511</v>
      </c>
      <c r="D91" s="2" t="s">
        <v>65</v>
      </c>
      <c r="E91" s="2"/>
      <c r="F91" s="2">
        <f>IF(Data!$H$2,IF(ISNUMBER(B91),B91,NA()),NA())</f>
        <v>257.16000000000003</v>
      </c>
      <c r="G91" s="2"/>
      <c r="H91" s="2"/>
      <c r="I91" s="2"/>
      <c r="J91" s="2"/>
      <c r="K91" s="2"/>
      <c r="L91" s="2"/>
      <c r="M91" s="2"/>
      <c r="N91" s="2"/>
      <c r="O91" s="2"/>
      <c r="P91" s="2"/>
    </row>
    <row r="92" spans="1:16" ht="21" customHeight="1">
      <c r="A92" s="14">
        <v>46076</v>
      </c>
      <c r="B92" s="10">
        <v>223.35</v>
      </c>
      <c r="C92" s="2" t="s">
        <v>511</v>
      </c>
      <c r="D92" s="2" t="s">
        <v>65</v>
      </c>
      <c r="E92" s="2"/>
      <c r="F92" s="2">
        <f>IF(Data!$H$2,IF(ISNUMBER(B92),B92,NA()),NA())</f>
        <v>223.35</v>
      </c>
      <c r="G92" s="2"/>
      <c r="H92" s="2"/>
      <c r="I92" s="2"/>
      <c r="J92" s="2"/>
      <c r="K92" s="2"/>
      <c r="L92" s="2"/>
      <c r="M92" s="2"/>
      <c r="N92" s="2"/>
      <c r="O92" s="2"/>
      <c r="P92" s="2"/>
    </row>
    <row r="93" spans="1:16" ht="21" customHeight="1">
      <c r="A93" s="14">
        <v>46077</v>
      </c>
      <c r="B93" s="10">
        <v>229.32</v>
      </c>
      <c r="C93" s="2" t="s">
        <v>511</v>
      </c>
      <c r="D93" s="2" t="s">
        <v>65</v>
      </c>
      <c r="E93" s="2"/>
      <c r="F93" s="2">
        <f>IF(Data!$H$2,IF(ISNUMBER(B93),B93,NA()),NA())</f>
        <v>229.32</v>
      </c>
      <c r="G93" s="2"/>
      <c r="H93" s="2"/>
      <c r="I93" s="2"/>
      <c r="J93" s="2"/>
      <c r="K93" s="2"/>
      <c r="L93" s="2"/>
      <c r="M93" s="2"/>
      <c r="N93" s="2"/>
      <c r="O93" s="2"/>
      <c r="P93" s="2"/>
    </row>
    <row r="94" spans="1:16" ht="21" customHeight="1">
      <c r="A94" s="14">
        <v>46078</v>
      </c>
      <c r="B94" s="10">
        <v>237.54</v>
      </c>
      <c r="C94" s="2" t="s">
        <v>511</v>
      </c>
      <c r="D94" s="2" t="s">
        <v>65</v>
      </c>
      <c r="E94" s="2"/>
      <c r="F94" s="2">
        <f>IF(Data!$H$2,IF(ISNUMBER(B94),B94,NA()),NA())</f>
        <v>237.54</v>
      </c>
      <c r="G94" s="2"/>
      <c r="H94" s="2"/>
      <c r="I94" s="2"/>
      <c r="J94" s="2"/>
      <c r="K94" s="2"/>
      <c r="L94" s="2"/>
      <c r="M94" s="2"/>
      <c r="N94" s="2"/>
      <c r="O94" s="2"/>
      <c r="P94" s="2"/>
    </row>
    <row r="95" spans="1:16" ht="21" customHeight="1">
      <c r="A95" s="14">
        <v>46079</v>
      </c>
      <c r="B95" s="10">
        <v>242.01</v>
      </c>
      <c r="C95" s="2" t="s">
        <v>511</v>
      </c>
      <c r="D95" s="2" t="s">
        <v>65</v>
      </c>
      <c r="E95" s="2"/>
      <c r="F95" s="2">
        <f>IF(Data!$H$2,IF(ISNUMBER(B95),B95,NA()),NA())</f>
        <v>242.01</v>
      </c>
      <c r="G95" s="2"/>
      <c r="H95" s="2"/>
      <c r="I95" s="2"/>
      <c r="J95" s="2"/>
      <c r="K95" s="2"/>
      <c r="L95" s="2"/>
      <c r="M95" s="2"/>
      <c r="N95" s="2"/>
      <c r="O95" s="2"/>
      <c r="P95" s="2"/>
    </row>
    <row r="96" spans="1:16" ht="21" customHeight="1">
      <c r="A96" s="14">
        <v>46080</v>
      </c>
      <c r="B96" s="10">
        <v>240.21</v>
      </c>
      <c r="C96" s="2" t="s">
        <v>511</v>
      </c>
      <c r="D96" s="2" t="s">
        <v>65</v>
      </c>
      <c r="E96" s="2"/>
      <c r="F96" s="2">
        <f>IF(Data!$H$2,IF(ISNUMBER(B96),B96,NA()),NA())</f>
        <v>240.21</v>
      </c>
      <c r="G96" s="2"/>
      <c r="H96" s="2"/>
      <c r="I96" s="2"/>
      <c r="J96" s="2"/>
      <c r="K96" s="2"/>
      <c r="L96" s="2"/>
      <c r="M96" s="2"/>
      <c r="N96" s="2"/>
      <c r="O96" s="2"/>
      <c r="P96" s="2"/>
    </row>
    <row r="97" spans="1:16" ht="21" customHeight="1">
      <c r="A97" s="14">
        <v>46083</v>
      </c>
      <c r="B97" s="10">
        <v>239.37</v>
      </c>
      <c r="C97" s="2" t="s">
        <v>511</v>
      </c>
      <c r="D97" s="2" t="s">
        <v>65</v>
      </c>
      <c r="E97" s="2"/>
      <c r="F97" s="2">
        <f>IF(Data!$H$2,IF(ISNUMBER(B97),B97,NA()),NA())</f>
        <v>239.37</v>
      </c>
      <c r="G97" s="2"/>
      <c r="H97" s="2"/>
      <c r="I97" s="2"/>
      <c r="J97" s="2"/>
      <c r="K97" s="2"/>
      <c r="L97" s="2"/>
      <c r="M97" s="2"/>
      <c r="N97" s="2"/>
      <c r="O97" s="2"/>
      <c r="P97" s="2"/>
    </row>
    <row r="98" spans="1:16" ht="21" customHeight="1">
      <c r="A98" s="14">
        <v>46084</v>
      </c>
      <c r="B98" s="10">
        <v>245.28</v>
      </c>
      <c r="C98" s="2" t="s">
        <v>511</v>
      </c>
      <c r="D98" s="2" t="s">
        <v>65</v>
      </c>
      <c r="E98" s="2"/>
      <c r="F98" s="2">
        <f>IF(Data!$H$2,IF(ISNUMBER(B98),B98,NA()),NA())</f>
        <v>245.28</v>
      </c>
      <c r="G98" s="2"/>
      <c r="H98" s="2"/>
      <c r="I98" s="2"/>
      <c r="J98" s="2"/>
      <c r="K98" s="2"/>
      <c r="L98" s="2"/>
      <c r="M98" s="2"/>
      <c r="N98" s="2"/>
      <c r="O98" s="2"/>
      <c r="P98" s="2"/>
    </row>
    <row r="99" spans="1:16" ht="21" customHeight="1">
      <c r="A99" s="14">
        <v>46085</v>
      </c>
      <c r="B99" s="10">
        <v>250.06</v>
      </c>
      <c r="C99" s="2" t="s">
        <v>511</v>
      </c>
      <c r="D99" s="2" t="s">
        <v>65</v>
      </c>
      <c r="E99" s="2"/>
      <c r="F99" s="2">
        <f>IF(Data!$H$2,IF(ISNUMBER(B99),B99,NA()),NA())</f>
        <v>250.06</v>
      </c>
      <c r="G99" s="2"/>
      <c r="H99" s="2"/>
      <c r="I99" s="2"/>
      <c r="J99" s="2"/>
      <c r="K99" s="2"/>
      <c r="L99" s="2"/>
      <c r="M99" s="2"/>
      <c r="N99" s="2"/>
      <c r="O99" s="2"/>
      <c r="P99" s="2"/>
    </row>
    <row r="100" spans="1:16" ht="21" customHeight="1">
      <c r="A100" s="14">
        <v>46086</v>
      </c>
      <c r="B100" s="10">
        <v>256.55</v>
      </c>
      <c r="C100" s="2" t="s">
        <v>511</v>
      </c>
      <c r="D100" s="2" t="s">
        <v>65</v>
      </c>
      <c r="E100" s="2"/>
      <c r="F100" s="2">
        <f>IF(Data!$H$2,IF(ISNUMBER(B100),B100,NA()),NA())</f>
        <v>256.55</v>
      </c>
      <c r="G100" s="2"/>
      <c r="H100" s="2"/>
      <c r="I100" s="2"/>
      <c r="J100" s="2"/>
      <c r="K100" s="2"/>
      <c r="L100" s="2"/>
      <c r="M100" s="2"/>
      <c r="N100" s="2"/>
      <c r="O100" s="2"/>
      <c r="P100" s="2"/>
    </row>
    <row r="101" spans="1:16" ht="21" customHeight="1">
      <c r="A101" s="14">
        <v>46087</v>
      </c>
      <c r="B101" s="10">
        <v>258.85000000000002</v>
      </c>
      <c r="C101" s="2" t="s">
        <v>511</v>
      </c>
      <c r="D101" s="2" t="s">
        <v>65</v>
      </c>
      <c r="E101" s="2"/>
      <c r="F101" s="2">
        <f>IF(Data!$H$2,IF(ISNUMBER(B101),B101,NA()),NA())</f>
        <v>258.85000000000002</v>
      </c>
      <c r="G101" s="2"/>
      <c r="H101" s="2"/>
      <c r="I101" s="2"/>
      <c r="J101" s="2"/>
      <c r="K101" s="2"/>
      <c r="L101" s="2"/>
      <c r="M101" s="2"/>
      <c r="N101" s="2"/>
      <c r="O101" s="2"/>
      <c r="P101" s="2"/>
    </row>
    <row r="102" spans="1:16" ht="21" customHeight="1">
      <c r="A102" s="14">
        <v>46090</v>
      </c>
      <c r="B102" s="10">
        <v>253.33</v>
      </c>
      <c r="C102" s="2" t="s">
        <v>511</v>
      </c>
      <c r="D102" s="2" t="s">
        <v>65</v>
      </c>
      <c r="E102" s="2"/>
      <c r="F102" s="2">
        <f>IF(Data!$H$2,IF(ISNUMBER(B102),B102,NA()),NA())</f>
        <v>253.33</v>
      </c>
      <c r="G102" s="2"/>
      <c r="H102" s="2"/>
      <c r="I102" s="2"/>
      <c r="J102" s="2"/>
      <c r="K102" s="2"/>
      <c r="L102" s="2"/>
      <c r="M102" s="2"/>
      <c r="N102" s="2"/>
      <c r="O102" s="2"/>
      <c r="P102" s="2"/>
    </row>
    <row r="103" spans="1:16" ht="21" customHeight="1">
      <c r="A103" s="14">
        <v>46091</v>
      </c>
      <c r="B103" s="10">
        <v>250.2</v>
      </c>
      <c r="C103" s="2" t="s">
        <v>511</v>
      </c>
      <c r="D103" s="2" t="s">
        <v>65</v>
      </c>
      <c r="E103" s="2"/>
      <c r="F103" s="2">
        <f>IF(Data!$H$2,IF(ISNUMBER(B103),B103,NA()),NA())</f>
        <v>250.2</v>
      </c>
      <c r="G103" s="2"/>
      <c r="H103" s="2"/>
      <c r="I103" s="2"/>
      <c r="J103" s="2"/>
      <c r="K103" s="2"/>
      <c r="L103" s="2"/>
      <c r="M103" s="2"/>
      <c r="N103" s="2"/>
      <c r="O103" s="2"/>
      <c r="P103" s="2"/>
    </row>
    <row r="104" spans="1:16" ht="21" customHeight="1">
      <c r="A104" s="14">
        <v>46092</v>
      </c>
      <c r="B104" s="10">
        <v>248.87</v>
      </c>
      <c r="C104" s="2" t="s">
        <v>511</v>
      </c>
      <c r="D104" s="2" t="s">
        <v>65</v>
      </c>
      <c r="E104" s="2"/>
      <c r="F104" s="2">
        <f>IF(Data!$H$2,IF(ISNUMBER(B104),B104,NA()),NA())</f>
        <v>248.87</v>
      </c>
      <c r="G104" s="2"/>
      <c r="H104" s="2"/>
      <c r="I104" s="2"/>
      <c r="J104" s="2"/>
      <c r="K104" s="2"/>
      <c r="L104" s="2"/>
      <c r="M104" s="2"/>
      <c r="N104" s="2"/>
      <c r="O104" s="2"/>
      <c r="P104" s="2"/>
    </row>
    <row r="105" spans="1:16" ht="21" customHeight="1">
      <c r="A105" s="14">
        <v>46093</v>
      </c>
      <c r="B105" s="10">
        <v>247.68</v>
      </c>
      <c r="C105" s="2" t="s">
        <v>511</v>
      </c>
      <c r="D105" s="2" t="s">
        <v>65</v>
      </c>
      <c r="E105" s="2"/>
      <c r="F105" s="2">
        <f>IF(Data!$H$2,IF(ISNUMBER(B105),B105,NA()),NA())</f>
        <v>247.68</v>
      </c>
      <c r="G105" s="2"/>
      <c r="H105" s="2"/>
      <c r="I105" s="2"/>
      <c r="J105" s="2"/>
      <c r="K105" s="2"/>
      <c r="L105" s="2"/>
      <c r="M105" s="2"/>
      <c r="N105" s="2"/>
      <c r="O105" s="2"/>
      <c r="P105" s="2"/>
    </row>
    <row r="106" spans="1:16" ht="21" customHeight="1">
      <c r="A106" s="14">
        <v>46094</v>
      </c>
      <c r="B106" s="10">
        <v>246.28</v>
      </c>
      <c r="C106" s="2" t="s">
        <v>511</v>
      </c>
      <c r="D106" s="2" t="s">
        <v>65</v>
      </c>
      <c r="E106" s="2"/>
      <c r="F106" s="2">
        <f>IF(Data!$H$2,IF(ISNUMBER(B106),B106,NA()),NA())</f>
        <v>246.28</v>
      </c>
      <c r="G106" s="2"/>
      <c r="H106" s="2"/>
      <c r="I106" s="2"/>
      <c r="J106" s="2"/>
      <c r="K106" s="2"/>
      <c r="L106" s="2"/>
      <c r="M106" s="2"/>
      <c r="N106" s="2"/>
      <c r="O106" s="2"/>
      <c r="P106" s="2"/>
    </row>
    <row r="107" spans="1:16" ht="21" customHeight="1">
      <c r="A107" s="14">
        <v>46097</v>
      </c>
      <c r="B107" s="10">
        <v>249.25</v>
      </c>
      <c r="C107" s="2" t="s">
        <v>511</v>
      </c>
      <c r="D107" s="2" t="s">
        <v>65</v>
      </c>
      <c r="E107" s="2"/>
      <c r="F107" s="2">
        <f>IF(Data!$H$2,IF(ISNUMBER(B107),B107,NA()),NA())</f>
        <v>249.25</v>
      </c>
      <c r="G107" s="2"/>
      <c r="H107" s="2"/>
      <c r="I107" s="2"/>
      <c r="J107" s="2"/>
      <c r="K107" s="2"/>
      <c r="L107" s="2"/>
      <c r="M107" s="2"/>
      <c r="N107" s="2"/>
      <c r="O107" s="2"/>
      <c r="P107" s="2"/>
    </row>
    <row r="108" spans="1:16" ht="21" customHeight="1">
      <c r="A108" s="14">
        <v>46098</v>
      </c>
      <c r="B108" s="10">
        <v>256.11</v>
      </c>
      <c r="C108" s="2" t="s">
        <v>511</v>
      </c>
      <c r="D108" s="2" t="s">
        <v>65</v>
      </c>
      <c r="E108" s="2"/>
      <c r="F108" s="2">
        <f>IF(Data!$H$2,IF(ISNUMBER(B108),B108,NA()),NA())</f>
        <v>256.11</v>
      </c>
      <c r="G108" s="2"/>
      <c r="H108" s="2"/>
      <c r="I108" s="2"/>
      <c r="J108" s="2"/>
      <c r="K108" s="2"/>
      <c r="L108" s="2"/>
      <c r="M108" s="2"/>
      <c r="N108" s="2"/>
      <c r="O108" s="2"/>
      <c r="P108" s="2"/>
    </row>
    <row r="109" spans="1:16" ht="21" customHeight="1">
      <c r="A109" s="14">
        <v>46099</v>
      </c>
      <c r="B109" s="10">
        <v>251.6</v>
      </c>
      <c r="C109" s="2" t="s">
        <v>511</v>
      </c>
      <c r="D109" s="2" t="s">
        <v>65</v>
      </c>
      <c r="E109" s="2"/>
      <c r="F109" s="2">
        <f>IF(Data!$H$2,IF(ISNUMBER(B109),B109,NA()),NA())</f>
        <v>251.6</v>
      </c>
      <c r="G109" s="2"/>
      <c r="H109" s="2"/>
      <c r="I109" s="2"/>
      <c r="J109" s="2"/>
      <c r="K109" s="2"/>
      <c r="L109" s="2"/>
      <c r="M109" s="2"/>
      <c r="N109" s="2"/>
      <c r="O109" s="2"/>
      <c r="P109" s="2"/>
    </row>
    <row r="110" spans="1:16" ht="21" customHeight="1">
      <c r="A110" s="14">
        <v>46100</v>
      </c>
      <c r="B110" s="10">
        <v>250.37</v>
      </c>
      <c r="C110" s="2" t="s">
        <v>511</v>
      </c>
      <c r="D110" s="2" t="s">
        <v>65</v>
      </c>
      <c r="E110" s="2"/>
      <c r="F110" s="2">
        <f>IF(Data!$H$2,IF(ISNUMBER(B110),B110,NA()),NA())</f>
        <v>250.37</v>
      </c>
      <c r="G110" s="2"/>
      <c r="H110" s="2"/>
      <c r="I110" s="2"/>
      <c r="J110" s="2"/>
      <c r="K110" s="2"/>
      <c r="L110" s="2"/>
      <c r="M110" s="2"/>
      <c r="N110" s="2"/>
      <c r="O110" s="2"/>
      <c r="P110" s="2"/>
    </row>
    <row r="111" spans="1:16" ht="21" customHeight="1">
      <c r="A111" s="14">
        <v>46101</v>
      </c>
      <c r="B111" s="10">
        <v>241.77</v>
      </c>
      <c r="C111" s="2" t="s">
        <v>511</v>
      </c>
      <c r="D111" s="2" t="s">
        <v>65</v>
      </c>
      <c r="E111" s="2"/>
      <c r="F111" s="2">
        <f>IF(Data!$H$2,IF(ISNUMBER(B111),B111,NA()),NA())</f>
        <v>241.77</v>
      </c>
      <c r="G111" s="2"/>
      <c r="H111" s="2"/>
      <c r="I111" s="2"/>
      <c r="J111" s="2"/>
      <c r="K111" s="2"/>
      <c r="L111" s="2"/>
      <c r="M111" s="2"/>
      <c r="N111" s="2"/>
      <c r="O111" s="2"/>
      <c r="P111" s="2"/>
    </row>
    <row r="112" spans="1:16" ht="21" customHeight="1">
      <c r="A112" s="14">
        <v>46104</v>
      </c>
      <c r="B112" s="10">
        <v>248.44</v>
      </c>
      <c r="C112" s="2" t="s">
        <v>511</v>
      </c>
      <c r="D112" s="2" t="s">
        <v>65</v>
      </c>
      <c r="E112" s="2"/>
      <c r="F112" s="2">
        <f>IF(Data!$H$2,IF(ISNUMBER(B112),B112,NA()),NA())</f>
        <v>248.44</v>
      </c>
      <c r="G112" s="2"/>
      <c r="H112" s="2"/>
      <c r="I112" s="2"/>
      <c r="J112" s="2"/>
      <c r="K112" s="2"/>
      <c r="L112" s="2"/>
      <c r="M112" s="2"/>
      <c r="N112" s="2"/>
      <c r="O112" s="2"/>
      <c r="P112" s="2"/>
    </row>
    <row r="113" spans="1:16" ht="21" customHeight="1">
      <c r="A113" s="14">
        <v>46105</v>
      </c>
      <c r="B113" s="10">
        <v>240.59</v>
      </c>
      <c r="C113" s="2" t="s">
        <v>511</v>
      </c>
      <c r="D113" s="2" t="s">
        <v>65</v>
      </c>
      <c r="E113" s="2"/>
      <c r="F113" s="2">
        <f>IF(Data!$H$2,IF(ISNUMBER(B113),B113,NA()),NA())</f>
        <v>240.59</v>
      </c>
      <c r="G113" s="2"/>
      <c r="H113" s="2"/>
      <c r="I113" s="2"/>
      <c r="J113" s="2"/>
      <c r="K113" s="2"/>
      <c r="L113" s="2"/>
      <c r="M113" s="2"/>
      <c r="N113" s="2"/>
      <c r="O113" s="2"/>
      <c r="P113" s="2"/>
    </row>
    <row r="114" spans="1:16" ht="21" customHeight="1">
      <c r="A114" s="14">
        <v>46106</v>
      </c>
      <c r="B114" s="10">
        <v>241.39</v>
      </c>
      <c r="C114" s="2" t="s">
        <v>511</v>
      </c>
      <c r="D114" s="2" t="s">
        <v>65</v>
      </c>
      <c r="E114" s="2"/>
      <c r="F114" s="2">
        <f>IF(Data!$H$2,IF(ISNUMBER(B114),B114,NA()),NA())</f>
        <v>241.39</v>
      </c>
      <c r="G114" s="2"/>
      <c r="H114" s="2"/>
      <c r="I114" s="2"/>
      <c r="J114" s="2"/>
      <c r="K114" s="2"/>
      <c r="L114" s="2"/>
      <c r="M114" s="2"/>
      <c r="N114" s="2"/>
      <c r="O114" s="2"/>
      <c r="P114" s="2"/>
    </row>
    <row r="115" spans="1:16" ht="21" customHeight="1">
      <c r="A115" s="14">
        <v>46107</v>
      </c>
      <c r="B115" s="10">
        <v>241.67</v>
      </c>
      <c r="C115" s="2" t="s">
        <v>511</v>
      </c>
      <c r="D115" s="2" t="s">
        <v>65</v>
      </c>
      <c r="E115" s="2"/>
      <c r="F115" s="2">
        <f>IF(Data!$H$2,IF(ISNUMBER(B115),B115,NA()),NA())</f>
        <v>241.67</v>
      </c>
      <c r="G115" s="2"/>
      <c r="H115" s="2"/>
      <c r="I115" s="2"/>
      <c r="J115" s="2"/>
      <c r="K115" s="2"/>
      <c r="L115" s="2"/>
      <c r="M115" s="2"/>
      <c r="N115" s="2"/>
      <c r="O115" s="2"/>
      <c r="P115" s="2"/>
    </row>
    <row r="116" spans="1:16" ht="21" customHeight="1">
      <c r="A116" s="14">
        <v>46108</v>
      </c>
      <c r="B116" s="10">
        <v>236.34</v>
      </c>
      <c r="C116" s="2" t="s">
        <v>511</v>
      </c>
      <c r="D116" s="2" t="s">
        <v>65</v>
      </c>
      <c r="E116" s="2"/>
      <c r="F116" s="2">
        <f>IF(Data!$H$2,IF(ISNUMBER(B116),B116,NA()),NA())</f>
        <v>236.34</v>
      </c>
      <c r="G116" s="2"/>
      <c r="H116" s="2"/>
      <c r="I116" s="2"/>
      <c r="J116" s="2"/>
      <c r="K116" s="2"/>
      <c r="L116" s="2"/>
      <c r="M116" s="2"/>
      <c r="N116" s="2"/>
      <c r="O116" s="2"/>
      <c r="P116" s="2"/>
    </row>
    <row r="117" spans="1:16" ht="21" customHeight="1">
      <c r="A117" s="14">
        <v>46111</v>
      </c>
      <c r="B117" s="10">
        <v>237.25</v>
      </c>
      <c r="C117" s="2" t="s">
        <v>511</v>
      </c>
      <c r="D117" s="2" t="s">
        <v>65</v>
      </c>
      <c r="E117" s="2"/>
      <c r="F117" s="2">
        <f>IF(Data!$H$2,IF(ISNUMBER(B117),B117,NA()),NA())</f>
        <v>237.25</v>
      </c>
      <c r="G117" s="2"/>
      <c r="H117" s="2"/>
      <c r="I117" s="2"/>
      <c r="J117" s="2"/>
      <c r="K117" s="2"/>
      <c r="L117" s="2"/>
      <c r="M117" s="2"/>
      <c r="N117" s="2"/>
      <c r="O117" s="2"/>
      <c r="P117" s="2"/>
    </row>
    <row r="118" spans="1:16" ht="21" customHeight="1">
      <c r="A118" s="14">
        <v>46112</v>
      </c>
      <c r="B118" s="10">
        <v>242.39</v>
      </c>
      <c r="C118" s="2" t="s">
        <v>511</v>
      </c>
      <c r="D118" s="2" t="s">
        <v>65</v>
      </c>
      <c r="E118" s="2"/>
      <c r="F118" s="2">
        <f>IF(Data!$H$2,IF(ISNUMBER(B118),B118,NA()),NA())</f>
        <v>242.39</v>
      </c>
      <c r="G118" s="2"/>
      <c r="H118" s="2"/>
      <c r="I118" s="2"/>
      <c r="J118" s="2"/>
      <c r="K118" s="2"/>
      <c r="L118" s="2"/>
      <c r="M118" s="2"/>
      <c r="N118" s="2"/>
      <c r="O118" s="2"/>
      <c r="P118" s="2"/>
    </row>
    <row r="119" spans="1:16" ht="21" customHeight="1">
      <c r="A119" s="14">
        <v>46113</v>
      </c>
      <c r="B119" s="10">
        <v>243.14</v>
      </c>
      <c r="C119" s="2" t="s">
        <v>511</v>
      </c>
      <c r="D119" s="2" t="s">
        <v>65</v>
      </c>
      <c r="E119" s="2"/>
      <c r="F119" s="2">
        <f>IF(Data!$H$2,IF(ISNUMBER(B119),B119,NA()),NA())</f>
        <v>243.14</v>
      </c>
      <c r="G119" s="2"/>
      <c r="H119" s="2"/>
      <c r="I119" s="2"/>
      <c r="J119" s="2"/>
      <c r="K119" s="2"/>
      <c r="L119" s="2"/>
      <c r="M119" s="2"/>
      <c r="N119" s="2"/>
      <c r="O119" s="2"/>
      <c r="P119" s="2"/>
    </row>
    <row r="120" spans="1:16" ht="21" customHeight="1">
      <c r="A120" s="14">
        <v>46114</v>
      </c>
      <c r="B120" s="10">
        <v>248.16</v>
      </c>
      <c r="C120" s="2" t="s">
        <v>511</v>
      </c>
      <c r="D120" s="2" t="s">
        <v>65</v>
      </c>
      <c r="E120" s="2"/>
      <c r="F120" s="2">
        <f>IF(Data!$H$2,IF(ISNUMBER(B120),B120,NA()),NA())</f>
        <v>248.16</v>
      </c>
      <c r="G120" s="2"/>
      <c r="H120" s="2"/>
      <c r="I120" s="2"/>
      <c r="J120" s="2"/>
      <c r="K120" s="2"/>
      <c r="L120" s="2"/>
      <c r="M120" s="2"/>
      <c r="N120" s="2"/>
      <c r="O120" s="2"/>
      <c r="P120" s="2"/>
    </row>
    <row r="121" spans="1:16" ht="21" customHeight="1">
      <c r="A121" s="14">
        <v>46118</v>
      </c>
      <c r="B121" s="10">
        <v>246.74</v>
      </c>
      <c r="C121" s="2" t="s">
        <v>511</v>
      </c>
      <c r="D121" s="2" t="s">
        <v>65</v>
      </c>
      <c r="F121" s="2">
        <f>IF(Data!$H$2,IF(ISNUMBER(B121),B121,NA()),NA())</f>
        <v>246.74</v>
      </c>
    </row>
    <row r="122" spans="1:16" ht="21" customHeight="1">
      <c r="A122" s="16">
        <v>46119</v>
      </c>
      <c r="B122" s="11">
        <v>245.07</v>
      </c>
      <c r="C122" t="s">
        <v>511</v>
      </c>
      <c r="D122" t="s">
        <v>65</v>
      </c>
      <c r="F122" s="2">
        <f>IF(Data!$H$2,IF(ISNUMBER(B122),B122,NA()),NA())</f>
        <v>245.07</v>
      </c>
    </row>
    <row r="123" spans="1:16" ht="21" customHeight="1">
      <c r="A123" s="16">
        <v>46120</v>
      </c>
      <c r="B123" s="11">
        <v>241.74</v>
      </c>
      <c r="C123" t="s">
        <v>511</v>
      </c>
      <c r="D123" t="s">
        <v>65</v>
      </c>
      <c r="F123" s="2">
        <f>IF(Data!$H$2,IF(ISNUMBER(B123),B123,NA()),NA())</f>
        <v>241.74</v>
      </c>
    </row>
    <row r="124" spans="1:16" ht="21" customHeight="1">
      <c r="A124" s="16">
        <v>46121</v>
      </c>
      <c r="B124" s="11">
        <v>237.18</v>
      </c>
      <c r="C124" t="s">
        <v>511</v>
      </c>
      <c r="D124" t="s">
        <v>65</v>
      </c>
      <c r="F124" s="2">
        <f>IF(Data!$H$2,IF(ISNUMBER(B124),B124,NA()),NA())</f>
        <v>237.18</v>
      </c>
    </row>
    <row r="125" spans="1:16" ht="21" customHeight="1">
      <c r="A125" s="16">
        <v>46122</v>
      </c>
      <c r="B125" s="11">
        <v>230.76</v>
      </c>
      <c r="C125" t="s">
        <v>511</v>
      </c>
      <c r="D125" t="s">
        <v>65</v>
      </c>
      <c r="F125" s="2">
        <f>IF(Data!$H$2,IF(ISNUMBER(B125),B125,NA()),NA())</f>
        <v>230.76</v>
      </c>
    </row>
    <row r="126" spans="1:16" ht="21" customHeight="1">
      <c r="A126" s="16">
        <v>46125</v>
      </c>
      <c r="B126" s="11">
        <v>237.82</v>
      </c>
      <c r="C126" t="s">
        <v>511</v>
      </c>
      <c r="D126" t="s">
        <v>65</v>
      </c>
      <c r="F126" s="2">
        <f>IF(Data!$H$2,IF(ISNUMBER(B126),B126,NA()),NA())</f>
        <v>237.82</v>
      </c>
    </row>
    <row r="127" spans="1:16" ht="21" customHeight="1">
      <c r="A127" s="16">
        <v>46126</v>
      </c>
      <c r="B127" s="11">
        <v>240.27</v>
      </c>
      <c r="C127" t="s">
        <v>511</v>
      </c>
      <c r="D127" t="s">
        <v>65</v>
      </c>
      <c r="F127" s="2">
        <f>IF(Data!$H$2,IF(ISNUMBER(B127),B127,NA()),NA())</f>
        <v>240.27</v>
      </c>
    </row>
    <row r="128" spans="1:16" ht="21" customHeight="1">
      <c r="A128" s="16">
        <v>46127</v>
      </c>
      <c r="B128" s="11">
        <v>244.8</v>
      </c>
      <c r="C128" t="s">
        <v>511</v>
      </c>
      <c r="D128" t="s">
        <v>65</v>
      </c>
      <c r="F128" s="2">
        <f>IF(Data!$H$2,IF(ISNUMBER(B128),B128,NA()),NA())</f>
        <v>244.8</v>
      </c>
    </row>
    <row r="129" spans="1:6" ht="21" customHeight="1">
      <c r="A129" s="16">
        <v>46128</v>
      </c>
      <c r="B129" s="11">
        <v>251</v>
      </c>
      <c r="C129" t="s">
        <v>511</v>
      </c>
      <c r="D129" t="s">
        <v>65</v>
      </c>
      <c r="F129" s="2">
        <f>IF(Data!$H$2,IF(ISNUMBER(B129),B129,NA()),NA())</f>
        <v>251</v>
      </c>
    </row>
    <row r="130" spans="1:6" ht="21" customHeight="1">
      <c r="A130" s="16">
        <v>46129</v>
      </c>
      <c r="B130" s="11">
        <v>253.47</v>
      </c>
      <c r="C130" t="s">
        <v>511</v>
      </c>
      <c r="D130" t="s">
        <v>65</v>
      </c>
      <c r="F130" s="2">
        <f>IF(Data!$H$2,IF(ISNUMBER(B130),B130,NA()),NA())</f>
        <v>253.47</v>
      </c>
    </row>
    <row r="131" spans="1:6" ht="21" customHeight="1">
      <c r="A131" s="16">
        <v>46132</v>
      </c>
      <c r="B131" s="11">
        <v>253.71</v>
      </c>
      <c r="C131" t="s">
        <v>511</v>
      </c>
      <c r="D131" t="s">
        <v>65</v>
      </c>
      <c r="F131" s="2">
        <f>IF(Data!$H$2,IF(ISNUMBER(B131),B131,NA()),NA())</f>
        <v>253.71</v>
      </c>
    </row>
    <row r="132" spans="1:6" ht="21" customHeight="1">
      <c r="A132" s="16">
        <v>46133</v>
      </c>
      <c r="B132" s="11">
        <v>255.68</v>
      </c>
      <c r="C132" t="s">
        <v>511</v>
      </c>
      <c r="D132" t="s">
        <v>65</v>
      </c>
      <c r="F132" s="2">
        <f>IF(Data!$H$2,IF(ISNUMBER(B132),B132,NA()),NA())</f>
        <v>255.68</v>
      </c>
    </row>
    <row r="133" spans="1:6" ht="21" customHeight="1">
      <c r="A133" s="16">
        <v>46134</v>
      </c>
      <c r="B133" s="11">
        <v>251.86</v>
      </c>
      <c r="C133" t="s">
        <v>511</v>
      </c>
      <c r="D133" t="s">
        <v>65</v>
      </c>
      <c r="F133" s="2">
        <f>IF(Data!$H$2,IF(ISNUMBER(B133),B133,NA()),NA())</f>
        <v>251.86</v>
      </c>
    </row>
    <row r="134" spans="1:6" ht="21" customHeight="1">
      <c r="A134" s="16">
        <v>46135</v>
      </c>
      <c r="B134" s="11">
        <v>231.08</v>
      </c>
      <c r="C134" t="s">
        <v>511</v>
      </c>
      <c r="D134" t="s">
        <v>65</v>
      </c>
      <c r="F134" s="2">
        <f>IF(Data!$H$2,IF(ISNUMBER(B134),B134,NA()),NA())</f>
        <v>231.08</v>
      </c>
    </row>
    <row r="135" spans="1:6" ht="21" customHeight="1">
      <c r="A135" s="16">
        <v>46136</v>
      </c>
      <c r="B135" s="11">
        <v>231.98</v>
      </c>
      <c r="C135" t="s">
        <v>511</v>
      </c>
      <c r="D135" t="s">
        <v>65</v>
      </c>
      <c r="F135" s="2">
        <f>IF(Data!$H$2,IF(ISNUMBER(B135),B135,NA()),NA())</f>
        <v>231.98</v>
      </c>
    </row>
    <row r="136" spans="1:6" ht="21" customHeight="1">
      <c r="A136" s="16">
        <v>46139</v>
      </c>
      <c r="B136" s="11">
        <v>228.05</v>
      </c>
      <c r="C136" t="s">
        <v>511</v>
      </c>
      <c r="D136" t="s">
        <v>65</v>
      </c>
      <c r="F136" s="2">
        <f>IF(Data!$H$2,IF(ISNUMBER(B136),B136,NA()),NA())</f>
        <v>228.05</v>
      </c>
    </row>
    <row r="137" spans="1:6" ht="21" customHeight="1">
      <c r="A137" s="16">
        <v>46140</v>
      </c>
      <c r="B137" s="11">
        <v>233.04</v>
      </c>
      <c r="C137" t="s">
        <v>511</v>
      </c>
      <c r="D137" t="s">
        <v>65</v>
      </c>
      <c r="F137" s="2">
        <f>IF(Data!$H$2,IF(ISNUMBER(B137),B137,NA()),NA())</f>
        <v>233.04</v>
      </c>
    </row>
    <row r="138" spans="1:6" ht="21" customHeight="1">
      <c r="A138" s="16">
        <v>46141</v>
      </c>
      <c r="B138" s="11">
        <v>227.1</v>
      </c>
      <c r="C138" t="s">
        <v>511</v>
      </c>
      <c r="D138" t="s">
        <v>65</v>
      </c>
      <c r="F138" s="2">
        <f>IF(Data!$H$2,IF(ISNUMBER(B138),B138,NA()),NA())</f>
        <v>227.1</v>
      </c>
    </row>
    <row r="139" spans="1:6" ht="21" customHeight="1">
      <c r="A139" s="16">
        <v>46142</v>
      </c>
      <c r="B139" s="11">
        <v>230.98</v>
      </c>
      <c r="C139" t="s">
        <v>511</v>
      </c>
      <c r="D139" t="s">
        <v>65</v>
      </c>
      <c r="F139" s="2">
        <f>IF(Data!$H$2,IF(ISNUMBER(B139),B139,NA()),NA())</f>
        <v>230.98</v>
      </c>
    </row>
    <row r="140" spans="1:6" ht="21" customHeight="1">
      <c r="A140" s="16">
        <v>46143</v>
      </c>
      <c r="B140" s="11">
        <v>232.2</v>
      </c>
      <c r="C140" t="s">
        <v>511</v>
      </c>
      <c r="D140" t="s">
        <v>65</v>
      </c>
      <c r="F140" s="2">
        <f>IF(Data!$H$2,IF(ISNUMBER(B140),B140,NA()),NA())</f>
        <v>232.2</v>
      </c>
    </row>
    <row r="141" spans="1:6" ht="21" customHeight="1">
      <c r="A141" s="16">
        <v>46146</v>
      </c>
      <c r="B141" s="11">
        <v>229.48</v>
      </c>
      <c r="C141" t="s">
        <v>511</v>
      </c>
      <c r="D141" t="s">
        <v>65</v>
      </c>
      <c r="F141" s="2">
        <f>IF(Data!$H$2,IF(ISNUMBER(B141),B141,NA()),NA())</f>
        <v>229.48</v>
      </c>
    </row>
    <row r="142" spans="1:6" ht="21" customHeight="1">
      <c r="A142" s="16">
        <v>46147</v>
      </c>
      <c r="B142" s="11">
        <v>229.03</v>
      </c>
      <c r="C142" t="s">
        <v>511</v>
      </c>
      <c r="D142" t="s">
        <v>65</v>
      </c>
      <c r="F142" s="2">
        <f>IF(Data!$H$2,IF(ISNUMBER(B142),B142,NA()),NA())</f>
        <v>229.03</v>
      </c>
    </row>
    <row r="143" spans="1:6" ht="21" customHeight="1">
      <c r="A143" s="16">
        <v>46148</v>
      </c>
      <c r="B143" s="11">
        <v>225.74</v>
      </c>
      <c r="C143" t="s">
        <v>511</v>
      </c>
      <c r="D143" t="s">
        <v>65</v>
      </c>
      <c r="F143" s="2">
        <f>IF(Data!$H$2,IF(ISNUMBER(B143),B143,NA()),NA())</f>
        <v>225.74</v>
      </c>
    </row>
    <row r="144" spans="1:6" ht="21" customHeight="1">
      <c r="A144" s="16">
        <v>46149</v>
      </c>
      <c r="B144" s="11">
        <v>231.31</v>
      </c>
      <c r="C144" t="s">
        <v>511</v>
      </c>
      <c r="D144" t="s">
        <v>65</v>
      </c>
      <c r="F144" s="2">
        <f>IF(Data!$H$2,IF(ISNUMBER(B144),B144,NA()),NA())</f>
        <v>231.31</v>
      </c>
    </row>
    <row r="145" spans="1:6" ht="21" customHeight="1">
      <c r="A145" s="16">
        <v>46150</v>
      </c>
      <c r="B145" s="11">
        <v>229.76</v>
      </c>
      <c r="C145" t="s">
        <v>511</v>
      </c>
      <c r="D145" t="s">
        <v>65</v>
      </c>
      <c r="F145" s="2">
        <f>IF(Data!$H$2,IF(ISNUMBER(B145),B145,NA()),NA())</f>
        <v>229.76</v>
      </c>
    </row>
    <row r="146" spans="1:6" ht="21" customHeight="1">
      <c r="A146" s="16">
        <v>46153</v>
      </c>
      <c r="B146" s="11">
        <v>223.55</v>
      </c>
      <c r="C146" t="s">
        <v>511</v>
      </c>
      <c r="D146" t="s">
        <v>65</v>
      </c>
      <c r="F146" s="2">
        <f>IF(Data!$H$2,IF(ISNUMBER(B146),B146,NA()),NA())</f>
        <v>223.55</v>
      </c>
    </row>
    <row r="147" spans="1:6" ht="21" customHeight="1">
      <c r="A147" s="16">
        <v>46154</v>
      </c>
      <c r="B147" s="11">
        <v>219.22</v>
      </c>
      <c r="C147" t="s">
        <v>511</v>
      </c>
      <c r="D147" t="s">
        <v>65</v>
      </c>
      <c r="F147" s="2">
        <f>IF(Data!$H$2,IF(ISNUMBER(B147),B147,NA()),NA())</f>
        <v>219.22</v>
      </c>
    </row>
    <row r="148" spans="1:6" ht="21" customHeight="1">
      <c r="A148" s="16">
        <v>46155</v>
      </c>
      <c r="B148" s="11">
        <v>214.64</v>
      </c>
      <c r="C148" t="s">
        <v>511</v>
      </c>
      <c r="D148" t="s">
        <v>65</v>
      </c>
      <c r="F148" s="2">
        <f>IF(Data!$H$2,IF(ISNUMBER(B148),B148,NA()),NA())</f>
        <v>214.64</v>
      </c>
    </row>
    <row r="149" spans="1:6" ht="21" customHeight="1">
      <c r="A149" s="16">
        <v>46156</v>
      </c>
      <c r="B149" s="11">
        <v>218.37</v>
      </c>
      <c r="C149" t="s">
        <v>511</v>
      </c>
      <c r="D149" t="s">
        <v>65</v>
      </c>
      <c r="F149" s="2">
        <f>IF(Data!$H$2,IF(ISNUMBER(B149),B149,NA()),NA())</f>
        <v>218.37</v>
      </c>
    </row>
    <row r="150" spans="1:6" ht="21" customHeight="1">
      <c r="A150" s="16">
        <v>46157</v>
      </c>
      <c r="B150" s="11">
        <v>219.3</v>
      </c>
      <c r="C150" t="s">
        <v>511</v>
      </c>
      <c r="D150" t="s">
        <v>65</v>
      </c>
      <c r="F150" s="2">
        <f>IF(Data!$H$2,IF(ISNUMBER(B150),B150,NA()),NA())</f>
        <v>219.3</v>
      </c>
    </row>
    <row r="151" spans="1:6" ht="21" customHeight="1">
      <c r="A151" s="16">
        <v>46160</v>
      </c>
      <c r="B151" s="11">
        <v>222.75</v>
      </c>
      <c r="C151" t="s">
        <v>511</v>
      </c>
      <c r="D151" t="s">
        <v>65</v>
      </c>
      <c r="F151" s="2">
        <f>IF(Data!$H$2,IF(ISNUMBER(B151),B151,NA()),NA())</f>
        <v>222.75</v>
      </c>
    </row>
    <row r="152" spans="1:6" ht="21" customHeight="1">
      <c r="A152" s="16">
        <v>46161</v>
      </c>
      <c r="B152" s="11">
        <v>222.33</v>
      </c>
      <c r="C152" t="s">
        <v>511</v>
      </c>
      <c r="D152" t="s">
        <v>65</v>
      </c>
      <c r="F152" s="2">
        <f>IF(Data!$H$2,IF(ISNUMBER(B152),B152,NA()),NA())</f>
        <v>222.33</v>
      </c>
    </row>
    <row r="153" spans="1:6" ht="21" customHeight="1">
      <c r="A153" s="16">
        <v>46162</v>
      </c>
      <c r="B153" s="11">
        <v>225</v>
      </c>
      <c r="C153" t="s">
        <v>511</v>
      </c>
      <c r="D153" t="s">
        <v>65</v>
      </c>
      <c r="F153" s="2">
        <f>IF(Data!$H$2,IF(ISNUMBER(B153),B153,NA()),NA())</f>
        <v>225</v>
      </c>
    </row>
    <row r="154" spans="1:6" ht="21" customHeight="1">
      <c r="A154" s="16">
        <v>46163</v>
      </c>
      <c r="B154" s="11">
        <v>252.97</v>
      </c>
      <c r="C154" t="s">
        <v>511</v>
      </c>
      <c r="D154" t="s">
        <v>65</v>
      </c>
      <c r="F154" s="2">
        <f>IF(Data!$H$2,IF(ISNUMBER(B154),B154,NA()),NA())</f>
        <v>252.97</v>
      </c>
    </row>
    <row r="155" spans="1:6" ht="21" customHeight="1">
      <c r="A155" s="16">
        <v>46164</v>
      </c>
      <c r="B155" s="11">
        <v>253.84</v>
      </c>
      <c r="C155" t="s">
        <v>511</v>
      </c>
      <c r="D155" t="s">
        <v>65</v>
      </c>
      <c r="F155" s="2">
        <f>IF(Data!$H$2,IF(ISNUMBER(B155),B155,NA()),NA())</f>
        <v>253.84</v>
      </c>
    </row>
    <row r="156" spans="1:6" ht="21" customHeight="1">
      <c r="A156" s="16">
        <v>46168</v>
      </c>
      <c r="B156" s="11">
        <v>250.69</v>
      </c>
      <c r="C156" t="s">
        <v>511</v>
      </c>
      <c r="D156" t="s">
        <v>65</v>
      </c>
      <c r="F156" s="2">
        <f>IF(Data!$H$2,IF(ISNUMBER(B156),B156,NA()),NA())</f>
        <v>250.69</v>
      </c>
    </row>
    <row r="157" spans="1:6" ht="21" customHeight="1">
      <c r="A157" s="16">
        <v>46169</v>
      </c>
      <c r="B157" s="11">
        <v>255.2</v>
      </c>
      <c r="C157" t="s">
        <v>511</v>
      </c>
      <c r="D157" t="s">
        <v>65</v>
      </c>
      <c r="F157" s="2">
        <f>IF(Data!$H$2,IF(ISNUMBER(B157),B157,NA()),NA())</f>
        <v>255.2</v>
      </c>
    </row>
    <row r="158" spans="1:6" ht="21" customHeight="1">
      <c r="A158" s="16">
        <v>46170</v>
      </c>
      <c r="B158" s="11">
        <v>264.22000000000003</v>
      </c>
      <c r="C158" t="s">
        <v>511</v>
      </c>
      <c r="D158" t="s">
        <v>65</v>
      </c>
      <c r="F158" s="2">
        <f>IF(Data!$H$2,IF(ISNUMBER(B158),B158,NA()),NA())</f>
        <v>264.22000000000003</v>
      </c>
    </row>
    <row r="159" spans="1:6" ht="21" customHeight="1">
      <c r="A159" s="16">
        <v>46171</v>
      </c>
      <c r="B159" s="11">
        <v>297.8</v>
      </c>
      <c r="C159" t="s">
        <v>511</v>
      </c>
      <c r="D159" t="s">
        <v>65</v>
      </c>
      <c r="F159" s="2">
        <f>IF(Data!$H$2,IF(ISNUMBER(B159),B159,NA()),NA())</f>
        <v>297.8</v>
      </c>
    </row>
    <row r="160" spans="1:6" ht="21" customHeight="1">
      <c r="A160" s="16">
        <v>46174</v>
      </c>
      <c r="B160" s="11">
        <v>320.42</v>
      </c>
      <c r="C160" t="s">
        <v>511</v>
      </c>
      <c r="D160" t="s">
        <v>65</v>
      </c>
      <c r="F160" s="2">
        <f>IF(Data!$H$2,IF(ISNUMBER(B160),B160,NA()),NA())</f>
        <v>320.42</v>
      </c>
    </row>
    <row r="161" spans="1:6" ht="21" customHeight="1">
      <c r="A161" s="16">
        <v>46175</v>
      </c>
      <c r="B161" s="11">
        <v>329.23</v>
      </c>
      <c r="C161" t="s">
        <v>511</v>
      </c>
      <c r="D161" t="s">
        <v>65</v>
      </c>
      <c r="F161" s="2">
        <f>IF(Data!$H$2,IF(ISNUMBER(B161),B161,NA()),NA())</f>
        <v>329.23</v>
      </c>
    </row>
    <row r="162" spans="1:6" ht="21" customHeight="1">
      <c r="A162" s="16">
        <v>46176</v>
      </c>
      <c r="B162" s="11">
        <v>305.63</v>
      </c>
      <c r="C162" t="s">
        <v>511</v>
      </c>
      <c r="D162" t="s">
        <v>65</v>
      </c>
      <c r="F162" s="2">
        <f>IF(Data!$H$2,IF(ISNUMBER(B162),B162,NA()),NA())</f>
        <v>305.63</v>
      </c>
    </row>
    <row r="163" spans="1:6" ht="21" customHeight="1">
      <c r="A163" s="16">
        <v>46177</v>
      </c>
      <c r="B163" s="11">
        <v>301.77</v>
      </c>
      <c r="C163" t="s">
        <v>511</v>
      </c>
      <c r="D163" t="s">
        <v>65</v>
      </c>
      <c r="F163" s="2">
        <f>IF(Data!$H$2,IF(ISNUMBER(B163),B163,NA()),NA())</f>
        <v>301.77</v>
      </c>
    </row>
    <row r="164" spans="1:6" ht="21" customHeight="1">
      <c r="A164" s="16">
        <v>46178</v>
      </c>
      <c r="B164" s="11">
        <v>284.83999999999997</v>
      </c>
      <c r="C164" t="s">
        <v>511</v>
      </c>
      <c r="D164" t="s">
        <v>65</v>
      </c>
      <c r="F164" s="2">
        <f>IF(Data!$H$2,IF(ISNUMBER(B164),B164,NA()),NA())</f>
        <v>284.83999999999997</v>
      </c>
    </row>
    <row r="165" spans="1:6" ht="21" customHeight="1">
      <c r="A165" s="16">
        <v>46181</v>
      </c>
      <c r="B165" s="11">
        <v>280.82</v>
      </c>
      <c r="C165" t="s">
        <v>511</v>
      </c>
      <c r="D165" t="s">
        <v>65</v>
      </c>
      <c r="F165" s="2">
        <f>IF(Data!$H$2,IF(ISNUMBER(B165),B165,NA()),NA())</f>
        <v>280.82</v>
      </c>
    </row>
    <row r="166" spans="1:6" ht="21" customHeight="1">
      <c r="A166" s="16">
        <v>46182</v>
      </c>
      <c r="B166" s="11">
        <v>277.49</v>
      </c>
      <c r="C166" t="s">
        <v>511</v>
      </c>
      <c r="D166" t="s">
        <v>65</v>
      </c>
      <c r="F166" s="2">
        <f>IF(Data!$H$2,IF(ISNUMBER(B166),B166,NA()),NA())</f>
        <v>277.49</v>
      </c>
    </row>
    <row r="167" spans="1:6" ht="21" customHeight="1">
      <c r="A167" s="16">
        <v>46183</v>
      </c>
      <c r="B167" s="11">
        <v>272.36</v>
      </c>
      <c r="C167" t="s">
        <v>511</v>
      </c>
      <c r="D167" t="s">
        <v>65</v>
      </c>
      <c r="F167" s="2">
        <f>IF(Data!$H$2,IF(ISNUMBER(B167),B167,NA()),NA())</f>
        <v>272.36</v>
      </c>
    </row>
    <row r="168" spans="1:6" ht="21" customHeight="1">
      <c r="A168" s="16">
        <v>46184</v>
      </c>
      <c r="B168" s="11">
        <v>274.85000000000002</v>
      </c>
      <c r="C168" t="s">
        <v>511</v>
      </c>
      <c r="D168" t="s">
        <v>65</v>
      </c>
      <c r="F168" s="2">
        <f>IF(Data!$H$2,IF(ISNUMBER(B168),B168,NA()),NA())</f>
        <v>274.85000000000002</v>
      </c>
    </row>
    <row r="169" spans="1:6" ht="21" customHeight="1">
      <c r="A169" s="16">
        <v>46185</v>
      </c>
      <c r="B169" s="11">
        <v>272.24</v>
      </c>
      <c r="C169" t="s">
        <v>511</v>
      </c>
      <c r="D169" t="s">
        <v>65</v>
      </c>
      <c r="F169" s="2">
        <f>IF(Data!$H$2,IF(ISNUMBER(B169),B169,NA()),NA())</f>
        <v>272.24</v>
      </c>
    </row>
    <row r="170" spans="1:6" ht="21" customHeight="1">
      <c r="A170" s="16">
        <v>46188</v>
      </c>
      <c r="B170" s="11">
        <v>268.70999999999998</v>
      </c>
      <c r="C170" t="s">
        <v>511</v>
      </c>
      <c r="D170" t="s">
        <v>65</v>
      </c>
      <c r="F170" s="2">
        <f>IF(Data!$H$2,IF(ISNUMBER(B170),B170,NA()),NA())</f>
        <v>268.70999999999998</v>
      </c>
    </row>
    <row r="171" spans="1:6" ht="21" customHeight="1">
      <c r="A171" s="16">
        <v>46189</v>
      </c>
      <c r="B171" s="11">
        <v>270.81</v>
      </c>
      <c r="C171" t="s">
        <v>511</v>
      </c>
      <c r="D171" t="s">
        <v>65</v>
      </c>
      <c r="F171" s="2">
        <f>IF(Data!$H$2,IF(ISNUMBER(B171),B171,NA()),NA())</f>
        <v>270.81</v>
      </c>
    </row>
    <row r="172" spans="1:6" ht="21" customHeight="1">
      <c r="A172" s="16">
        <v>46190</v>
      </c>
      <c r="B172" s="11">
        <v>262.35000000000002</v>
      </c>
      <c r="C172" t="s">
        <v>511</v>
      </c>
      <c r="D172" t="s">
        <v>65</v>
      </c>
      <c r="F172" s="2">
        <f>IF(Data!$H$2,IF(ISNUMBER(B172),B172,NA()),NA())</f>
        <v>262.35000000000002</v>
      </c>
    </row>
    <row r="173" spans="1:6" ht="21" customHeight="1">
      <c r="A173" s="16">
        <v>46191</v>
      </c>
      <c r="B173" s="11">
        <v>249.1</v>
      </c>
      <c r="C173" t="s">
        <v>511</v>
      </c>
      <c r="D173" t="s">
        <v>65</v>
      </c>
      <c r="F173" s="2">
        <f>IF(Data!$H$2,IF(ISNUMBER(B173),B173,NA()),NA())</f>
        <v>249.1</v>
      </c>
    </row>
    <row r="174" spans="1:6" ht="21" customHeight="1">
      <c r="A174" s="16">
        <v>46195</v>
      </c>
      <c r="B174" s="11">
        <v>252.22</v>
      </c>
      <c r="C174" t="s">
        <v>511</v>
      </c>
      <c r="D174" t="s">
        <v>65</v>
      </c>
      <c r="F174" s="2">
        <f>IF(Data!$H$2,IF(ISNUMBER(B174),B174,NA()),NA())</f>
        <v>252.22</v>
      </c>
    </row>
    <row r="175" spans="1:6" ht="21" customHeight="1">
      <c r="A175" s="16">
        <v>46196</v>
      </c>
      <c r="B175" s="11">
        <v>264.94</v>
      </c>
      <c r="C175" t="s">
        <v>511</v>
      </c>
      <c r="D175" t="s">
        <v>65</v>
      </c>
      <c r="F175" s="2">
        <f>IF(Data!$H$2,IF(ISNUMBER(B175),B175,NA()),NA())</f>
        <v>264.94</v>
      </c>
    </row>
    <row r="176" spans="1:6" ht="21" customHeight="1">
      <c r="A176" s="16">
        <v>46197</v>
      </c>
      <c r="B176" s="11">
        <v>262.95999999999998</v>
      </c>
      <c r="C176" t="s">
        <v>511</v>
      </c>
      <c r="D176" t="s">
        <v>65</v>
      </c>
      <c r="F176" s="2">
        <f>IF(Data!$H$2,IF(ISNUMBER(B176),B176,NA()),NA())</f>
        <v>262.95999999999998</v>
      </c>
    </row>
    <row r="177" spans="1:6" ht="21" customHeight="1">
      <c r="A177" s="16">
        <v>46198</v>
      </c>
      <c r="B177" s="11">
        <v>258.27</v>
      </c>
      <c r="C177" t="s">
        <v>511</v>
      </c>
      <c r="D177" t="s">
        <v>65</v>
      </c>
      <c r="F177" s="2">
        <f>IF(Data!$H$2,IF(ISNUMBER(B177),B177,NA()),NA())</f>
        <v>258.27</v>
      </c>
    </row>
    <row r="178" spans="1:6" ht="21" customHeight="1">
      <c r="A178" s="16">
        <v>46199</v>
      </c>
      <c r="B178" s="11">
        <v>271.63</v>
      </c>
      <c r="C178" t="s">
        <v>511</v>
      </c>
      <c r="D178" t="s">
        <v>65</v>
      </c>
      <c r="F178" s="2">
        <f>IF(Data!$H$2,IF(ISNUMBER(B178),B178,NA()),NA())</f>
        <v>271.63</v>
      </c>
    </row>
    <row r="179" spans="1:6" ht="21" customHeight="1">
      <c r="A179" s="16">
        <v>46202</v>
      </c>
      <c r="B179" s="11">
        <v>278</v>
      </c>
      <c r="C179" t="s">
        <v>511</v>
      </c>
      <c r="D179" t="s">
        <v>65</v>
      </c>
      <c r="F179" s="2">
        <f>IF(Data!$H$2,IF(ISNUMBER(B179),B179,NA()),NA())</f>
        <v>278</v>
      </c>
    </row>
    <row r="180" spans="1:6" ht="21" customHeight="1">
      <c r="A180" s="16">
        <v>46203</v>
      </c>
      <c r="B180" s="11">
        <v>281.20999999999998</v>
      </c>
      <c r="C180" t="s">
        <v>511</v>
      </c>
      <c r="D180" t="s">
        <v>65</v>
      </c>
      <c r="F180" s="2">
        <f>IF(Data!$H$2,IF(ISNUMBER(B180),B180,NA()),NA())</f>
        <v>281.20999999999998</v>
      </c>
    </row>
    <row r="181" spans="1:6" ht="21" customHeight="1">
      <c r="A181" s="16">
        <v>46204</v>
      </c>
      <c r="B181" s="11">
        <v>286.25</v>
      </c>
      <c r="C181" t="s">
        <v>511</v>
      </c>
      <c r="D181" t="s">
        <v>65</v>
      </c>
      <c r="F181" s="2">
        <f>IF(Data!$H$2,IF(ISNUMBER(B181),B181,NA()),NA())</f>
        <v>286.25</v>
      </c>
    </row>
    <row r="182" spans="1:6" ht="21" customHeight="1">
      <c r="A182" s="16">
        <v>46205</v>
      </c>
      <c r="B182" s="11">
        <v>289.52</v>
      </c>
      <c r="C182" t="s">
        <v>511</v>
      </c>
      <c r="D182" t="s">
        <v>65</v>
      </c>
      <c r="F182" s="2">
        <f>IF(Data!$H$2,IF(ISNUMBER(B182),B182,NA()),NA())</f>
        <v>289.52</v>
      </c>
    </row>
    <row r="183" spans="1:6" ht="21" customHeight="1">
      <c r="A183" s="16">
        <v>46209</v>
      </c>
      <c r="B183" s="11">
        <v>299.52</v>
      </c>
      <c r="C183" t="s">
        <v>511</v>
      </c>
      <c r="D183" t="s">
        <v>65</v>
      </c>
      <c r="F183" s="2">
        <f>IF(Data!$H$2,IF(ISNUMBER(B183),B183,NA()),NA())</f>
        <v>299.52</v>
      </c>
    </row>
    <row r="184" spans="1:6" ht="21" customHeight="1">
      <c r="A184" s="16">
        <v>46210</v>
      </c>
      <c r="B184" s="11">
        <v>306.13</v>
      </c>
      <c r="C184" t="s">
        <v>511</v>
      </c>
      <c r="D184" t="s">
        <v>65</v>
      </c>
      <c r="F184" s="2">
        <f>IF(Data!$H$2,IF(ISNUMBER(B184),B184,NA()),NA())</f>
        <v>306.13</v>
      </c>
    </row>
    <row r="185" spans="1:6" ht="21" customHeight="1">
      <c r="A185" s="16">
        <v>46211</v>
      </c>
      <c r="B185" s="11">
        <v>302.05</v>
      </c>
      <c r="C185" t="s">
        <v>511</v>
      </c>
      <c r="D185" t="s">
        <v>65</v>
      </c>
      <c r="F185" s="2">
        <f>IF(Data!$H$2,IF(ISNUMBER(B185),B185,NA()),NA())</f>
        <v>302.05</v>
      </c>
    </row>
    <row r="186" spans="1:6" ht="21" customHeight="1">
      <c r="A186" s="16">
        <v>46212</v>
      </c>
      <c r="B186" s="11">
        <v>295.3</v>
      </c>
      <c r="C186" t="s">
        <v>511</v>
      </c>
      <c r="D186" t="s">
        <v>65</v>
      </c>
      <c r="F186" s="2">
        <f>IF(Data!$H$2,IF(ISNUMBER(B186),B186,NA()),NA())</f>
        <v>295.3</v>
      </c>
    </row>
    <row r="187" spans="1:6" ht="21" customHeight="1">
      <c r="A187" s="16">
        <v>46213</v>
      </c>
      <c r="B187" s="11">
        <v>287.56</v>
      </c>
      <c r="C187" t="s">
        <v>511</v>
      </c>
      <c r="D187" t="s">
        <v>65</v>
      </c>
      <c r="F187" s="2">
        <f>IF(Data!$H$2,IF(ISNUMBER(B187),B187,NA()),NA())</f>
        <v>287.56</v>
      </c>
    </row>
    <row r="188" spans="1:6" ht="21" customHeight="1">
      <c r="A188" s="16">
        <v>46216</v>
      </c>
      <c r="B188" s="11">
        <v>290.23</v>
      </c>
      <c r="C188" t="s">
        <v>511</v>
      </c>
      <c r="D188" t="s">
        <v>65</v>
      </c>
      <c r="F188" s="2">
        <f>IF(Data!$H$2,IF(ISNUMBER(B188),B188,NA()),NA())</f>
        <v>290.23</v>
      </c>
    </row>
    <row r="189" spans="1:6" ht="21" customHeight="1">
      <c r="A189" s="16">
        <v>46217</v>
      </c>
      <c r="B189" s="11">
        <v>217.07</v>
      </c>
      <c r="C189" t="s">
        <v>511</v>
      </c>
      <c r="D189" t="s">
        <v>65</v>
      </c>
      <c r="F189" s="2">
        <f>IF(Data!$H$2,IF(ISNUMBER(B189),B189,NA()),NA())</f>
        <v>217.07</v>
      </c>
    </row>
    <row r="190" spans="1:6" ht="21" customHeight="1">
      <c r="A190" s="16">
        <v>46218</v>
      </c>
      <c r="B190" s="11">
        <v>211.2</v>
      </c>
      <c r="C190" t="s">
        <v>511</v>
      </c>
      <c r="D190" t="s">
        <v>65</v>
      </c>
      <c r="F190" s="2">
        <f>IF(Data!$H$2,IF(ISNUMBER(B190),B190,NA()),NA())</f>
        <v>211.2</v>
      </c>
    </row>
    <row r="191" spans="1:6" ht="21" customHeight="1">
      <c r="A191" s="16">
        <v>46219</v>
      </c>
      <c r="B191" s="11">
        <v>219.05</v>
      </c>
      <c r="C191" t="s">
        <v>511</v>
      </c>
      <c r="D191" t="s">
        <v>65</v>
      </c>
      <c r="F191" s="2">
        <f>IF(Data!$H$2,IF(ISNUMBER(B191),B191,NA()),NA())</f>
        <v>219.05</v>
      </c>
    </row>
    <row r="192" spans="1:6" ht="21" customHeight="1">
      <c r="A192" s="16">
        <v>46220</v>
      </c>
      <c r="B192" s="11">
        <v>212.67</v>
      </c>
      <c r="C192" t="s">
        <v>511</v>
      </c>
      <c r="D192" t="s">
        <v>65</v>
      </c>
      <c r="F192" s="2">
        <f>IF(Data!$H$2,IF(ISNUMBER(B192),B192,NA()),NA())</f>
        <v>212.67</v>
      </c>
    </row>
    <row r="193" spans="1:6" ht="21" customHeight="1">
      <c r="A193" s="16">
        <v>46223</v>
      </c>
      <c r="B193" s="11">
        <v>213</v>
      </c>
      <c r="C193" t="s">
        <v>511</v>
      </c>
      <c r="D193" t="s">
        <v>65</v>
      </c>
      <c r="F193" s="2">
        <f>IF(Data!$H$2,IF(ISNUMBER(B193),B193,NA()),NA())</f>
        <v>213</v>
      </c>
    </row>
    <row r="194" spans="1:6" ht="21" customHeight="1">
      <c r="A194" s="16">
        <v>46224</v>
      </c>
      <c r="B194" s="11">
        <v>210.5</v>
      </c>
      <c r="C194" t="s">
        <v>511</v>
      </c>
      <c r="D194" t="s">
        <v>65</v>
      </c>
      <c r="F194" s="2">
        <f>IF(Data!$H$2,IF(ISNUMBER(B194),B194,NA()),NA())</f>
        <v>210.5</v>
      </c>
    </row>
    <row r="195" spans="1:6" ht="21" customHeight="1">
      <c r="A195" s="16">
        <v>46225</v>
      </c>
      <c r="B195" s="11">
        <v>205.77</v>
      </c>
      <c r="C195" t="s">
        <v>511</v>
      </c>
      <c r="D195" t="s">
        <v>65</v>
      </c>
      <c r="F195" s="2">
        <f>IF(Data!$H$2,IF(ISNUMBER(B195),B195,NA()),NA())</f>
        <v>205.77</v>
      </c>
    </row>
    <row r="196" spans="1:6" ht="21" customHeight="1">
      <c r="A196" s="16">
        <v>46226</v>
      </c>
      <c r="B196" s="11">
        <v>206.65</v>
      </c>
      <c r="C196" t="s">
        <v>511</v>
      </c>
      <c r="D196" t="s">
        <v>65</v>
      </c>
      <c r="F196" s="2">
        <f>IF(Data!$H$2,IF(ISNUMBER(B196),B196,NA()),NA())</f>
        <v>206.65</v>
      </c>
    </row>
    <row r="197" spans="1:6" ht="21" customHeight="1">
      <c r="A197" s="16">
        <v>46227</v>
      </c>
      <c r="B197" s="11">
        <v>214.19</v>
      </c>
      <c r="C197" t="s">
        <v>511</v>
      </c>
      <c r="D197" t="s">
        <v>65</v>
      </c>
      <c r="F197" s="2">
        <f>IF(Data!$H$2,IF(ISNUMBER(B197),B197,NA()),NA())</f>
        <v>214.19</v>
      </c>
    </row>
    <row r="198" spans="1:6" ht="21" customHeight="1">
      <c r="A198" s="16">
        <v>46230</v>
      </c>
      <c r="B198" s="11">
        <v>216.28</v>
      </c>
      <c r="C198" t="s">
        <v>511</v>
      </c>
      <c r="D198" t="s">
        <v>65</v>
      </c>
      <c r="F198" s="2">
        <f>IF(Data!$H$2,IF(ISNUMBER(B198),B198,NA()),NA())</f>
        <v>216.28</v>
      </c>
    </row>
    <row r="199" spans="1:6" ht="21" customHeight="1">
      <c r="A199" s="16">
        <v>46231</v>
      </c>
      <c r="B199" s="11">
        <v>227.55</v>
      </c>
      <c r="C199" t="s">
        <v>511</v>
      </c>
      <c r="D199" t="s">
        <v>65</v>
      </c>
      <c r="F199" s="2">
        <f>IF(Data!$H$2,IF(ISNUMBER(B199),B199,NA()),NA())</f>
        <v>227.55</v>
      </c>
    </row>
    <row r="200" spans="1:6" ht="21" customHeight="1">
      <c r="A200" s="16">
        <v>46232</v>
      </c>
      <c r="B200" s="11">
        <v>226.44</v>
      </c>
      <c r="C200" t="s">
        <v>511</v>
      </c>
      <c r="D200" t="s">
        <v>65</v>
      </c>
      <c r="F200" s="2">
        <f>IF(Data!$H$2,IF(ISNUMBER(B200),B200,NA()),NA())</f>
        <v>226.44</v>
      </c>
    </row>
    <row r="201" spans="1:6" ht="21" customHeight="1">
      <c r="A201" s="16">
        <v>46233</v>
      </c>
      <c r="B201" s="11">
        <v>221.74</v>
      </c>
      <c r="C201" t="s">
        <v>511</v>
      </c>
      <c r="D201" t="s">
        <v>65</v>
      </c>
      <c r="F201" s="2">
        <f>IF(Data!$H$2,IF(ISNUMBER(B201),B201,NA()),NA())</f>
        <v>221.74</v>
      </c>
    </row>
    <row r="202" spans="1:6" ht="21" customHeight="1">
      <c r="A202" s="16">
        <v>46234</v>
      </c>
      <c r="B202" s="11">
        <v>223.65</v>
      </c>
      <c r="C202" t="s">
        <v>511</v>
      </c>
      <c r="D202" t="s">
        <v>65</v>
      </c>
      <c r="F202" s="2">
        <f>IF(Data!$H$2,IF(ISNUMBER(B202),B202,NA()),NA())</f>
        <v>223.65</v>
      </c>
    </row>
    <row r="203" spans="1:6" ht="21" customHeight="1">
      <c r="A203" s="16">
        <v>46237</v>
      </c>
      <c r="B203" s="11">
        <v>226.31</v>
      </c>
      <c r="C203" t="s">
        <v>511</v>
      </c>
      <c r="D203" t="s">
        <v>65</v>
      </c>
      <c r="F203" s="2">
        <f>IF(Data!$H$2,IF(ISNUMBER(B203),B203,NA()),NA())</f>
        <v>226.31</v>
      </c>
    </row>
    <row r="204" spans="1:6" ht="21" customHeight="1">
      <c r="A204" s="16">
        <v>46238</v>
      </c>
      <c r="B204" s="11">
        <v>235.15</v>
      </c>
      <c r="C204" t="s">
        <v>511</v>
      </c>
      <c r="D204" t="s">
        <v>65</v>
      </c>
      <c r="F204" s="2">
        <f>IF(Data!$H$2,IF(ISNUMBER(B204),B204,NA()),NA())</f>
        <v>235.15</v>
      </c>
    </row>
    <row r="205" spans="1:6" ht="21" customHeight="1">
      <c r="A205" s="16">
        <v>46239</v>
      </c>
      <c r="B205" s="11">
        <v>235.92</v>
      </c>
      <c r="C205" t="s">
        <v>511</v>
      </c>
      <c r="D205" t="s">
        <v>65</v>
      </c>
      <c r="F205" s="2">
        <f>IF(Data!$H$2,IF(ISNUMBER(B205),B205,NA()),NA())</f>
        <v>235.92</v>
      </c>
    </row>
    <row r="206" spans="1:6" ht="21" customHeight="1">
      <c r="A206" s="16">
        <v>46240</v>
      </c>
      <c r="B206" s="11">
        <v>233.43</v>
      </c>
      <c r="C206" t="s">
        <v>511</v>
      </c>
      <c r="D206" t="s">
        <v>65</v>
      </c>
      <c r="F206" s="2">
        <f>IF(Data!$H$2,IF(ISNUMBER(B206),B206,NA()),NA())</f>
        <v>233.43</v>
      </c>
    </row>
    <row r="207" spans="1:6" ht="21" customHeight="1">
      <c r="A207" s="16">
        <v>46241</v>
      </c>
      <c r="B207" s="11">
        <v>237.28</v>
      </c>
      <c r="C207" t="s">
        <v>511</v>
      </c>
      <c r="D207" t="s">
        <v>65</v>
      </c>
      <c r="F207" s="2">
        <f>IF(Data!$H$2,IF(ISNUMBER(B207),B207,NA()),NA())</f>
        <v>237.28</v>
      </c>
    </row>
    <row r="208" spans="1:6" ht="21" customHeight="1">
      <c r="A208" s="16">
        <v>46244</v>
      </c>
      <c r="B208" s="11">
        <v>236.31</v>
      </c>
      <c r="C208" t="s">
        <v>511</v>
      </c>
      <c r="D208" t="s">
        <v>65</v>
      </c>
      <c r="F208" s="2">
        <f>IF(Data!$H$2,IF(ISNUMBER(B208),B208,NA()),NA())</f>
        <v>236.31</v>
      </c>
    </row>
    <row r="209" spans="1:6" ht="21" customHeight="1">
      <c r="A209" s="16">
        <v>46245</v>
      </c>
      <c r="B209" s="11">
        <v>238.42</v>
      </c>
      <c r="C209" t="s">
        <v>511</v>
      </c>
      <c r="D209" t="s">
        <v>65</v>
      </c>
      <c r="F209" s="2">
        <f>IF(Data!$H$2,IF(ISNUMBER(B209),B209,NA()),NA())</f>
        <v>238.42</v>
      </c>
    </row>
    <row r="210" spans="1:6" ht="21" customHeight="1">
      <c r="A210" s="16">
        <v>46246</v>
      </c>
      <c r="B210" s="11">
        <v>235.98</v>
      </c>
      <c r="C210" t="s">
        <v>511</v>
      </c>
      <c r="D210" t="s">
        <v>65</v>
      </c>
      <c r="F210" s="2">
        <f>IF(Data!$H$2,IF(ISNUMBER(B210),B210,NA()),NA())</f>
        <v>235.98</v>
      </c>
    </row>
    <row r="211" spans="1:6" ht="21" customHeight="1">
      <c r="A211" s="16">
        <v>46247</v>
      </c>
      <c r="B211" s="11">
        <v>237.14</v>
      </c>
      <c r="C211" t="s">
        <v>511</v>
      </c>
      <c r="D211" t="s">
        <v>65</v>
      </c>
      <c r="F211" s="2">
        <f>IF(Data!$H$2,IF(ISNUMBER(B211),B211,NA()),NA())</f>
        <v>237.14</v>
      </c>
    </row>
    <row r="212" spans="1:6" ht="21" customHeight="1">
      <c r="A212" s="16">
        <v>46248</v>
      </c>
      <c r="B212" s="11">
        <v>234.32</v>
      </c>
      <c r="C212" t="s">
        <v>511</v>
      </c>
      <c r="D212" t="s">
        <v>65</v>
      </c>
      <c r="F212" s="2">
        <f>IF(Data!$H$2,IF(ISNUMBER(B212),B212,NA()),NA())</f>
        <v>234.32</v>
      </c>
    </row>
    <row r="213" spans="1:6" ht="21" customHeight="1">
      <c r="A213" s="16">
        <v>46251</v>
      </c>
      <c r="B213" s="11">
        <v>228.85</v>
      </c>
      <c r="C213" t="s">
        <v>511</v>
      </c>
      <c r="D213" t="s">
        <v>65</v>
      </c>
      <c r="F213" s="2">
        <f>IF(Data!$H$2,IF(ISNUMBER(B213),B213,NA()),NA())</f>
        <v>228.85</v>
      </c>
    </row>
    <row r="214" spans="1:6" ht="21" customHeight="1">
      <c r="A214" s="16">
        <v>46252</v>
      </c>
      <c r="B214" s="11">
        <v>232.67</v>
      </c>
      <c r="C214" t="s">
        <v>511</v>
      </c>
      <c r="D214" t="s">
        <v>65</v>
      </c>
      <c r="F214" s="2">
        <f>IF(Data!$H$2,IF(ISNUMBER(B214),B214,NA()),NA())</f>
        <v>232.67</v>
      </c>
    </row>
    <row r="215" spans="1:6" ht="21" customHeight="1">
      <c r="A215" s="16">
        <v>46253</v>
      </c>
      <c r="B215" s="11">
        <v>237.16</v>
      </c>
      <c r="C215" t="s">
        <v>511</v>
      </c>
      <c r="D215" t="s">
        <v>65</v>
      </c>
      <c r="F215" s="2">
        <f>IF(Data!$H$2,IF(ISNUMBER(B215),B215,NA()),NA())</f>
        <v>237.16</v>
      </c>
    </row>
    <row r="216" spans="1:6" ht="21" customHeight="1">
      <c r="A216" s="16">
        <v>46254</v>
      </c>
      <c r="B216" s="11">
        <v>233.69</v>
      </c>
      <c r="C216" t="s">
        <v>511</v>
      </c>
      <c r="D216" t="s">
        <v>65</v>
      </c>
      <c r="F216" s="2">
        <f>IF(Data!$H$2,IF(ISNUMBER(B216),B216,NA()),NA())</f>
        <v>233.69</v>
      </c>
    </row>
    <row r="217" spans="1:6" ht="21" customHeight="1">
      <c r="A217" s="16">
        <v>46255</v>
      </c>
      <c r="B217" s="11">
        <v>235.68</v>
      </c>
      <c r="C217" t="s">
        <v>511</v>
      </c>
      <c r="D217" t="s">
        <v>65</v>
      </c>
      <c r="F217" s="2">
        <f>IF(Data!$H$2,IF(ISNUMBER(B217),B217,NA()),NA())</f>
        <v>235.68</v>
      </c>
    </row>
    <row r="218" spans="1:6" ht="21" customHeight="1">
      <c r="A218" s="16">
        <v>46258</v>
      </c>
      <c r="B218" s="11">
        <v>231.04</v>
      </c>
      <c r="C218" t="s">
        <v>511</v>
      </c>
      <c r="D218" t="s">
        <v>65</v>
      </c>
      <c r="F218" s="2">
        <f>IF(Data!$H$2,IF(ISNUMBER(B218),B218,NA()),NA())</f>
        <v>231.04</v>
      </c>
    </row>
    <row r="219" spans="1:6" ht="21" customHeight="1">
      <c r="A219" s="16">
        <v>46259</v>
      </c>
      <c r="B219" s="11">
        <v>234.19</v>
      </c>
      <c r="C219" t="s">
        <v>511</v>
      </c>
      <c r="D219" t="s">
        <v>65</v>
      </c>
      <c r="F219" s="2">
        <f>IF(Data!$H$2,IF(ISNUMBER(B219),B219,NA()),NA())</f>
        <v>234.19</v>
      </c>
    </row>
    <row r="220" spans="1:6" ht="21" customHeight="1">
      <c r="A220" s="16">
        <v>46260</v>
      </c>
      <c r="B220" s="11">
        <v>229.87</v>
      </c>
      <c r="C220" t="s">
        <v>511</v>
      </c>
      <c r="D220" t="s">
        <v>65</v>
      </c>
      <c r="F220" s="2">
        <f>IF(Data!$H$2,IF(ISNUMBER(B220),B220,NA()),NA())</f>
        <v>229.87</v>
      </c>
    </row>
    <row r="221" spans="1:6" ht="21" customHeight="1">
      <c r="A221" s="16">
        <v>46261</v>
      </c>
      <c r="B221" s="11">
        <v>238.79</v>
      </c>
      <c r="C221" t="s">
        <v>511</v>
      </c>
      <c r="D221" t="s">
        <v>65</v>
      </c>
      <c r="F221" s="2">
        <f>IF(Data!$H$2,IF(ISNUMBER(B221),B221,NA()),NA())</f>
        <v>238.79</v>
      </c>
    </row>
    <row r="222" spans="1:6" ht="21" customHeight="1">
      <c r="A222" s="16">
        <v>46262</v>
      </c>
      <c r="B222" s="11">
        <v>235.59</v>
      </c>
      <c r="C222" t="s">
        <v>511</v>
      </c>
      <c r="D222" t="s">
        <v>65</v>
      </c>
      <c r="F222" s="2">
        <f>IF(Data!$H$2,IF(ISNUMBER(B222),B222,NA()),NA())</f>
        <v>235.59</v>
      </c>
    </row>
    <row r="223" spans="1:6" ht="21" customHeight="1">
      <c r="A223" s="16">
        <v>46265</v>
      </c>
      <c r="B223" s="11">
        <v>233.87</v>
      </c>
      <c r="C223" t="s">
        <v>511</v>
      </c>
      <c r="D223" t="s">
        <v>65</v>
      </c>
      <c r="F223" s="2">
        <f>IF(Data!$H$2,IF(ISNUMBER(B223),B223,NA()),NA())</f>
        <v>233.87</v>
      </c>
    </row>
    <row r="224" spans="1:6" ht="21" customHeight="1">
      <c r="A224" s="16">
        <v>46266</v>
      </c>
      <c r="B224" s="11">
        <v>231.4</v>
      </c>
      <c r="C224" t="s">
        <v>511</v>
      </c>
      <c r="D224" t="s">
        <v>65</v>
      </c>
      <c r="F224" s="2">
        <f>IF(Data!$H$2,IF(ISNUMBER(B224),B224,NA()),NA())</f>
        <v>231.4</v>
      </c>
    </row>
    <row r="225" spans="1:6" ht="21" customHeight="1">
      <c r="A225" s="16">
        <v>46267</v>
      </c>
      <c r="B225" s="11">
        <v>231.7</v>
      </c>
      <c r="C225" t="s">
        <v>511</v>
      </c>
      <c r="D225" t="s">
        <v>65</v>
      </c>
      <c r="F225" s="2">
        <f>IF(Data!$H$2,IF(ISNUMBER(B225),B225,NA()),NA())</f>
        <v>231.7</v>
      </c>
    </row>
    <row r="226" spans="1:6" ht="21" customHeight="1">
      <c r="A226" s="16">
        <v>46268</v>
      </c>
      <c r="B226" s="11">
        <v>234.71</v>
      </c>
      <c r="C226" t="s">
        <v>511</v>
      </c>
      <c r="D226" t="s">
        <v>65</v>
      </c>
      <c r="F226" s="2">
        <f>IF(Data!$H$2,IF(ISNUMBER(B226),B226,NA()),NA())</f>
        <v>234.71</v>
      </c>
    </row>
    <row r="227" spans="1:6" ht="21" customHeight="1">
      <c r="A227" s="16">
        <v>46269</v>
      </c>
      <c r="B227" s="11">
        <v>234.89</v>
      </c>
      <c r="C227" t="s">
        <v>511</v>
      </c>
      <c r="D227" t="s">
        <v>65</v>
      </c>
      <c r="F227" s="2">
        <f>IF(Data!$H$2,IF(ISNUMBER(B227),B227,NA()),NA())</f>
        <v>234.89</v>
      </c>
    </row>
    <row r="228" spans="1:6" ht="21" customHeight="1">
      <c r="A228" s="16">
        <v>46273</v>
      </c>
      <c r="B228" s="11">
        <v>232.09</v>
      </c>
      <c r="C228" t="s">
        <v>511</v>
      </c>
      <c r="D228" t="s">
        <v>65</v>
      </c>
      <c r="F228" s="2">
        <f>IF(Data!$H$2,IF(ISNUMBER(B228),B228,NA()),NA())</f>
        <v>232.09</v>
      </c>
    </row>
    <row r="229" spans="1:6" ht="21" customHeight="1">
      <c r="A229" s="16">
        <v>46274</v>
      </c>
      <c r="B229" s="11">
        <v>239.94</v>
      </c>
      <c r="C229" t="s">
        <v>511</v>
      </c>
      <c r="D229" t="s">
        <v>65</v>
      </c>
      <c r="F229" s="2">
        <f>IF(Data!$H$2,IF(ISNUMBER(B229),B229,NA()),NA())</f>
        <v>239.94</v>
      </c>
    </row>
    <row r="230" spans="1:6" ht="21" customHeight="1">
      <c r="A230" s="16">
        <v>46275</v>
      </c>
      <c r="B230" s="11">
        <v>234.02</v>
      </c>
      <c r="C230" t="s">
        <v>511</v>
      </c>
      <c r="D230" t="s">
        <v>65</v>
      </c>
      <c r="F230" s="2">
        <f>IF(Data!$H$2,IF(ISNUMBER(B230),B230,NA()),NA())</f>
        <v>234.02</v>
      </c>
    </row>
    <row r="231" spans="1:6" ht="21" customHeight="1">
      <c r="A231" s="16">
        <v>46276</v>
      </c>
      <c r="B231" s="11">
        <v>243.29</v>
      </c>
      <c r="C231" t="s">
        <v>511</v>
      </c>
      <c r="D231" t="s">
        <v>65</v>
      </c>
      <c r="F231" s="2">
        <f>IF(Data!$H$2,IF(ISNUMBER(B231),B231,NA()),NA())</f>
        <v>243.29</v>
      </c>
    </row>
    <row r="232" spans="1:6" ht="21" customHeight="1">
      <c r="A232" s="16">
        <v>46279</v>
      </c>
      <c r="B232" s="11">
        <v>249.09</v>
      </c>
      <c r="C232" t="s">
        <v>511</v>
      </c>
      <c r="D232" t="s">
        <v>65</v>
      </c>
      <c r="F232" s="2">
        <f>IF(Data!$H$2,IF(ISNUMBER(B232),B232,NA()),NA())</f>
        <v>249.09</v>
      </c>
    </row>
    <row r="233" spans="1:6" ht="21" customHeight="1">
      <c r="A233" s="16">
        <v>46280</v>
      </c>
      <c r="B233" s="11">
        <v>248.37</v>
      </c>
      <c r="C233" t="s">
        <v>511</v>
      </c>
      <c r="D233" t="s">
        <v>65</v>
      </c>
      <c r="F233" s="2">
        <f>IF(Data!$H$2,IF(ISNUMBER(B233),B233,NA()),NA())</f>
        <v>248.37</v>
      </c>
    </row>
    <row r="234" spans="1:6" ht="21" customHeight="1">
      <c r="A234" s="16">
        <v>46281</v>
      </c>
      <c r="B234" s="11">
        <v>237.49</v>
      </c>
      <c r="C234" t="s">
        <v>511</v>
      </c>
      <c r="D234" t="s">
        <v>65</v>
      </c>
      <c r="F234" s="2">
        <f>IF(Data!$H$2,IF(ISNUMBER(B234),B234,NA()),NA())</f>
        <v>237.49</v>
      </c>
    </row>
    <row r="235" spans="1:6" ht="21" customHeight="1">
      <c r="A235" s="16">
        <v>46282</v>
      </c>
      <c r="B235" s="11">
        <v>237.75</v>
      </c>
      <c r="C235" t="s">
        <v>511</v>
      </c>
      <c r="D235" t="s">
        <v>65</v>
      </c>
      <c r="F235" s="2">
        <f>IF(Data!$H$2,IF(ISNUMBER(B235),B235,NA()),NA())</f>
        <v>237.75</v>
      </c>
    </row>
    <row r="236" spans="1:6" ht="21" customHeight="1">
      <c r="A236" s="16">
        <v>46283</v>
      </c>
      <c r="B236" s="11">
        <v>229.55</v>
      </c>
      <c r="C236" t="s">
        <v>511</v>
      </c>
      <c r="D236" t="s">
        <v>65</v>
      </c>
      <c r="F236" s="2">
        <f>IF(Data!$H$2,IF(ISNUMBER(B236),B236,NA()),NA())</f>
        <v>229.55</v>
      </c>
    </row>
    <row r="237" spans="1:6" ht="21" customHeight="1">
      <c r="A237" s="16">
        <v>46286</v>
      </c>
      <c r="B237" s="11">
        <v>231.93</v>
      </c>
      <c r="C237" t="s">
        <v>511</v>
      </c>
      <c r="D237" t="s">
        <v>65</v>
      </c>
      <c r="F237" s="2">
        <f>IF(Data!$H$2,IF(ISNUMBER(B237),B237,NA()),NA())</f>
        <v>231.93</v>
      </c>
    </row>
    <row r="238" spans="1:6" ht="21" customHeight="1">
      <c r="A238" s="16">
        <v>46287</v>
      </c>
      <c r="B238" s="11">
        <v>231.38</v>
      </c>
      <c r="C238" t="s">
        <v>511</v>
      </c>
      <c r="D238" t="s">
        <v>65</v>
      </c>
      <c r="F238" s="2">
        <f>IF(Data!$H$2,IF(ISNUMBER(B238),B238,NA()),NA())</f>
        <v>231.38</v>
      </c>
    </row>
    <row r="239" spans="1:6" ht="21" customHeight="1">
      <c r="A239" s="16">
        <v>46288</v>
      </c>
      <c r="B239" s="11">
        <v>232.76</v>
      </c>
      <c r="C239" t="s">
        <v>511</v>
      </c>
      <c r="D239" t="s">
        <v>65</v>
      </c>
      <c r="F239" s="2">
        <f>IF(Data!$H$2,IF(ISNUMBER(B239),B239,NA()),NA())</f>
        <v>232.76</v>
      </c>
    </row>
    <row r="240" spans="1:6" ht="21" customHeight="1">
      <c r="A240" s="16">
        <v>46289</v>
      </c>
      <c r="B240" s="11">
        <v>227.06</v>
      </c>
      <c r="C240" t="s">
        <v>511</v>
      </c>
      <c r="D240" t="s">
        <v>65</v>
      </c>
      <c r="F240" s="2">
        <f>IF(Data!$H$2,IF(ISNUMBER(B240),B240,NA()),NA())</f>
        <v>227.06</v>
      </c>
    </row>
    <row r="241" spans="1:6" ht="21" customHeight="1">
      <c r="A241" s="16">
        <v>46290</v>
      </c>
      <c r="B241" s="11">
        <v>225.51</v>
      </c>
      <c r="C241" t="s">
        <v>511</v>
      </c>
      <c r="D241" t="s">
        <v>65</v>
      </c>
      <c r="F241" s="2">
        <f>IF(Data!$H$2,IF(ISNUMBER(B241),B241,NA()),NA())</f>
        <v>225.51</v>
      </c>
    </row>
    <row r="242" spans="1:6" ht="21" customHeight="1">
      <c r="A242" s="16">
        <v>46293</v>
      </c>
      <c r="B242" s="11">
        <v>220.67</v>
      </c>
      <c r="C242" t="s">
        <v>511</v>
      </c>
      <c r="D242" t="s">
        <v>65</v>
      </c>
      <c r="F242" s="2">
        <f>IF(Data!$H$2,IF(ISNUMBER(B242),B242,NA()),NA())</f>
        <v>220.67</v>
      </c>
    </row>
    <row r="243" spans="1:6" ht="21" customHeight="1">
      <c r="A243" s="16">
        <v>46294</v>
      </c>
      <c r="B243" s="11">
        <v>219.99</v>
      </c>
      <c r="C243" t="s">
        <v>511</v>
      </c>
      <c r="D243" t="s">
        <v>65</v>
      </c>
      <c r="F243" s="2">
        <f>IF(Data!$H$2,IF(ISNUMBER(B243),B243,NA()),NA())</f>
        <v>219.99</v>
      </c>
    </row>
    <row r="244" spans="1:6" ht="21" customHeight="1">
      <c r="A244" s="16">
        <v>46295</v>
      </c>
      <c r="B244" s="11">
        <v>219.93</v>
      </c>
      <c r="C244" t="s">
        <v>511</v>
      </c>
      <c r="D244" t="s">
        <v>65</v>
      </c>
      <c r="F244" s="2">
        <f>IF(Data!$H$2,IF(ISNUMBER(B244),B244,NA()),NA())</f>
        <v>219.93</v>
      </c>
    </row>
    <row r="245" spans="1:6" ht="21" customHeight="1">
      <c r="A245" s="16">
        <v>46296</v>
      </c>
      <c r="B245" s="11">
        <v>225.62</v>
      </c>
      <c r="C245" t="s">
        <v>511</v>
      </c>
      <c r="D245" t="s">
        <v>65</v>
      </c>
      <c r="F245" s="2">
        <f>IF(Data!$H$2,IF(ISNUMBER(B245),B245,NA()),NA())</f>
        <v>225.62</v>
      </c>
    </row>
    <row r="246" spans="1:6" ht="21" customHeight="1">
      <c r="A246" s="16">
        <v>46297</v>
      </c>
      <c r="B246" s="11">
        <v>222.64</v>
      </c>
      <c r="C246" t="s">
        <v>511</v>
      </c>
      <c r="D246" t="s">
        <v>65</v>
      </c>
      <c r="F246" s="2">
        <f>IF(Data!$H$2,IF(ISNUMBER(B246),B246,NA()),NA())</f>
        <v>222.64</v>
      </c>
    </row>
    <row r="247" spans="1:6" ht="21" customHeight="1">
      <c r="A247" s="16">
        <v>46300</v>
      </c>
      <c r="B247" s="11">
        <v>221.58</v>
      </c>
      <c r="C247" t="s">
        <v>511</v>
      </c>
      <c r="D247" t="s">
        <v>65</v>
      </c>
      <c r="F247" s="2">
        <f>IF(Data!$H$2,IF(ISNUMBER(B247),B247,NA()),NA())</f>
        <v>221.58</v>
      </c>
    </row>
    <row r="248" spans="1:6" ht="21" customHeight="1">
      <c r="A248" s="16">
        <v>46301</v>
      </c>
      <c r="B248" s="11">
        <v>221.29</v>
      </c>
      <c r="C248" t="s">
        <v>511</v>
      </c>
      <c r="D248" t="s">
        <v>65</v>
      </c>
      <c r="F248" s="2">
        <f>IF(Data!$H$2,IF(ISNUMBER(B248),B248,NA()),NA())</f>
        <v>221.29</v>
      </c>
    </row>
    <row r="249" spans="1:6" ht="21" customHeight="1">
      <c r="A249" s="16">
        <v>46302</v>
      </c>
      <c r="B249" s="11">
        <v>220.51</v>
      </c>
      <c r="C249" t="s">
        <v>511</v>
      </c>
      <c r="D249" t="s">
        <v>65</v>
      </c>
      <c r="F249" s="2">
        <f>IF(Data!$H$2,IF(ISNUMBER(B249),B249,NA()),NA())</f>
        <v>220.51</v>
      </c>
    </row>
    <row r="250" spans="1:6" ht="21" customHeight="1">
      <c r="A250" s="16">
        <v>46303</v>
      </c>
      <c r="B250" s="11">
        <v>226.61</v>
      </c>
      <c r="C250" t="s">
        <v>511</v>
      </c>
      <c r="D250" t="s">
        <v>65</v>
      </c>
      <c r="F250" s="2">
        <f>IF(Data!$H$2,IF(ISNUMBER(B250),B250,NA()),NA())</f>
        <v>226.61</v>
      </c>
    </row>
    <row r="251" spans="1:6" ht="21" customHeight="1">
      <c r="A251" s="16">
        <v>46304</v>
      </c>
      <c r="B251" s="11">
        <v>227.13</v>
      </c>
      <c r="C251" t="s">
        <v>511</v>
      </c>
      <c r="D251" t="s">
        <v>65</v>
      </c>
      <c r="F251" s="2">
        <f>IF(Data!$H$2,IF(ISNUMBER(B251),B251,NA()),NA())</f>
        <v>227.13</v>
      </c>
    </row>
    <row r="252" spans="1:6" ht="21" customHeight="1">
      <c r="B252" s="11"/>
      <c r="F252" s="2" t="e">
        <f>IF(Data!$H$2,IF(ISNUMBER(B252),B252,NA()),NA())</f>
        <v>#N/A</v>
      </c>
    </row>
    <row r="253" spans="1:6" ht="21" customHeight="1">
      <c r="B253" s="11"/>
      <c r="F253" s="2" t="e">
        <f>IF(Data!$H$2,IF(ISNUMBER(B253),B253,NA()),NA())</f>
        <v>#N/A</v>
      </c>
    </row>
    <row r="254" spans="1:6" ht="21" customHeight="1">
      <c r="B254" s="11"/>
      <c r="F254" s="2" t="e">
        <f>IF(Data!$H$2,IF(ISNUMBER(B254),B254,NA()),NA())</f>
        <v>#N/A</v>
      </c>
    </row>
    <row r="255" spans="1:6" ht="21" customHeight="1">
      <c r="B255" s="11"/>
      <c r="F255" s="2" t="e">
        <f>IF(Data!$H$2,IF(ISNUMBER(B255),B255,NA()),NA())</f>
        <v>#N/A</v>
      </c>
    </row>
    <row r="256" spans="1:6" ht="21" customHeight="1">
      <c r="B256" s="11"/>
      <c r="F256" s="2" t="e">
        <f>IF(Data!$H$2,IF(ISNUMBER(B256),B256,NA()),NA())</f>
        <v>#N/A</v>
      </c>
    </row>
    <row r="257" spans="2:6" ht="21" customHeight="1">
      <c r="B257" s="11"/>
      <c r="F257" s="2" t="e">
        <f>IF(Data!$H$2,IF(ISNUMBER(B257),B257,NA()),NA())</f>
        <v>#N/A</v>
      </c>
    </row>
    <row r="258" spans="2:6" ht="21" customHeight="1">
      <c r="B258" s="11"/>
      <c r="F258" s="2" t="e">
        <f>IF(Data!$H$2,IF(ISNUMBER(B258),B258,NA()),NA())</f>
        <v>#N/A</v>
      </c>
    </row>
    <row r="259" spans="2:6" ht="21" customHeight="1">
      <c r="B259" s="11"/>
      <c r="F259" s="2" t="e">
        <f>IF(Data!$H$2,IF(ISNUMBER(B259),B259,NA()),NA())</f>
        <v>#N/A</v>
      </c>
    </row>
    <row r="260" spans="2:6" ht="21" customHeight="1">
      <c r="B260" s="11"/>
      <c r="F260" s="2" t="e">
        <f>IF(Data!$H$2,IF(ISNUMBER(B260),B260,NA()),NA())</f>
        <v>#N/A</v>
      </c>
    </row>
    <row r="261" spans="2:6" ht="21" customHeight="1">
      <c r="B261" s="11"/>
      <c r="F261" s="2" t="e">
        <f>IF(Data!$H$2,IF(ISNUMBER(B261),B261,NA()),NA())</f>
        <v>#N/A</v>
      </c>
    </row>
    <row r="262" spans="2:6" ht="21" customHeight="1">
      <c r="B262" s="11"/>
      <c r="F262" s="2" t="e">
        <f>IF(Data!$H$2,IF(ISNUMBER(B262),B262,NA()),NA())</f>
        <v>#N/A</v>
      </c>
    </row>
    <row r="263" spans="2:6" ht="21" customHeight="1">
      <c r="B263" s="11"/>
      <c r="F263" s="2" t="e">
        <f>IF(Data!$H$2,IF(ISNUMBER(B263),B263,NA()),NA())</f>
        <v>#N/A</v>
      </c>
    </row>
    <row r="264" spans="2:6" ht="21" customHeight="1">
      <c r="B264" s="11"/>
      <c r="F264" s="2" t="e">
        <f>IF(Data!$H$2,IF(ISNUMBER(B264),B264,NA()),NA())</f>
        <v>#N/A</v>
      </c>
    </row>
    <row r="265" spans="2:6" ht="21" customHeight="1">
      <c r="B265" s="11"/>
      <c r="F265" s="2" t="e">
        <f>IF(Data!$H$2,IF(ISNUMBER(B265),B265,NA()),NA())</f>
        <v>#N/A</v>
      </c>
    </row>
    <row r="266" spans="2:6" ht="21" customHeight="1">
      <c r="B266" s="11"/>
      <c r="F266" s="2" t="e">
        <f>IF(Data!$H$2,IF(ISNUMBER(B266),B266,NA()),NA())</f>
        <v>#N/A</v>
      </c>
    </row>
    <row r="267" spans="2:6" ht="21" customHeight="1">
      <c r="B267" s="11"/>
      <c r="F267" s="2" t="e">
        <f>IF(Data!$H$2,IF(ISNUMBER(B267),B267,NA()),NA())</f>
        <v>#N/A</v>
      </c>
    </row>
    <row r="268" spans="2:6" ht="21" customHeight="1">
      <c r="B268" s="11"/>
      <c r="F268" s="2" t="e">
        <f>IF(Data!$H$2,IF(ISNUMBER(B268),B268,NA()),NA())</f>
        <v>#N/A</v>
      </c>
    </row>
    <row r="269" spans="2:6" ht="21" customHeight="1">
      <c r="B269" s="11"/>
      <c r="F269" s="2" t="e">
        <f>IF(Data!$H$2,IF(ISNUMBER(B269),B269,NA()),NA())</f>
        <v>#N/A</v>
      </c>
    </row>
    <row r="270" spans="2:6" ht="21" customHeight="1">
      <c r="B270" s="11"/>
      <c r="F270" s="2" t="e">
        <f>IF(Data!$H$2,IF(ISNUMBER(B270),B270,NA()),NA())</f>
        <v>#N/A</v>
      </c>
    </row>
    <row r="271" spans="2:6" ht="21" customHeight="1">
      <c r="B271" s="11"/>
      <c r="F271" s="2" t="e">
        <f>IF(Data!$H$2,IF(ISNUMBER(B271),B271,NA()),NA())</f>
        <v>#N/A</v>
      </c>
    </row>
    <row r="272" spans="2:6" ht="21" customHeight="1">
      <c r="B272" s="11"/>
      <c r="F272" s="2" t="e">
        <f>IF(Data!$H$2,IF(ISNUMBER(B272),B272,NA()),NA())</f>
        <v>#N/A</v>
      </c>
    </row>
    <row r="273" spans="2:6" ht="21" customHeight="1">
      <c r="B273" s="11"/>
      <c r="F273" s="2" t="e">
        <f>IF(Data!$H$2,IF(ISNUMBER(B273),B273,NA()),NA())</f>
        <v>#N/A</v>
      </c>
    </row>
    <row r="274" spans="2:6" ht="21" customHeight="1">
      <c r="B274" s="11"/>
      <c r="F274" s="2" t="e">
        <f>IF(Data!$H$2,IF(ISNUMBER(B274),B274,NA()),NA())</f>
        <v>#N/A</v>
      </c>
    </row>
    <row r="275" spans="2:6" ht="21" customHeight="1">
      <c r="B275" s="11"/>
      <c r="F275" s="2" t="e">
        <f>IF(Data!$H$2,IF(ISNUMBER(B275),B275,NA()),NA())</f>
        <v>#N/A</v>
      </c>
    </row>
    <row r="276" spans="2:6" ht="21" customHeight="1">
      <c r="B276" s="11"/>
      <c r="F276" s="2" t="e">
        <f>IF(Data!$H$2,IF(ISNUMBER(B276),B276,NA()),NA())</f>
        <v>#N/A</v>
      </c>
    </row>
    <row r="277" spans="2:6" ht="21" customHeight="1">
      <c r="B277" s="11"/>
      <c r="F277" s="2" t="e">
        <f>IF(Data!$H$2,IF(ISNUMBER(B277),B277,NA()),NA())</f>
        <v>#N/A</v>
      </c>
    </row>
    <row r="278" spans="2:6" ht="21" customHeight="1">
      <c r="B278" s="11"/>
      <c r="F278" s="2" t="e">
        <f>IF(Data!$H$2,IF(ISNUMBER(B278),B278,NA()),NA())</f>
        <v>#N/A</v>
      </c>
    </row>
    <row r="279" spans="2:6" ht="21" customHeight="1">
      <c r="B279" s="11"/>
      <c r="F279" s="2" t="e">
        <f>IF(Data!$H$2,IF(ISNUMBER(B279),B279,NA()),NA())</f>
        <v>#N/A</v>
      </c>
    </row>
    <row r="280" spans="2:6" ht="21" customHeight="1">
      <c r="B280" s="11"/>
      <c r="F280" s="2" t="e">
        <f>IF(Data!$H$2,IF(ISNUMBER(B280),B280,NA()),NA())</f>
        <v>#N/A</v>
      </c>
    </row>
    <row r="281" spans="2:6" ht="21" customHeight="1">
      <c r="B281" s="11"/>
      <c r="F281" s="2" t="e">
        <f>IF(Data!$H$2,IF(ISNUMBER(B281),B281,NA()),NA())</f>
        <v>#N/A</v>
      </c>
    </row>
    <row r="282" spans="2:6" ht="21" customHeight="1">
      <c r="B282" s="11"/>
      <c r="F282" s="2" t="e">
        <f>IF(Data!$H$2,IF(ISNUMBER(B282),B282,NA()),NA())</f>
        <v>#N/A</v>
      </c>
    </row>
    <row r="283" spans="2:6" ht="21" customHeight="1">
      <c r="B283" s="11"/>
      <c r="F283" s="2" t="e">
        <f>IF(Data!$H$2,IF(ISNUMBER(B283),B283,NA()),NA())</f>
        <v>#N/A</v>
      </c>
    </row>
    <row r="284" spans="2:6" ht="21" customHeight="1">
      <c r="B284" s="11"/>
      <c r="F284" s="2" t="e">
        <f>IF(Data!$H$2,IF(ISNUMBER(B284),B284,NA()),NA())</f>
        <v>#N/A</v>
      </c>
    </row>
    <row r="285" spans="2:6" ht="21" customHeight="1">
      <c r="B285" s="11"/>
      <c r="F285" s="2" t="e">
        <f>IF(Data!$H$2,IF(ISNUMBER(B285),B285,NA()),NA())</f>
        <v>#N/A</v>
      </c>
    </row>
    <row r="286" spans="2:6" ht="21" customHeight="1">
      <c r="B286" s="11"/>
      <c r="F286" s="2" t="e">
        <f>IF(Data!$H$2,IF(ISNUMBER(B286),B286,NA()),NA())</f>
        <v>#N/A</v>
      </c>
    </row>
    <row r="287" spans="2:6" ht="21" customHeight="1">
      <c r="B287" s="11"/>
      <c r="F287" s="2" t="e">
        <f>IF(Data!$H$2,IF(ISNUMBER(B287),B287,NA()),NA())</f>
        <v>#N/A</v>
      </c>
    </row>
    <row r="288" spans="2:6" ht="21" customHeight="1">
      <c r="B288" s="11"/>
      <c r="F288" s="2" t="e">
        <f>IF(Data!$H$2,IF(ISNUMBER(B288),B288,NA()),NA())</f>
        <v>#N/A</v>
      </c>
    </row>
    <row r="289" spans="2:6" ht="21" customHeight="1">
      <c r="B289" s="11"/>
      <c r="F289" s="2" t="e">
        <f>IF(Data!$H$2,IF(ISNUMBER(B289),B289,NA()),NA())</f>
        <v>#N/A</v>
      </c>
    </row>
    <row r="290" spans="2:6" ht="21" customHeight="1">
      <c r="B290" s="11"/>
      <c r="F290" s="2" t="e">
        <f>IF(Data!$H$2,IF(ISNUMBER(B290),B290,NA()),NA())</f>
        <v>#N/A</v>
      </c>
    </row>
    <row r="291" spans="2:6" ht="21" customHeight="1">
      <c r="B291" s="11"/>
      <c r="F291" s="2" t="e">
        <f>IF(Data!$H$2,IF(ISNUMBER(B291),B291,NA()),NA())</f>
        <v>#N/A</v>
      </c>
    </row>
    <row r="292" spans="2:6" ht="21" customHeight="1">
      <c r="B292" s="11"/>
      <c r="F292" s="2" t="e">
        <f>IF(Data!$H$2,IF(ISNUMBER(B292),B292,NA()),NA())</f>
        <v>#N/A</v>
      </c>
    </row>
    <row r="293" spans="2:6" ht="21" customHeight="1">
      <c r="B293" s="11"/>
      <c r="F293" s="2" t="e">
        <f>IF(Data!$H$2,IF(ISNUMBER(B293),B293,NA()),NA())</f>
        <v>#N/A</v>
      </c>
    </row>
    <row r="294" spans="2:6" ht="21" customHeight="1">
      <c r="B294" s="11"/>
      <c r="F294" s="2" t="e">
        <f>IF(Data!$H$2,IF(ISNUMBER(B294),B294,NA()),NA())</f>
        <v>#N/A</v>
      </c>
    </row>
    <row r="295" spans="2:6" ht="21" customHeight="1">
      <c r="B295" s="11"/>
      <c r="F295" s="2" t="e">
        <f>IF(Data!$H$2,IF(ISNUMBER(B295),B295,NA()),NA())</f>
        <v>#N/A</v>
      </c>
    </row>
    <row r="296" spans="2:6" ht="21" customHeight="1">
      <c r="B296" s="11"/>
      <c r="F296" s="2" t="e">
        <f>IF(Data!$H$2,IF(ISNUMBER(B296),B296,NA()),NA())</f>
        <v>#N/A</v>
      </c>
    </row>
    <row r="297" spans="2:6" ht="21" customHeight="1">
      <c r="B297" s="11"/>
      <c r="F297" s="2" t="e">
        <f>IF(Data!$H$2,IF(ISNUMBER(B297),B297,NA()),NA())</f>
        <v>#N/A</v>
      </c>
    </row>
    <row r="298" spans="2:6" ht="21" customHeight="1">
      <c r="B298" s="11"/>
      <c r="F298" s="2" t="e">
        <f>IF(Data!$H$2,IF(ISNUMBER(B298),B298,NA()),NA())</f>
        <v>#N/A</v>
      </c>
    </row>
    <row r="299" spans="2:6" ht="21" customHeight="1">
      <c r="B299" s="11"/>
      <c r="F299" s="2" t="e">
        <f>IF(Data!$H$2,IF(ISNUMBER(B299),B299,NA()),NA())</f>
        <v>#N/A</v>
      </c>
    </row>
    <row r="300" spans="2:6" ht="21" customHeight="1">
      <c r="B300" s="11"/>
      <c r="F300" s="2" t="e">
        <f>IF(Data!$H$2,IF(ISNUMBER(B300),B300,NA()),NA())</f>
        <v>#N/A</v>
      </c>
    </row>
    <row r="301" spans="2:6" ht="21" customHeight="1">
      <c r="B301" s="11"/>
      <c r="F301" s="2" t="e">
        <f>IF(Data!$H$2,IF(ISNUMBER(B301),B301,NA()),NA())</f>
        <v>#N/A</v>
      </c>
    </row>
    <row r="302" spans="2:6" ht="21" customHeight="1">
      <c r="B302" s="11"/>
      <c r="F302" s="2" t="e">
        <f>IF(Data!$H$2,IF(ISNUMBER(B302),B302,NA()),NA())</f>
        <v>#N/A</v>
      </c>
    </row>
    <row r="303" spans="2:6" ht="21" customHeight="1">
      <c r="B303" s="11"/>
      <c r="F303" s="2" t="e">
        <f>IF(Data!$H$2,IF(ISNUMBER(B303),B303,NA()),NA())</f>
        <v>#N/A</v>
      </c>
    </row>
    <row r="304" spans="2:6" ht="21" customHeight="1">
      <c r="B304" s="11"/>
      <c r="F304" s="2" t="e">
        <f>IF(Data!$H$2,IF(ISNUMBER(B304),B304,NA()),NA())</f>
        <v>#N/A</v>
      </c>
    </row>
    <row r="305" spans="2:6" ht="21" customHeight="1">
      <c r="B305" s="11"/>
      <c r="F305" s="2" t="e">
        <f>IF(Data!$H$2,IF(ISNUMBER(B305),B305,NA()),NA())</f>
        <v>#N/A</v>
      </c>
    </row>
    <row r="306" spans="2:6" ht="21" customHeight="1">
      <c r="B306" s="11"/>
      <c r="F306" s="2" t="e">
        <f>IF(Data!$H$2,IF(ISNUMBER(B306),B306,NA()),NA())</f>
        <v>#N/A</v>
      </c>
    </row>
    <row r="307" spans="2:6" ht="21" customHeight="1">
      <c r="B307" s="11"/>
      <c r="F307" s="2" t="e">
        <f>IF(Data!$H$2,IF(ISNUMBER(B307),B307,NA()),NA())</f>
        <v>#N/A</v>
      </c>
    </row>
    <row r="308" spans="2:6" ht="21" customHeight="1">
      <c r="B308" s="11"/>
      <c r="F308" s="2" t="e">
        <f>IF(Data!$H$2,IF(ISNUMBER(B308),B308,NA()),NA())</f>
        <v>#N/A</v>
      </c>
    </row>
    <row r="309" spans="2:6" ht="21" customHeight="1">
      <c r="B309" s="11"/>
      <c r="F309" s="2" t="e">
        <f>IF(Data!$H$2,IF(ISNUMBER(B309),B309,NA()),NA())</f>
        <v>#N/A</v>
      </c>
    </row>
    <row r="310" spans="2:6" ht="21" customHeight="1">
      <c r="B310" s="11"/>
      <c r="F310" s="2" t="e">
        <f>IF(Data!$H$2,IF(ISNUMBER(B310),B310,NA()),NA())</f>
        <v>#N/A</v>
      </c>
    </row>
    <row r="311" spans="2:6" ht="21" customHeight="1">
      <c r="B311" s="11"/>
      <c r="F311" s="2" t="e">
        <f>IF(Data!$H$2,IF(ISNUMBER(B311),B311,NA()),NA())</f>
        <v>#N/A</v>
      </c>
    </row>
    <row r="312" spans="2:6" ht="21" customHeight="1">
      <c r="B312" s="11"/>
      <c r="F312" s="2" t="e">
        <f>IF(Data!$H$2,IF(ISNUMBER(B312),B312,NA()),NA())</f>
        <v>#N/A</v>
      </c>
    </row>
    <row r="313" spans="2:6" ht="21" customHeight="1">
      <c r="B313" s="11"/>
      <c r="F313" s="2" t="e">
        <f>IF(Data!$H$2,IF(ISNUMBER(B313),B313,NA()),NA())</f>
        <v>#N/A</v>
      </c>
    </row>
    <row r="314" spans="2:6" ht="21" customHeight="1">
      <c r="B314" s="11"/>
      <c r="F314" s="2" t="e">
        <f>IF(Data!$H$2,IF(ISNUMBER(B314),B314,NA()),NA())</f>
        <v>#N/A</v>
      </c>
    </row>
    <row r="315" spans="2:6" ht="21" customHeight="1">
      <c r="B315" s="11"/>
      <c r="F315" s="2" t="e">
        <f>IF(Data!$H$2,IF(ISNUMBER(B315),B315,NA()),NA())</f>
        <v>#N/A</v>
      </c>
    </row>
    <row r="316" spans="2:6" ht="21" customHeight="1">
      <c r="B316" s="11"/>
      <c r="F316" s="2" t="e">
        <f>IF(Data!$H$2,IF(ISNUMBER(B316),B316,NA()),NA())</f>
        <v>#N/A</v>
      </c>
    </row>
    <row r="317" spans="2:6" ht="21" customHeight="1">
      <c r="B317" s="11"/>
      <c r="F317" s="2" t="e">
        <f>IF(Data!$H$2,IF(ISNUMBER(B317),B317,NA()),NA())</f>
        <v>#N/A</v>
      </c>
    </row>
    <row r="318" spans="2:6" ht="21" customHeight="1">
      <c r="B318" s="11"/>
      <c r="F318" s="2" t="e">
        <f>IF(Data!$H$2,IF(ISNUMBER(B318),B318,NA()),NA())</f>
        <v>#N/A</v>
      </c>
    </row>
    <row r="319" spans="2:6" ht="21" customHeight="1">
      <c r="B319" s="11"/>
      <c r="F319" s="2" t="e">
        <f>IF(Data!$H$2,IF(ISNUMBER(B319),B319,NA()),NA())</f>
        <v>#N/A</v>
      </c>
    </row>
    <row r="320" spans="2:6" ht="21" customHeight="1">
      <c r="B320" s="11"/>
      <c r="F320" s="2" t="e">
        <f>IF(Data!$H$2,IF(ISNUMBER(B320),B320,NA()),NA())</f>
        <v>#N/A</v>
      </c>
    </row>
    <row r="321" spans="2:6" ht="21" customHeight="1">
      <c r="B321" s="11"/>
      <c r="F321" s="2" t="e">
        <f>IF(Data!$H$2,IF(ISNUMBER(B321),B321,NA()),NA())</f>
        <v>#N/A</v>
      </c>
    </row>
    <row r="322" spans="2:6" ht="21" customHeight="1">
      <c r="B322" s="11"/>
      <c r="F322" s="2" t="e">
        <f>IF(Data!$H$2,IF(ISNUMBER(B322),B322,NA()),NA())</f>
        <v>#N/A</v>
      </c>
    </row>
    <row r="323" spans="2:6" ht="21" customHeight="1">
      <c r="B323" s="11"/>
      <c r="F323" s="2" t="e">
        <f>IF(Data!$H$2,IF(ISNUMBER(B323),B323,NA()),NA())</f>
        <v>#N/A</v>
      </c>
    </row>
    <row r="324" spans="2:6" ht="21" customHeight="1">
      <c r="B324" s="11"/>
      <c r="F324" s="2" t="e">
        <f>IF(Data!$H$2,IF(ISNUMBER(B324),B324,NA()),NA())</f>
        <v>#N/A</v>
      </c>
    </row>
    <row r="325" spans="2:6" ht="21" customHeight="1">
      <c r="B325" s="11"/>
      <c r="F325" s="2" t="e">
        <f>IF(Data!$H$2,IF(ISNUMBER(B325),B325,NA()),NA())</f>
        <v>#N/A</v>
      </c>
    </row>
    <row r="326" spans="2:6" ht="21" customHeight="1">
      <c r="B326" s="11"/>
      <c r="F326" s="2" t="e">
        <f>IF(Data!$H$2,IF(ISNUMBER(B326),B326,NA()),NA())</f>
        <v>#N/A</v>
      </c>
    </row>
    <row r="327" spans="2:6" ht="21" customHeight="1">
      <c r="B327" s="11"/>
      <c r="F327" s="2" t="e">
        <f>IF(Data!$H$2,IF(ISNUMBER(B327),B327,NA()),NA())</f>
        <v>#N/A</v>
      </c>
    </row>
    <row r="328" spans="2:6" ht="21" customHeight="1">
      <c r="B328" s="11"/>
      <c r="F328" s="2" t="e">
        <f>IF(Data!$H$2,IF(ISNUMBER(B328),B328,NA()),NA())</f>
        <v>#N/A</v>
      </c>
    </row>
    <row r="329" spans="2:6" ht="21" customHeight="1">
      <c r="B329" s="11"/>
      <c r="F329" s="2" t="e">
        <f>IF(Data!$H$2,IF(ISNUMBER(B329),B329,NA()),NA())</f>
        <v>#N/A</v>
      </c>
    </row>
    <row r="330" spans="2:6" ht="21" customHeight="1">
      <c r="B330" s="11"/>
      <c r="F330" s="2" t="e">
        <f>IF(Data!$H$2,IF(ISNUMBER(B330),B330,NA()),NA())</f>
        <v>#N/A</v>
      </c>
    </row>
    <row r="331" spans="2:6" ht="21" customHeight="1">
      <c r="B331" s="11"/>
      <c r="F331" s="2" t="e">
        <f>IF(Data!$H$2,IF(ISNUMBER(B331),B331,NA()),NA())</f>
        <v>#N/A</v>
      </c>
    </row>
    <row r="332" spans="2:6" ht="21" customHeight="1">
      <c r="B332" s="11"/>
      <c r="F332" s="2" t="e">
        <f>IF(Data!$H$2,IF(ISNUMBER(B332),B332,NA()),NA())</f>
        <v>#N/A</v>
      </c>
    </row>
    <row r="333" spans="2:6" ht="21" customHeight="1">
      <c r="B333" s="11"/>
      <c r="F333" s="2" t="e">
        <f>IF(Data!$H$2,IF(ISNUMBER(B333),B333,NA()),NA())</f>
        <v>#N/A</v>
      </c>
    </row>
    <row r="334" spans="2:6" ht="21" customHeight="1">
      <c r="B334" s="11"/>
      <c r="F334" s="2" t="e">
        <f>IF(Data!$H$2,IF(ISNUMBER(B334),B334,NA()),NA())</f>
        <v>#N/A</v>
      </c>
    </row>
    <row r="335" spans="2:6" ht="21" customHeight="1">
      <c r="B335" s="11"/>
      <c r="F335" s="2" t="e">
        <f>IF(Data!$H$2,IF(ISNUMBER(B335),B335,NA()),NA())</f>
        <v>#N/A</v>
      </c>
    </row>
    <row r="336" spans="2:6" ht="21" customHeight="1">
      <c r="B336" s="11"/>
      <c r="F336" s="2" t="e">
        <f>IF(Data!$H$2,IF(ISNUMBER(B336),B336,NA()),NA())</f>
        <v>#N/A</v>
      </c>
    </row>
    <row r="337" spans="2:6" ht="21" customHeight="1">
      <c r="B337" s="11"/>
      <c r="F337" s="2" t="e">
        <f>IF(Data!$H$2,IF(ISNUMBER(B337),B337,NA()),NA())</f>
        <v>#N/A</v>
      </c>
    </row>
    <row r="338" spans="2:6" ht="21" customHeight="1">
      <c r="B338" s="11"/>
      <c r="F338" s="2" t="e">
        <f>IF(Data!$H$2,IF(ISNUMBER(B338),B338,NA()),NA())</f>
        <v>#N/A</v>
      </c>
    </row>
    <row r="339" spans="2:6" ht="21" customHeight="1">
      <c r="B339" s="11"/>
      <c r="F339" s="2" t="e">
        <f>IF(Data!$H$2,IF(ISNUMBER(B339),B339,NA()),NA())</f>
        <v>#N/A</v>
      </c>
    </row>
    <row r="340" spans="2:6" ht="21" customHeight="1">
      <c r="B340" s="11"/>
      <c r="F340" s="2" t="e">
        <f>IF(Data!$H$2,IF(ISNUMBER(B340),B340,NA()),NA())</f>
        <v>#N/A</v>
      </c>
    </row>
    <row r="341" spans="2:6" ht="21" customHeight="1">
      <c r="B341" s="11"/>
      <c r="F341" s="2" t="e">
        <f>IF(Data!$H$2,IF(ISNUMBER(B341),B341,NA()),NA())</f>
        <v>#N/A</v>
      </c>
    </row>
    <row r="342" spans="2:6" ht="21" customHeight="1">
      <c r="B342" s="11"/>
      <c r="F342" s="2" t="e">
        <f>IF(Data!$H$2,IF(ISNUMBER(B342),B342,NA()),NA())</f>
        <v>#N/A</v>
      </c>
    </row>
    <row r="343" spans="2:6" ht="21" customHeight="1">
      <c r="B343" s="11"/>
      <c r="F343" s="2" t="e">
        <f>IF(Data!$H$2,IF(ISNUMBER(B343),B343,NA()),NA())</f>
        <v>#N/A</v>
      </c>
    </row>
    <row r="344" spans="2:6" ht="21" customHeight="1">
      <c r="B344" s="11"/>
      <c r="F344" s="2" t="e">
        <f>IF(Data!$H$2,IF(ISNUMBER(B344),B344,NA()),NA())</f>
        <v>#N/A</v>
      </c>
    </row>
    <row r="345" spans="2:6" ht="21" customHeight="1">
      <c r="B345" s="11"/>
      <c r="F345" s="2" t="e">
        <f>IF(Data!$H$2,IF(ISNUMBER(B345),B345,NA()),NA())</f>
        <v>#N/A</v>
      </c>
    </row>
    <row r="346" spans="2:6" ht="21" customHeight="1">
      <c r="B346" s="11"/>
      <c r="F346" s="2" t="e">
        <f>IF(Data!$H$2,IF(ISNUMBER(B346),B346,NA()),NA())</f>
        <v>#N/A</v>
      </c>
    </row>
    <row r="347" spans="2:6" ht="21" customHeight="1">
      <c r="B347" s="11"/>
      <c r="F347" s="2" t="e">
        <f>IF(Data!$H$2,IF(ISNUMBER(B347),B347,NA()),NA())</f>
        <v>#N/A</v>
      </c>
    </row>
    <row r="348" spans="2:6" ht="21" customHeight="1">
      <c r="B348" s="11"/>
      <c r="F348" s="2" t="e">
        <f>IF(Data!$H$2,IF(ISNUMBER(B348),B348,NA()),NA())</f>
        <v>#N/A</v>
      </c>
    </row>
    <row r="349" spans="2:6" ht="21" customHeight="1">
      <c r="B349" s="11"/>
      <c r="F349" s="2" t="e">
        <f>IF(Data!$H$2,IF(ISNUMBER(B349),B349,NA()),NA())</f>
        <v>#N/A</v>
      </c>
    </row>
    <row r="350" spans="2:6" ht="21" customHeight="1">
      <c r="B350" s="11"/>
      <c r="F350" s="2" t="e">
        <f>IF(Data!$H$2,IF(ISNUMBER(B350),B350,NA()),NA())</f>
        <v>#N/A</v>
      </c>
    </row>
    <row r="351" spans="2:6" ht="21" customHeight="1">
      <c r="B351" s="11"/>
      <c r="F351" s="2" t="e">
        <f>IF(Data!$H$2,IF(ISNUMBER(B351),B351,NA()),NA())</f>
        <v>#N/A</v>
      </c>
    </row>
    <row r="352" spans="2:6" ht="21" customHeight="1">
      <c r="B352" s="11"/>
      <c r="F352" s="2" t="e">
        <f>IF(Data!$H$2,IF(ISNUMBER(B352),B352,NA()),NA())</f>
        <v>#N/A</v>
      </c>
    </row>
    <row r="353" spans="2:6" ht="21" customHeight="1">
      <c r="B353" s="11"/>
      <c r="F353" s="2" t="e">
        <f>IF(Data!$H$2,IF(ISNUMBER(B353),B353,NA()),NA())</f>
        <v>#N/A</v>
      </c>
    </row>
    <row r="354" spans="2:6" ht="21" customHeight="1">
      <c r="B354" s="11"/>
      <c r="F354" s="2" t="e">
        <f>IF(Data!$H$2,IF(ISNUMBER(B354),B354,NA()),NA())</f>
        <v>#N/A</v>
      </c>
    </row>
    <row r="355" spans="2:6" ht="21" customHeight="1">
      <c r="B355" s="11"/>
      <c r="F355" s="2" t="e">
        <f>IF(Data!$H$2,IF(ISNUMBER(B355),B355,NA()),NA())</f>
        <v>#N/A</v>
      </c>
    </row>
    <row r="356" spans="2:6" ht="21" customHeight="1">
      <c r="B356" s="11"/>
      <c r="F356" s="2" t="e">
        <f>IF(Data!$H$2,IF(ISNUMBER(B356),B356,NA()),NA())</f>
        <v>#N/A</v>
      </c>
    </row>
    <row r="357" spans="2:6" ht="21" customHeight="1">
      <c r="B357" s="11"/>
      <c r="F357" s="2" t="e">
        <f>IF(Data!$H$2,IF(ISNUMBER(B357),B357,NA()),NA())</f>
        <v>#N/A</v>
      </c>
    </row>
    <row r="358" spans="2:6" ht="21" customHeight="1">
      <c r="B358" s="11"/>
      <c r="F358" s="2" t="e">
        <f>IF(Data!$H$2,IF(ISNUMBER(B358),B358,NA()),NA())</f>
        <v>#N/A</v>
      </c>
    </row>
    <row r="359" spans="2:6" ht="21" customHeight="1">
      <c r="B359" s="11"/>
      <c r="F359" s="2" t="e">
        <f>IF(Data!$H$2,IF(ISNUMBER(B359),B359,NA()),NA())</f>
        <v>#N/A</v>
      </c>
    </row>
    <row r="360" spans="2:6" ht="21" customHeight="1">
      <c r="B360" s="11"/>
      <c r="F360" s="2" t="e">
        <f>IF(Data!$H$2,IF(ISNUMBER(B360),B360,NA()),NA())</f>
        <v>#N/A</v>
      </c>
    </row>
    <row r="361" spans="2:6" ht="21" customHeight="1">
      <c r="B361" s="11"/>
      <c r="F361" s="2" t="e">
        <f>IF(Data!$H$2,IF(ISNUMBER(B361),B361,NA()),NA())</f>
        <v>#N/A</v>
      </c>
    </row>
    <row r="362" spans="2:6" ht="21" customHeight="1">
      <c r="B362" s="11"/>
      <c r="F362" s="2" t="e">
        <f>IF(Data!$H$2,IF(ISNUMBER(B362),B362,NA()),NA())</f>
        <v>#N/A</v>
      </c>
    </row>
    <row r="363" spans="2:6" ht="21" customHeight="1">
      <c r="B363" s="11"/>
      <c r="F363" s="2" t="e">
        <f>IF(Data!$H$2,IF(ISNUMBER(B363),B363,NA()),NA())</f>
        <v>#N/A</v>
      </c>
    </row>
    <row r="364" spans="2:6" ht="21" customHeight="1">
      <c r="B364" s="11"/>
      <c r="F364" s="2" t="e">
        <f>IF(Data!$H$2,IF(ISNUMBER(B364),B364,NA()),NA())</f>
        <v>#N/A</v>
      </c>
    </row>
    <row r="365" spans="2:6" ht="21" customHeight="1">
      <c r="B365" s="11"/>
      <c r="F365" s="2" t="e">
        <f>IF(Data!$H$2,IF(ISNUMBER(B365),B365,NA()),NA())</f>
        <v>#N/A</v>
      </c>
    </row>
    <row r="366" spans="2:6" ht="21" customHeight="1">
      <c r="B366" s="11"/>
      <c r="F366" s="2" t="e">
        <f>IF(Data!$H$2,IF(ISNUMBER(B366),B366,NA()),NA())</f>
        <v>#N/A</v>
      </c>
    </row>
    <row r="367" spans="2:6" ht="21" customHeight="1">
      <c r="B367" s="11"/>
      <c r="F367" s="2" t="e">
        <f>IF(Data!$H$2,IF(ISNUMBER(B367),B367,NA()),NA())</f>
        <v>#N/A</v>
      </c>
    </row>
    <row r="368" spans="2:6" ht="21" customHeight="1">
      <c r="B368" s="11"/>
      <c r="F368" s="2" t="e">
        <f>IF(Data!$H$2,IF(ISNUMBER(B368),B368,NA()),NA())</f>
        <v>#N/A</v>
      </c>
    </row>
    <row r="369" spans="2:6" ht="21" customHeight="1">
      <c r="B369" s="11"/>
      <c r="F369" s="2" t="e">
        <f>IF(Data!$H$2,IF(ISNUMBER(B369),B369,NA()),NA())</f>
        <v>#N/A</v>
      </c>
    </row>
    <row r="370" spans="2:6" ht="21" customHeight="1">
      <c r="B370" s="11"/>
      <c r="F370" s="2" t="e">
        <f>IF(Data!$H$2,IF(ISNUMBER(B370),B370,NA()),NA())</f>
        <v>#N/A</v>
      </c>
    </row>
    <row r="371" spans="2:6" ht="21" customHeight="1">
      <c r="B371" s="11"/>
      <c r="F371" s="2" t="e">
        <f>IF(Data!$H$2,IF(ISNUMBER(B371),B371,NA()),NA())</f>
        <v>#N/A</v>
      </c>
    </row>
    <row r="372" spans="2:6" ht="21" customHeight="1">
      <c r="B372" s="11"/>
      <c r="F372" s="2" t="e">
        <f>IF(Data!$H$2,IF(ISNUMBER(B372),B372,NA()),NA())</f>
        <v>#N/A</v>
      </c>
    </row>
    <row r="373" spans="2:6" ht="21" customHeight="1">
      <c r="B373" s="11"/>
      <c r="F373" s="2" t="e">
        <f>IF(Data!$H$2,IF(ISNUMBER(B373),B373,NA()),NA())</f>
        <v>#N/A</v>
      </c>
    </row>
    <row r="374" spans="2:6" ht="21" customHeight="1">
      <c r="B374" s="11"/>
      <c r="F374" s="2" t="e">
        <f>IF(Data!$H$2,IF(ISNUMBER(B374),B374,NA()),NA())</f>
        <v>#N/A</v>
      </c>
    </row>
    <row r="375" spans="2:6" ht="21" customHeight="1">
      <c r="B375" s="11"/>
      <c r="F375" s="2" t="e">
        <f>IF(Data!$H$2,IF(ISNUMBER(B375),B375,NA()),NA())</f>
        <v>#N/A</v>
      </c>
    </row>
    <row r="376" spans="2:6" ht="21" customHeight="1">
      <c r="B376" s="11"/>
      <c r="F376" s="2" t="e">
        <f>IF(Data!$H$2,IF(ISNUMBER(B376),B376,NA()),NA())</f>
        <v>#N/A</v>
      </c>
    </row>
    <row r="377" spans="2:6" ht="21" customHeight="1">
      <c r="B377" s="11"/>
      <c r="F377" s="2" t="e">
        <f>IF(Data!$H$2,IF(ISNUMBER(B377),B377,NA()),NA())</f>
        <v>#N/A</v>
      </c>
    </row>
    <row r="378" spans="2:6" ht="21" customHeight="1">
      <c r="B378" s="11"/>
      <c r="F378" s="2" t="e">
        <f>IF(Data!$H$2,IF(ISNUMBER(B378),B378,NA()),NA())</f>
        <v>#N/A</v>
      </c>
    </row>
    <row r="379" spans="2:6" ht="21" customHeight="1">
      <c r="B379" s="11"/>
      <c r="F379" s="2" t="e">
        <f>IF(Data!$H$2,IF(ISNUMBER(B379),B379,NA()),NA())</f>
        <v>#N/A</v>
      </c>
    </row>
    <row r="380" spans="2:6" ht="21" customHeight="1">
      <c r="B380" s="11"/>
      <c r="F380" s="2" t="e">
        <f>IF(Data!$H$2,IF(ISNUMBER(B380),B380,NA()),NA())</f>
        <v>#N/A</v>
      </c>
    </row>
    <row r="381" spans="2:6" ht="21" customHeight="1">
      <c r="B381" s="11"/>
      <c r="F381" s="2" t="e">
        <f>IF(Data!$H$2,IF(ISNUMBER(B381),B381,NA()),NA())</f>
        <v>#N/A</v>
      </c>
    </row>
    <row r="382" spans="2:6" ht="21" customHeight="1">
      <c r="B382" s="11"/>
      <c r="F382" s="2" t="e">
        <f>IF(Data!$H$2,IF(ISNUMBER(B382),B382,NA()),NA())</f>
        <v>#N/A</v>
      </c>
    </row>
    <row r="383" spans="2:6" ht="21" customHeight="1">
      <c r="B383" s="11"/>
      <c r="F383" s="2" t="e">
        <f>IF(Data!$H$2,IF(ISNUMBER(B383),B383,NA()),NA())</f>
        <v>#N/A</v>
      </c>
    </row>
    <row r="384" spans="2:6" ht="21" customHeight="1">
      <c r="B384" s="11"/>
      <c r="F384" s="2" t="e">
        <f>IF(Data!$H$2,IF(ISNUMBER(B384),B384,NA()),NA())</f>
        <v>#N/A</v>
      </c>
    </row>
    <row r="385" spans="2:6" ht="21" customHeight="1">
      <c r="B385" s="11"/>
      <c r="F385" s="2" t="e">
        <f>IF(Data!$H$2,IF(ISNUMBER(B385),B385,NA()),NA())</f>
        <v>#N/A</v>
      </c>
    </row>
    <row r="386" spans="2:6" ht="21" customHeight="1">
      <c r="B386" s="11"/>
      <c r="F386" s="2" t="e">
        <f>IF(Data!$H$2,IF(ISNUMBER(B386),B386,NA()),NA())</f>
        <v>#N/A</v>
      </c>
    </row>
    <row r="387" spans="2:6" ht="21" customHeight="1">
      <c r="B387" s="11"/>
      <c r="F387" s="2" t="e">
        <f>IF(Data!$H$2,IF(ISNUMBER(B387),B387,NA()),NA())</f>
        <v>#N/A</v>
      </c>
    </row>
    <row r="388" spans="2:6" ht="21" customHeight="1">
      <c r="B388" s="11"/>
      <c r="F388" s="2" t="e">
        <f>IF(Data!$H$2,IF(ISNUMBER(B388),B388,NA()),NA())</f>
        <v>#N/A</v>
      </c>
    </row>
    <row r="389" spans="2:6" ht="21" customHeight="1">
      <c r="B389" s="11"/>
      <c r="F389" s="2" t="e">
        <f>IF(Data!$H$2,IF(ISNUMBER(B389),B389,NA()),NA())</f>
        <v>#N/A</v>
      </c>
    </row>
    <row r="390" spans="2:6" ht="21" customHeight="1">
      <c r="B390" s="11"/>
      <c r="F390" s="2" t="e">
        <f>IF(Data!$H$2,IF(ISNUMBER(B390),B390,NA()),NA())</f>
        <v>#N/A</v>
      </c>
    </row>
    <row r="391" spans="2:6" ht="21" customHeight="1">
      <c r="B391" s="11"/>
      <c r="F391" s="2" t="e">
        <f>IF(Data!$H$2,IF(ISNUMBER(B391),B391,NA()),NA())</f>
        <v>#N/A</v>
      </c>
    </row>
    <row r="392" spans="2:6" ht="21" customHeight="1">
      <c r="B392" s="11"/>
      <c r="F392" s="2" t="e">
        <f>IF(Data!$H$2,IF(ISNUMBER(B392),B392,NA()),NA())</f>
        <v>#N/A</v>
      </c>
    </row>
    <row r="393" spans="2:6" ht="21" customHeight="1">
      <c r="B393" s="11"/>
      <c r="F393" s="2" t="e">
        <f>IF(Data!$H$2,IF(ISNUMBER(B393),B393,NA()),NA())</f>
        <v>#N/A</v>
      </c>
    </row>
    <row r="394" spans="2:6" ht="21" customHeight="1">
      <c r="B394" s="11"/>
      <c r="F394" s="2" t="e">
        <f>IF(Data!$H$2,IF(ISNUMBER(B394),B394,NA()),NA())</f>
        <v>#N/A</v>
      </c>
    </row>
    <row r="395" spans="2:6" ht="21" customHeight="1">
      <c r="B395" s="11"/>
      <c r="F395" s="2" t="e">
        <f>IF(Data!$H$2,IF(ISNUMBER(B395),B395,NA()),NA())</f>
        <v>#N/A</v>
      </c>
    </row>
    <row r="396" spans="2:6" ht="21" customHeight="1">
      <c r="B396" s="11"/>
      <c r="F396" s="2" t="e">
        <f>IF(Data!$H$2,IF(ISNUMBER(B396),B396,NA()),NA())</f>
        <v>#N/A</v>
      </c>
    </row>
    <row r="397" spans="2:6" ht="21" customHeight="1">
      <c r="B397" s="11"/>
      <c r="F397" s="2" t="e">
        <f>IF(Data!$H$2,IF(ISNUMBER(B397),B397,NA()),NA())</f>
        <v>#N/A</v>
      </c>
    </row>
    <row r="398" spans="2:6" ht="21" customHeight="1">
      <c r="B398" s="11"/>
      <c r="F398" s="2" t="e">
        <f>IF(Data!$H$2,IF(ISNUMBER(B398),B398,NA()),NA())</f>
        <v>#N/A</v>
      </c>
    </row>
    <row r="399" spans="2:6" ht="21" customHeight="1">
      <c r="B399" s="11"/>
      <c r="F399" s="2" t="e">
        <f>IF(Data!$H$2,IF(ISNUMBER(B399),B399,NA()),NA())</f>
        <v>#N/A</v>
      </c>
    </row>
    <row r="400" spans="2:6" ht="21" customHeight="1">
      <c r="B400" s="11"/>
      <c r="F400" s="2" t="e">
        <f>IF(Data!$H$2,IF(ISNUMBER(B400),B400,NA()),NA())</f>
        <v>#N/A</v>
      </c>
    </row>
    <row r="401" spans="2:6" ht="21" customHeight="1">
      <c r="B401" s="11"/>
      <c r="F401" s="2" t="e">
        <f>IF(Data!$H$2,IF(ISNUMBER(B401),B401,NA()),NA())</f>
        <v>#N/A</v>
      </c>
    </row>
    <row r="402" spans="2:6" ht="21" customHeight="1">
      <c r="B402" s="11"/>
      <c r="F402" s="2" t="e">
        <f>IF(Data!$H$2,IF(ISNUMBER(B402),B402,NA()),NA())</f>
        <v>#N/A</v>
      </c>
    </row>
    <row r="403" spans="2:6" ht="21" customHeight="1">
      <c r="B403" s="11"/>
      <c r="F403" s="2" t="e">
        <f>IF(Data!$H$2,IF(ISNUMBER(B403),B403,NA()),NA())</f>
        <v>#N/A</v>
      </c>
    </row>
    <row r="404" spans="2:6" ht="21" customHeight="1">
      <c r="B404" s="11"/>
      <c r="F404" s="2" t="e">
        <f>IF(Data!$H$2,IF(ISNUMBER(B404),B404,NA()),NA())</f>
        <v>#N/A</v>
      </c>
    </row>
    <row r="405" spans="2:6" ht="21" customHeight="1">
      <c r="B405" s="11"/>
      <c r="F405" s="2" t="e">
        <f>IF(Data!$H$2,IF(ISNUMBER(B405),B405,NA()),NA())</f>
        <v>#N/A</v>
      </c>
    </row>
    <row r="406" spans="2:6" ht="21" customHeight="1">
      <c r="B406" s="11"/>
      <c r="F406" s="2" t="e">
        <f>IF(Data!$H$2,IF(ISNUMBER(B406),B406,NA()),NA())</f>
        <v>#N/A</v>
      </c>
    </row>
    <row r="407" spans="2:6" ht="21" customHeight="1">
      <c r="B407" s="11"/>
      <c r="F407" s="2" t="e">
        <f>IF(Data!$H$2,IF(ISNUMBER(B407),B407,NA()),NA())</f>
        <v>#N/A</v>
      </c>
    </row>
    <row r="408" spans="2:6" ht="21" customHeight="1">
      <c r="B408" s="11"/>
      <c r="F408" s="2" t="e">
        <f>IF(Data!$H$2,IF(ISNUMBER(B408),B408,NA()),NA())</f>
        <v>#N/A</v>
      </c>
    </row>
    <row r="409" spans="2:6" ht="21" customHeight="1">
      <c r="B409" s="11"/>
      <c r="F409" s="2" t="e">
        <f>IF(Data!$H$2,IF(ISNUMBER(B409),B409,NA()),NA())</f>
        <v>#N/A</v>
      </c>
    </row>
    <row r="410" spans="2:6" ht="21" customHeight="1">
      <c r="B410" s="11"/>
      <c r="F410" s="2" t="e">
        <f>IF(Data!$H$2,IF(ISNUMBER(B410),B410,NA()),NA())</f>
        <v>#N/A</v>
      </c>
    </row>
    <row r="411" spans="2:6" ht="21" customHeight="1">
      <c r="B411" s="11"/>
      <c r="F411" s="2" t="e">
        <f>IF(Data!$H$2,IF(ISNUMBER(B411),B411,NA()),NA())</f>
        <v>#N/A</v>
      </c>
    </row>
    <row r="412" spans="2:6" ht="21" customHeight="1">
      <c r="B412" s="11"/>
      <c r="F412" s="2" t="e">
        <f>IF(Data!$H$2,IF(ISNUMBER(B412),B412,NA()),NA())</f>
        <v>#N/A</v>
      </c>
    </row>
    <row r="413" spans="2:6" ht="21" customHeight="1">
      <c r="B413" s="11"/>
      <c r="F413" s="2" t="e">
        <f>IF(Data!$H$2,IF(ISNUMBER(B413),B413,NA()),NA())</f>
        <v>#N/A</v>
      </c>
    </row>
    <row r="414" spans="2:6" ht="21" customHeight="1">
      <c r="B414" s="11"/>
      <c r="F414" s="2" t="e">
        <f>IF(Data!$H$2,IF(ISNUMBER(B414),B414,NA()),NA())</f>
        <v>#N/A</v>
      </c>
    </row>
    <row r="415" spans="2:6" ht="21" customHeight="1">
      <c r="B415" s="11"/>
      <c r="F415" s="2" t="e">
        <f>IF(Data!$H$2,IF(ISNUMBER(B415),B415,NA()),NA())</f>
        <v>#N/A</v>
      </c>
    </row>
    <row r="416" spans="2:6" ht="21" customHeight="1">
      <c r="B416" s="11"/>
      <c r="F416" s="2" t="e">
        <f>IF(Data!$H$2,IF(ISNUMBER(B416),B416,NA()),NA())</f>
        <v>#N/A</v>
      </c>
    </row>
    <row r="417" spans="2:6" ht="21" customHeight="1">
      <c r="B417" s="11"/>
      <c r="F417" s="2" t="e">
        <f>IF(Data!$H$2,IF(ISNUMBER(B417),B417,NA()),NA())</f>
        <v>#N/A</v>
      </c>
    </row>
    <row r="418" spans="2:6" ht="21" customHeight="1">
      <c r="B418" s="11"/>
      <c r="F418" s="2" t="e">
        <f>IF(Data!$H$2,IF(ISNUMBER(B418),B418,NA()),NA())</f>
        <v>#N/A</v>
      </c>
    </row>
    <row r="419" spans="2:6" ht="21" customHeight="1">
      <c r="B419" s="11"/>
      <c r="F419" s="2" t="e">
        <f>IF(Data!$H$2,IF(ISNUMBER(B419),B419,NA()),NA())</f>
        <v>#N/A</v>
      </c>
    </row>
    <row r="420" spans="2:6" ht="21" customHeight="1">
      <c r="B420" s="11"/>
      <c r="F420" s="2" t="e">
        <f>IF(Data!$H$2,IF(ISNUMBER(B420),B420,NA()),NA())</f>
        <v>#N/A</v>
      </c>
    </row>
    <row r="421" spans="2:6" ht="21" customHeight="1">
      <c r="B421" s="11"/>
      <c r="F421" s="2" t="e">
        <f>IF(Data!$H$2,IF(ISNUMBER(B421),B421,NA()),NA())</f>
        <v>#N/A</v>
      </c>
    </row>
    <row r="422" spans="2:6" ht="21" customHeight="1">
      <c r="B422" s="11"/>
      <c r="F422" s="2" t="e">
        <f>IF(Data!$H$2,IF(ISNUMBER(B422),B422,NA()),NA())</f>
        <v>#N/A</v>
      </c>
    </row>
    <row r="423" spans="2:6" ht="21" customHeight="1">
      <c r="B423" s="11"/>
      <c r="F423" s="2" t="e">
        <f>IF(Data!$H$2,IF(ISNUMBER(B423),B423,NA()),NA())</f>
        <v>#N/A</v>
      </c>
    </row>
    <row r="424" spans="2:6" ht="21" customHeight="1">
      <c r="B424" s="11"/>
      <c r="F424" s="2" t="e">
        <f>IF(Data!$H$2,IF(ISNUMBER(B424),B424,NA()),NA())</f>
        <v>#N/A</v>
      </c>
    </row>
    <row r="425" spans="2:6" ht="21" customHeight="1">
      <c r="B425" s="11"/>
      <c r="F425" s="2" t="e">
        <f>IF(Data!$H$2,IF(ISNUMBER(B425),B425,NA()),NA())</f>
        <v>#N/A</v>
      </c>
    </row>
    <row r="426" spans="2:6" ht="21" customHeight="1">
      <c r="B426" s="11"/>
      <c r="F426" s="2" t="e">
        <f>IF(Data!$H$2,IF(ISNUMBER(B426),B426,NA()),NA())</f>
        <v>#N/A</v>
      </c>
    </row>
    <row r="427" spans="2:6" ht="21" customHeight="1">
      <c r="B427" s="11"/>
      <c r="F427" s="2" t="e">
        <f>IF(Data!$H$2,IF(ISNUMBER(B427),B427,NA()),NA())</f>
        <v>#N/A</v>
      </c>
    </row>
    <row r="428" spans="2:6" ht="21" customHeight="1">
      <c r="B428" s="11"/>
      <c r="F428" s="2" t="e">
        <f>IF(Data!$H$2,IF(ISNUMBER(B428),B428,NA()),NA())</f>
        <v>#N/A</v>
      </c>
    </row>
    <row r="429" spans="2:6" ht="21" customHeight="1">
      <c r="B429" s="11"/>
      <c r="F429" s="2" t="e">
        <f>IF(Data!$H$2,IF(ISNUMBER(B429),B429,NA()),NA())</f>
        <v>#N/A</v>
      </c>
    </row>
    <row r="430" spans="2:6" ht="21" customHeight="1">
      <c r="B430" s="11"/>
      <c r="F430" s="2" t="e">
        <f>IF(Data!$H$2,IF(ISNUMBER(B430),B430,NA()),NA())</f>
        <v>#N/A</v>
      </c>
    </row>
    <row r="431" spans="2:6" ht="21" customHeight="1">
      <c r="B431" s="11"/>
      <c r="F431" s="2" t="e">
        <f>IF(Data!$H$2,IF(ISNUMBER(B431),B431,NA()),NA())</f>
        <v>#N/A</v>
      </c>
    </row>
    <row r="432" spans="2:6" ht="21" customHeight="1">
      <c r="B432" s="11"/>
      <c r="F432" s="2" t="e">
        <f>IF(Data!$H$2,IF(ISNUMBER(B432),B432,NA()),NA())</f>
        <v>#N/A</v>
      </c>
    </row>
    <row r="433" spans="2:6" ht="21" customHeight="1">
      <c r="B433" s="11"/>
      <c r="F433" s="2" t="e">
        <f>IF(Data!$H$2,IF(ISNUMBER(B433),B433,NA()),NA())</f>
        <v>#N/A</v>
      </c>
    </row>
    <row r="434" spans="2:6" ht="21" customHeight="1">
      <c r="B434" s="11"/>
      <c r="F434" s="2" t="e">
        <f>IF(Data!$H$2,IF(ISNUMBER(B434),B434,NA()),NA())</f>
        <v>#N/A</v>
      </c>
    </row>
    <row r="435" spans="2:6" ht="21" customHeight="1">
      <c r="B435" s="11"/>
      <c r="F435" s="2" t="e">
        <f>IF(Data!$H$2,IF(ISNUMBER(B435),B435,NA()),NA())</f>
        <v>#N/A</v>
      </c>
    </row>
    <row r="436" spans="2:6" ht="21" customHeight="1">
      <c r="B436" s="11"/>
      <c r="F436" s="2" t="e">
        <f>IF(Data!$H$2,IF(ISNUMBER(B436),B436,NA()),NA())</f>
        <v>#N/A</v>
      </c>
    </row>
    <row r="437" spans="2:6" ht="21" customHeight="1">
      <c r="B437" s="11"/>
      <c r="F437" s="2" t="e">
        <f>IF(Data!$H$2,IF(ISNUMBER(B437),B437,NA()),NA())</f>
        <v>#N/A</v>
      </c>
    </row>
    <row r="438" spans="2:6" ht="21" customHeight="1">
      <c r="B438" s="11"/>
      <c r="F438" s="2" t="e">
        <f>IF(Data!$H$2,IF(ISNUMBER(B438),B438,NA()),NA())</f>
        <v>#N/A</v>
      </c>
    </row>
    <row r="439" spans="2:6" ht="21" customHeight="1">
      <c r="B439" s="11"/>
      <c r="F439" s="2" t="e">
        <f>IF(Data!$H$2,IF(ISNUMBER(B439),B439,NA()),NA())</f>
        <v>#N/A</v>
      </c>
    </row>
    <row r="440" spans="2:6" ht="21" customHeight="1">
      <c r="B440" s="11"/>
      <c r="F440" s="2" t="e">
        <f>IF(Data!$H$2,IF(ISNUMBER(B440),B440,NA()),NA())</f>
        <v>#N/A</v>
      </c>
    </row>
    <row r="441" spans="2:6" ht="21" customHeight="1">
      <c r="B441" s="11"/>
      <c r="F441" s="2" t="e">
        <f>IF(Data!$H$2,IF(ISNUMBER(B441),B441,NA()),NA())</f>
        <v>#N/A</v>
      </c>
    </row>
    <row r="442" spans="2:6" ht="21" customHeight="1">
      <c r="B442" s="11"/>
      <c r="F442" s="2" t="e">
        <f>IF(Data!$H$2,IF(ISNUMBER(B442),B442,NA()),NA())</f>
        <v>#N/A</v>
      </c>
    </row>
    <row r="443" spans="2:6" ht="21" customHeight="1">
      <c r="B443" s="11"/>
      <c r="F443" s="2" t="e">
        <f>IF(Data!$H$2,IF(ISNUMBER(B443),B443,NA()),NA())</f>
        <v>#N/A</v>
      </c>
    </row>
    <row r="444" spans="2:6" ht="21" customHeight="1">
      <c r="B444" s="11"/>
      <c r="F444" s="2" t="e">
        <f>IF(Data!$H$2,IF(ISNUMBER(B444),B444,NA()),NA())</f>
        <v>#N/A</v>
      </c>
    </row>
    <row r="445" spans="2:6" ht="21" customHeight="1">
      <c r="B445" s="11"/>
      <c r="F445" s="2" t="e">
        <f>IF(Data!$H$2,IF(ISNUMBER(B445),B445,NA()),NA())</f>
        <v>#N/A</v>
      </c>
    </row>
    <row r="446" spans="2:6" ht="21" customHeight="1">
      <c r="B446" s="11"/>
      <c r="F446" s="2" t="e">
        <f>IF(Data!$H$2,IF(ISNUMBER(B446),B446,NA()),NA())</f>
        <v>#N/A</v>
      </c>
    </row>
    <row r="447" spans="2:6" ht="21" customHeight="1">
      <c r="B447" s="11"/>
      <c r="F447" s="2" t="e">
        <f>IF(Data!$H$2,IF(ISNUMBER(B447),B447,NA()),NA())</f>
        <v>#N/A</v>
      </c>
    </row>
    <row r="448" spans="2:6" ht="21" customHeight="1">
      <c r="B448" s="11"/>
      <c r="F448" s="2" t="e">
        <f>IF(Data!$H$2,IF(ISNUMBER(B448),B448,NA()),NA())</f>
        <v>#N/A</v>
      </c>
    </row>
    <row r="449" spans="2:6" ht="21" customHeight="1">
      <c r="B449" s="11"/>
      <c r="F449" s="2" t="e">
        <f>IF(Data!$H$2,IF(ISNUMBER(B449),B449,NA()),NA())</f>
        <v>#N/A</v>
      </c>
    </row>
    <row r="450" spans="2:6" ht="21" customHeight="1">
      <c r="B450" s="11"/>
      <c r="F450" s="2" t="e">
        <f>IF(Data!$H$2,IF(ISNUMBER(B450),B450,NA()),NA())</f>
        <v>#N/A</v>
      </c>
    </row>
    <row r="451" spans="2:6" ht="21" customHeight="1">
      <c r="B451" s="11"/>
      <c r="F451" s="2" t="e">
        <f>IF(Data!$H$2,IF(ISNUMBER(B451),B451,NA()),NA())</f>
        <v>#N/A</v>
      </c>
    </row>
    <row r="452" spans="2:6" ht="21" customHeight="1">
      <c r="B452" s="11"/>
      <c r="F452" s="2" t="e">
        <f>IF(Data!$H$2,IF(ISNUMBER(B452),B452,NA()),NA())</f>
        <v>#N/A</v>
      </c>
    </row>
    <row r="453" spans="2:6" ht="21" customHeight="1">
      <c r="B453" s="11"/>
      <c r="F453" s="2" t="e">
        <f>IF(Data!$H$2,IF(ISNUMBER(B453),B453,NA()),NA())</f>
        <v>#N/A</v>
      </c>
    </row>
    <row r="454" spans="2:6" ht="21" customHeight="1">
      <c r="B454" s="11"/>
      <c r="F454" s="2" t="e">
        <f>IF(Data!$H$2,IF(ISNUMBER(B454),B454,NA()),NA())</f>
        <v>#N/A</v>
      </c>
    </row>
    <row r="455" spans="2:6" ht="21" customHeight="1">
      <c r="B455" s="11"/>
      <c r="F455" s="2" t="e">
        <f>IF(Data!$H$2,IF(ISNUMBER(B455),B455,NA()),NA())</f>
        <v>#N/A</v>
      </c>
    </row>
    <row r="456" spans="2:6" ht="21" customHeight="1">
      <c r="B456" s="11"/>
      <c r="F456" s="2" t="e">
        <f>IF(Data!$H$2,IF(ISNUMBER(B456),B456,NA()),NA())</f>
        <v>#N/A</v>
      </c>
    </row>
    <row r="457" spans="2:6" ht="21" customHeight="1">
      <c r="B457" s="11"/>
      <c r="F457" s="2" t="e">
        <f>IF(Data!$H$2,IF(ISNUMBER(B457),B457,NA()),NA())</f>
        <v>#N/A</v>
      </c>
    </row>
    <row r="458" spans="2:6" ht="21" customHeight="1">
      <c r="B458" s="11"/>
      <c r="F458" s="2" t="e">
        <f>IF(Data!$H$2,IF(ISNUMBER(B458),B458,NA()),NA())</f>
        <v>#N/A</v>
      </c>
    </row>
    <row r="459" spans="2:6" ht="21" customHeight="1">
      <c r="B459" s="11"/>
      <c r="F459" s="2" t="e">
        <f>IF(Data!$H$2,IF(ISNUMBER(B459),B459,NA()),NA())</f>
        <v>#N/A</v>
      </c>
    </row>
    <row r="460" spans="2:6" ht="21" customHeight="1">
      <c r="B460" s="11"/>
      <c r="F460" s="2" t="e">
        <f>IF(Data!$H$2,IF(ISNUMBER(B460),B460,NA()),NA())</f>
        <v>#N/A</v>
      </c>
    </row>
    <row r="461" spans="2:6" ht="21" customHeight="1">
      <c r="B461" s="11"/>
      <c r="F461" s="2" t="e">
        <f>IF(Data!$H$2,IF(ISNUMBER(B461),B461,NA()),NA())</f>
        <v>#N/A</v>
      </c>
    </row>
    <row r="462" spans="2:6" ht="21" customHeight="1">
      <c r="B462" s="11"/>
      <c r="F462" s="2" t="e">
        <f>IF(Data!$H$2,IF(ISNUMBER(B462),B462,NA()),NA())</f>
        <v>#N/A</v>
      </c>
    </row>
    <row r="463" spans="2:6" ht="21" customHeight="1">
      <c r="B463" s="11"/>
      <c r="F463" s="2" t="e">
        <f>IF(Data!$H$2,IF(ISNUMBER(B463),B463,NA()),NA())</f>
        <v>#N/A</v>
      </c>
    </row>
    <row r="464" spans="2:6" ht="21" customHeight="1">
      <c r="B464" s="11"/>
      <c r="F464" s="2" t="e">
        <f>IF(Data!$H$2,IF(ISNUMBER(B464),B464,NA()),NA())</f>
        <v>#N/A</v>
      </c>
    </row>
    <row r="465" spans="2:6" ht="21" customHeight="1">
      <c r="B465" s="11"/>
      <c r="F465" s="2" t="e">
        <f>IF(Data!$H$2,IF(ISNUMBER(B465),B465,NA()),NA())</f>
        <v>#N/A</v>
      </c>
    </row>
    <row r="466" spans="2:6" ht="21" customHeight="1">
      <c r="B466" s="11"/>
      <c r="F466" s="2" t="e">
        <f>IF(Data!$H$2,IF(ISNUMBER(B466),B466,NA()),NA())</f>
        <v>#N/A</v>
      </c>
    </row>
    <row r="467" spans="2:6" ht="21" customHeight="1">
      <c r="B467" s="11"/>
      <c r="F467" s="2" t="e">
        <f>IF(Data!$H$2,IF(ISNUMBER(B467),B467,NA()),NA())</f>
        <v>#N/A</v>
      </c>
    </row>
    <row r="468" spans="2:6" ht="21" customHeight="1">
      <c r="B468" s="11"/>
      <c r="F468" s="2" t="e">
        <f>IF(Data!$H$2,IF(ISNUMBER(B468),B468,NA()),NA())</f>
        <v>#N/A</v>
      </c>
    </row>
    <row r="469" spans="2:6" ht="21" customHeight="1">
      <c r="B469" s="11"/>
      <c r="F469" s="2" t="e">
        <f>IF(Data!$H$2,IF(ISNUMBER(B469),B469,NA()),NA())</f>
        <v>#N/A</v>
      </c>
    </row>
    <row r="470" spans="2:6" ht="21" customHeight="1">
      <c r="B470" s="11"/>
      <c r="F470" s="2" t="e">
        <f>IF(Data!$H$2,IF(ISNUMBER(B470),B470,NA()),NA())</f>
        <v>#N/A</v>
      </c>
    </row>
    <row r="471" spans="2:6" ht="21" customHeight="1">
      <c r="B471" s="11"/>
      <c r="F471" s="2" t="e">
        <f>IF(Data!$H$2,IF(ISNUMBER(B471),B471,NA()),NA())</f>
        <v>#N/A</v>
      </c>
    </row>
    <row r="472" spans="2:6" ht="21" customHeight="1">
      <c r="B472" s="11"/>
      <c r="F472" s="2" t="e">
        <f>IF(Data!$H$2,IF(ISNUMBER(B472),B472,NA()),NA())</f>
        <v>#N/A</v>
      </c>
    </row>
    <row r="473" spans="2:6" ht="21" customHeight="1">
      <c r="B473" s="11"/>
      <c r="F473" s="2" t="e">
        <f>IF(Data!$H$2,IF(ISNUMBER(B473),B473,NA()),NA())</f>
        <v>#N/A</v>
      </c>
    </row>
    <row r="474" spans="2:6" ht="21" customHeight="1">
      <c r="B474" s="11"/>
      <c r="F474" s="2" t="e">
        <f>IF(Data!$H$2,IF(ISNUMBER(B474),B474,NA()),NA())</f>
        <v>#N/A</v>
      </c>
    </row>
    <row r="475" spans="2:6" ht="21" customHeight="1">
      <c r="B475" s="11"/>
      <c r="F475" s="2" t="e">
        <f>IF(Data!$H$2,IF(ISNUMBER(B475),B475,NA()),NA())</f>
        <v>#N/A</v>
      </c>
    </row>
    <row r="476" spans="2:6" ht="21" customHeight="1">
      <c r="B476" s="11"/>
      <c r="F476" s="2" t="e">
        <f>IF(Data!$H$2,IF(ISNUMBER(B476),B476,NA()),NA())</f>
        <v>#N/A</v>
      </c>
    </row>
    <row r="477" spans="2:6" ht="21" customHeight="1">
      <c r="B477" s="11"/>
      <c r="F477" s="2" t="e">
        <f>IF(Data!$H$2,IF(ISNUMBER(B477),B477,NA()),NA())</f>
        <v>#N/A</v>
      </c>
    </row>
    <row r="478" spans="2:6" ht="21" customHeight="1">
      <c r="B478" s="11"/>
      <c r="F478" s="2" t="e">
        <f>IF(Data!$H$2,IF(ISNUMBER(B478),B478,NA()),NA())</f>
        <v>#N/A</v>
      </c>
    </row>
    <row r="479" spans="2:6" ht="21" customHeight="1">
      <c r="B479" s="11"/>
      <c r="F479" s="2" t="e">
        <f>IF(Data!$H$2,IF(ISNUMBER(B479),B479,NA()),NA())</f>
        <v>#N/A</v>
      </c>
    </row>
    <row r="480" spans="2:6" ht="21" customHeight="1">
      <c r="B480" s="11"/>
      <c r="F480" s="2" t="e">
        <f>IF(Data!$H$2,IF(ISNUMBER(B480),B480,NA()),NA())</f>
        <v>#N/A</v>
      </c>
    </row>
    <row r="481" spans="2:6" ht="21" customHeight="1">
      <c r="B481" s="11"/>
      <c r="F481" s="2" t="e">
        <f>IF(Data!$H$2,IF(ISNUMBER(B481),B481,NA()),NA())</f>
        <v>#N/A</v>
      </c>
    </row>
    <row r="482" spans="2:6" ht="21" customHeight="1">
      <c r="B482" s="11"/>
      <c r="F482" s="2" t="e">
        <f>IF(Data!$H$2,IF(ISNUMBER(B482),B482,NA()),NA())</f>
        <v>#N/A</v>
      </c>
    </row>
    <row r="483" spans="2:6" ht="21" customHeight="1">
      <c r="B483" s="11"/>
      <c r="F483" s="2" t="e">
        <f>IF(Data!$H$2,IF(ISNUMBER(B483),B483,NA()),NA())</f>
        <v>#N/A</v>
      </c>
    </row>
    <row r="484" spans="2:6" ht="21" customHeight="1">
      <c r="B484" s="11"/>
      <c r="F484" s="2" t="e">
        <f>IF(Data!$H$2,IF(ISNUMBER(B484),B484,NA()),NA())</f>
        <v>#N/A</v>
      </c>
    </row>
    <row r="485" spans="2:6" ht="21" customHeight="1">
      <c r="B485" s="11"/>
      <c r="F485" s="2" t="e">
        <f>IF(Data!$H$2,IF(ISNUMBER(B485),B485,NA()),NA())</f>
        <v>#N/A</v>
      </c>
    </row>
    <row r="486" spans="2:6" ht="21" customHeight="1">
      <c r="B486" s="11"/>
      <c r="F486" s="2" t="e">
        <f>IF(Data!$H$2,IF(ISNUMBER(B486),B486,NA()),NA())</f>
        <v>#N/A</v>
      </c>
    </row>
    <row r="487" spans="2:6" ht="21" customHeight="1">
      <c r="B487" s="11"/>
      <c r="F487" s="2" t="e">
        <f>IF(Data!$H$2,IF(ISNUMBER(B487),B487,NA()),NA())</f>
        <v>#N/A</v>
      </c>
    </row>
    <row r="488" spans="2:6" ht="21" customHeight="1">
      <c r="B488" s="11"/>
      <c r="F488" s="2" t="e">
        <f>IF(Data!$H$2,IF(ISNUMBER(B488),B488,NA()),NA())</f>
        <v>#N/A</v>
      </c>
    </row>
    <row r="489" spans="2:6" ht="21" customHeight="1">
      <c r="B489" s="11"/>
      <c r="F489" s="2" t="e">
        <f>IF(Data!$H$2,IF(ISNUMBER(B489),B489,NA()),NA())</f>
        <v>#N/A</v>
      </c>
    </row>
    <row r="490" spans="2:6" ht="21" customHeight="1">
      <c r="B490" s="11"/>
      <c r="F490" s="2" t="e">
        <f>IF(Data!$H$2,IF(ISNUMBER(B490),B490,NA()),NA())</f>
        <v>#N/A</v>
      </c>
    </row>
    <row r="491" spans="2:6" ht="21" customHeight="1">
      <c r="B491" s="11"/>
      <c r="F491" s="2" t="e">
        <f>IF(Data!$H$2,IF(ISNUMBER(B491),B491,NA()),NA())</f>
        <v>#N/A</v>
      </c>
    </row>
    <row r="492" spans="2:6" ht="21" customHeight="1">
      <c r="B492" s="11"/>
      <c r="F492" s="2" t="e">
        <f>IF(Data!$H$2,IF(ISNUMBER(B492),B492,NA()),NA())</f>
        <v>#N/A</v>
      </c>
    </row>
    <row r="493" spans="2:6" ht="21" customHeight="1">
      <c r="B493" s="11"/>
      <c r="F493" s="2" t="e">
        <f>IF(Data!$H$2,IF(ISNUMBER(B493),B493,NA()),NA())</f>
        <v>#N/A</v>
      </c>
    </row>
    <row r="494" spans="2:6" ht="21" customHeight="1">
      <c r="B494" s="11"/>
      <c r="F494" s="2" t="e">
        <f>IF(Data!$H$2,IF(ISNUMBER(B494),B494,NA()),NA())</f>
        <v>#N/A</v>
      </c>
    </row>
    <row r="495" spans="2:6" ht="21" customHeight="1">
      <c r="B495" s="11"/>
      <c r="F495" s="2" t="e">
        <f>IF(Data!$H$2,IF(ISNUMBER(B495),B495,NA()),NA())</f>
        <v>#N/A</v>
      </c>
    </row>
    <row r="496" spans="2:6" ht="21" customHeight="1">
      <c r="B496" s="11"/>
      <c r="F496" s="2" t="e">
        <f>IF(Data!$H$2,IF(ISNUMBER(B496),B496,NA()),NA())</f>
        <v>#N/A</v>
      </c>
    </row>
    <row r="497" spans="2:6" ht="21" customHeight="1">
      <c r="B497" s="11"/>
      <c r="F497" s="2" t="e">
        <f>IF(Data!$H$2,IF(ISNUMBER(B497),B497,NA()),NA())</f>
        <v>#N/A</v>
      </c>
    </row>
    <row r="498" spans="2:6" ht="21" customHeight="1">
      <c r="B498" s="11"/>
      <c r="F498" s="2" t="e">
        <f>IF(Data!$H$2,IF(ISNUMBER(B498),B498,NA()),NA())</f>
        <v>#N/A</v>
      </c>
    </row>
    <row r="499" spans="2:6" ht="21" customHeight="1">
      <c r="B499" s="11"/>
      <c r="F499" s="2" t="e">
        <f>IF(Data!$H$2,IF(ISNUMBER(B499),B499,NA()),NA())</f>
        <v>#N/A</v>
      </c>
    </row>
    <row r="500" spans="2:6" ht="21" customHeight="1">
      <c r="B500" s="11"/>
      <c r="F500" s="2" t="e">
        <f>IF(Data!$H$2,IF(ISNUMBER(B500),B500,NA()),NA())</f>
        <v>#N/A</v>
      </c>
    </row>
    <row r="501" spans="2:6" ht="21" customHeight="1">
      <c r="B501" s="11"/>
      <c r="F501" s="2" t="e">
        <f>IF(Data!$H$2,IF(ISNUMBER(B501),B501,NA()),NA())</f>
        <v>#N/A</v>
      </c>
    </row>
    <row r="502" spans="2:6" ht="21" customHeight="1">
      <c r="B502" s="11"/>
      <c r="F502" s="2" t="e">
        <f>IF(Data!$H$2,IF(ISNUMBER(B502),B502,NA()),NA())</f>
        <v>#N/A</v>
      </c>
    </row>
    <row r="503" spans="2:6" ht="21" customHeight="1">
      <c r="B503" s="11"/>
      <c r="F503" s="2" t="e">
        <f>IF(Data!$H$2,IF(ISNUMBER(B503),B503,NA()),NA())</f>
        <v>#N/A</v>
      </c>
    </row>
    <row r="504" spans="2:6" ht="21" customHeight="1">
      <c r="B504" s="11"/>
      <c r="F504" s="2" t="e">
        <f>IF(Data!$H$2,IF(ISNUMBER(B504),B504,NA()),NA())</f>
        <v>#N/A</v>
      </c>
    </row>
    <row r="505" spans="2:6" ht="21" customHeight="1">
      <c r="B505" s="11"/>
      <c r="F505" s="2" t="e">
        <f>IF(Data!$H$2,IF(ISNUMBER(B505),B505,NA()),NA())</f>
        <v>#N/A</v>
      </c>
    </row>
    <row r="506" spans="2:6" ht="21" customHeight="1">
      <c r="B506" s="11"/>
      <c r="F506" s="2" t="e">
        <f>IF(Data!$H$2,IF(ISNUMBER(B506),B506,NA()),NA())</f>
        <v>#N/A</v>
      </c>
    </row>
    <row r="507" spans="2:6" ht="21" customHeight="1">
      <c r="B507" s="11"/>
      <c r="F507" s="2" t="e">
        <f>IF(Data!$H$2,IF(ISNUMBER(B507),B507,NA()),NA())</f>
        <v>#N/A</v>
      </c>
    </row>
    <row r="508" spans="2:6" ht="21" customHeight="1">
      <c r="B508" s="11"/>
      <c r="F508" s="2" t="e">
        <f>IF(Data!$H$2,IF(ISNUMBER(B508),B508,NA()),NA())</f>
        <v>#N/A</v>
      </c>
    </row>
    <row r="509" spans="2:6" ht="21" customHeight="1">
      <c r="B509" s="11"/>
      <c r="F509" s="2" t="e">
        <f>IF(Data!$H$2,IF(ISNUMBER(B509),B509,NA()),NA())</f>
        <v>#N/A</v>
      </c>
    </row>
    <row r="510" spans="2:6" ht="21" customHeight="1">
      <c r="B510" s="11"/>
      <c r="F510" s="2" t="e">
        <f>IF(Data!$H$2,IF(ISNUMBER(B510),B510,NA()),NA())</f>
        <v>#N/A</v>
      </c>
    </row>
    <row r="511" spans="2:6" ht="21" customHeight="1">
      <c r="B511" s="11"/>
      <c r="F511" s="2" t="e">
        <f>IF(Data!$H$2,IF(ISNUMBER(B511),B511,NA()),NA())</f>
        <v>#N/A</v>
      </c>
    </row>
    <row r="512" spans="2:6" ht="21" customHeight="1">
      <c r="B512" s="11"/>
      <c r="F512" s="2" t="e">
        <f>IF(Data!$H$2,IF(ISNUMBER(B512),B512,NA()),NA())</f>
        <v>#N/A</v>
      </c>
    </row>
    <row r="513" spans="2:6" ht="21" customHeight="1">
      <c r="B513" s="11"/>
      <c r="F513" s="2" t="e">
        <f>IF(Data!$H$2,IF(ISNUMBER(B513),B513,NA()),NA())</f>
        <v>#N/A</v>
      </c>
    </row>
    <row r="514" spans="2:6" ht="21" customHeight="1">
      <c r="B514" s="11"/>
      <c r="F514" s="2" t="e">
        <f>IF(Data!$H$2,IF(ISNUMBER(B514),B514,NA()),NA())</f>
        <v>#N/A</v>
      </c>
    </row>
    <row r="515" spans="2:6" ht="21" customHeight="1">
      <c r="B515" s="11"/>
      <c r="F515" s="2" t="e">
        <f>IF(Data!$H$2,IF(ISNUMBER(B515),B515,NA()),NA())</f>
        <v>#N/A</v>
      </c>
    </row>
    <row r="516" spans="2:6" ht="21" customHeight="1">
      <c r="B516" s="11"/>
      <c r="F516" s="2" t="e">
        <f>IF(Data!$H$2,IF(ISNUMBER(B516),B516,NA()),NA())</f>
        <v>#N/A</v>
      </c>
    </row>
    <row r="517" spans="2:6" ht="21" customHeight="1">
      <c r="B517" s="11"/>
      <c r="F517" s="2" t="e">
        <f>IF(Data!$H$2,IF(ISNUMBER(B517),B517,NA()),NA())</f>
        <v>#N/A</v>
      </c>
    </row>
    <row r="518" spans="2:6" ht="21" customHeight="1">
      <c r="B518" s="11"/>
      <c r="F518" s="2" t="e">
        <f>IF(Data!$H$2,IF(ISNUMBER(B518),B518,NA()),NA())</f>
        <v>#N/A</v>
      </c>
    </row>
    <row r="519" spans="2:6" ht="21" customHeight="1">
      <c r="B519" s="11"/>
      <c r="F519" s="2" t="e">
        <f>IF(Data!$H$2,IF(ISNUMBER(B519),B519,NA()),NA())</f>
        <v>#N/A</v>
      </c>
    </row>
    <row r="520" spans="2:6" ht="21" customHeight="1">
      <c r="B520" s="11"/>
      <c r="F520" s="2" t="e">
        <f>IF(Data!$H$2,IF(ISNUMBER(B520),B520,NA()),NA())</f>
        <v>#N/A</v>
      </c>
    </row>
    <row r="521" spans="2:6" ht="21" customHeight="1">
      <c r="B521" s="11"/>
      <c r="F521" s="2" t="e">
        <f>IF(Data!$H$2,IF(ISNUMBER(B521),B521,NA()),NA())</f>
        <v>#N/A</v>
      </c>
    </row>
    <row r="522" spans="2:6" ht="21" customHeight="1">
      <c r="B522" s="11"/>
      <c r="F522" s="2" t="e">
        <f>IF(Data!$H$2,IF(ISNUMBER(B522),B522,NA()),NA())</f>
        <v>#N/A</v>
      </c>
    </row>
    <row r="523" spans="2:6" ht="21" customHeight="1">
      <c r="B523" s="11"/>
      <c r="F523" s="2" t="e">
        <f>IF(Data!$H$2,IF(ISNUMBER(B523),B523,NA()),NA())</f>
        <v>#N/A</v>
      </c>
    </row>
    <row r="524" spans="2:6" ht="21" customHeight="1">
      <c r="B524" s="11"/>
      <c r="F524" s="2" t="e">
        <f>IF(Data!$H$2,IF(ISNUMBER(B524),B524,NA()),NA())</f>
        <v>#N/A</v>
      </c>
    </row>
    <row r="525" spans="2:6" ht="21" customHeight="1">
      <c r="B525" s="11"/>
      <c r="F525" s="2" t="e">
        <f>IF(Data!$H$2,IF(ISNUMBER(B525),B525,NA()),NA())</f>
        <v>#N/A</v>
      </c>
    </row>
    <row r="526" spans="2:6" ht="21" customHeight="1">
      <c r="B526" s="11"/>
      <c r="F526" s="2" t="e">
        <f>IF(Data!$H$2,IF(ISNUMBER(B526),B526,NA()),NA())</f>
        <v>#N/A</v>
      </c>
    </row>
    <row r="527" spans="2:6" ht="21" customHeight="1">
      <c r="B527" s="11"/>
      <c r="F527" s="2" t="e">
        <f>IF(Data!$H$2,IF(ISNUMBER(B527),B527,NA()),NA())</f>
        <v>#N/A</v>
      </c>
    </row>
    <row r="528" spans="2:6" ht="21" customHeight="1">
      <c r="B528" s="11"/>
      <c r="F528" s="2" t="e">
        <f>IF(Data!$H$2,IF(ISNUMBER(B528),B528,NA()),NA())</f>
        <v>#N/A</v>
      </c>
    </row>
    <row r="529" spans="2:6" ht="21" customHeight="1">
      <c r="B529" s="11"/>
      <c r="F529" s="2" t="e">
        <f>IF(Data!$H$2,IF(ISNUMBER(B529),B529,NA()),NA())</f>
        <v>#N/A</v>
      </c>
    </row>
    <row r="530" spans="2:6" ht="21" customHeight="1">
      <c r="B530" s="11"/>
      <c r="F530" s="2" t="e">
        <f>IF(Data!$H$2,IF(ISNUMBER(B530),B530,NA()),NA())</f>
        <v>#N/A</v>
      </c>
    </row>
    <row r="531" spans="2:6" ht="21" customHeight="1">
      <c r="B531" s="11"/>
      <c r="F531" s="2" t="e">
        <f>IF(Data!$H$2,IF(ISNUMBER(B531),B531,NA()),NA())</f>
        <v>#N/A</v>
      </c>
    </row>
    <row r="532" spans="2:6" ht="21" customHeight="1">
      <c r="B532" s="11"/>
      <c r="F532" s="2" t="e">
        <f>IF(Data!$H$2,IF(ISNUMBER(B532),B532,NA()),NA())</f>
        <v>#N/A</v>
      </c>
    </row>
    <row r="533" spans="2:6" ht="21" customHeight="1">
      <c r="B533" s="11"/>
      <c r="F533" s="2" t="e">
        <f>IF(Data!$H$2,IF(ISNUMBER(B533),B533,NA()),NA())</f>
        <v>#N/A</v>
      </c>
    </row>
    <row r="534" spans="2:6" ht="21" customHeight="1">
      <c r="B534" s="11"/>
      <c r="F534" s="2" t="e">
        <f>IF(Data!$H$2,IF(ISNUMBER(B534),B534,NA()),NA())</f>
        <v>#N/A</v>
      </c>
    </row>
    <row r="535" spans="2:6" ht="21" customHeight="1">
      <c r="B535" s="11"/>
      <c r="F535" s="2" t="e">
        <f>IF(Data!$H$2,IF(ISNUMBER(B535),B535,NA()),NA())</f>
        <v>#N/A</v>
      </c>
    </row>
    <row r="536" spans="2:6" ht="21" customHeight="1">
      <c r="B536" s="11"/>
      <c r="F536" s="2" t="e">
        <f>IF(Data!$H$2,IF(ISNUMBER(B536),B536,NA()),NA())</f>
        <v>#N/A</v>
      </c>
    </row>
    <row r="537" spans="2:6" ht="21" customHeight="1">
      <c r="B537" s="11"/>
      <c r="F537" s="2" t="e">
        <f>IF(Data!$H$2,IF(ISNUMBER(B537),B537,NA()),NA())</f>
        <v>#N/A</v>
      </c>
    </row>
    <row r="538" spans="2:6" ht="21" customHeight="1">
      <c r="B538" s="11"/>
      <c r="F538" s="2" t="e">
        <f>IF(Data!$H$2,IF(ISNUMBER(B538),B538,NA()),NA())</f>
        <v>#N/A</v>
      </c>
    </row>
    <row r="539" spans="2:6" ht="21" customHeight="1">
      <c r="B539" s="11"/>
      <c r="F539" s="2" t="e">
        <f>IF(Data!$H$2,IF(ISNUMBER(B539),B539,NA()),NA())</f>
        <v>#N/A</v>
      </c>
    </row>
    <row r="540" spans="2:6" ht="21" customHeight="1">
      <c r="B540" s="11"/>
      <c r="F540" s="2" t="e">
        <f>IF(Data!$H$2,IF(ISNUMBER(B540),B540,NA()),NA())</f>
        <v>#N/A</v>
      </c>
    </row>
    <row r="541" spans="2:6" ht="21" customHeight="1">
      <c r="B541" s="11"/>
      <c r="F541" s="2" t="e">
        <f>IF(Data!$H$2,IF(ISNUMBER(B541),B541,NA()),NA())</f>
        <v>#N/A</v>
      </c>
    </row>
    <row r="542" spans="2:6" ht="21" customHeight="1">
      <c r="B542" s="11"/>
      <c r="F542" s="2" t="e">
        <f>IF(Data!$H$2,IF(ISNUMBER(B542),B542,NA()),NA())</f>
        <v>#N/A</v>
      </c>
    </row>
    <row r="543" spans="2:6" ht="21" customHeight="1">
      <c r="B543" s="11"/>
      <c r="F543" s="2" t="e">
        <f>IF(Data!$H$2,IF(ISNUMBER(B543),B543,NA()),NA())</f>
        <v>#N/A</v>
      </c>
    </row>
    <row r="544" spans="2:6" ht="21" customHeight="1">
      <c r="B544" s="11"/>
      <c r="F544" s="2" t="e">
        <f>IF(Data!$H$2,IF(ISNUMBER(B544),B544,NA()),NA())</f>
        <v>#N/A</v>
      </c>
    </row>
    <row r="545" spans="2:6" ht="21" customHeight="1">
      <c r="B545" s="11"/>
      <c r="F545" s="2" t="e">
        <f>IF(Data!$H$2,IF(ISNUMBER(B545),B545,NA()),NA())</f>
        <v>#N/A</v>
      </c>
    </row>
    <row r="546" spans="2:6" ht="21" customHeight="1">
      <c r="B546" s="11"/>
      <c r="F546" s="2" t="e">
        <f>IF(Data!$H$2,IF(ISNUMBER(B546),B546,NA()),NA())</f>
        <v>#N/A</v>
      </c>
    </row>
    <row r="547" spans="2:6" ht="21" customHeight="1">
      <c r="B547" s="11"/>
      <c r="F547" s="2" t="e">
        <f>IF(Data!$H$2,IF(ISNUMBER(B547),B547,NA()),NA())</f>
        <v>#N/A</v>
      </c>
    </row>
    <row r="548" spans="2:6" ht="21" customHeight="1">
      <c r="B548" s="11"/>
      <c r="F548" s="2" t="e">
        <f>IF(Data!$H$2,IF(ISNUMBER(B548),B548,NA()),NA())</f>
        <v>#N/A</v>
      </c>
    </row>
    <row r="549" spans="2:6" ht="21" customHeight="1">
      <c r="B549" s="11"/>
      <c r="F549" s="2" t="e">
        <f>IF(Data!$H$2,IF(ISNUMBER(B549),B549,NA()),NA())</f>
        <v>#N/A</v>
      </c>
    </row>
    <row r="550" spans="2:6" ht="21" customHeight="1">
      <c r="B550" s="11"/>
      <c r="F550" s="2" t="e">
        <f>IF(Data!$H$2,IF(ISNUMBER(B550),B550,NA()),NA())</f>
        <v>#N/A</v>
      </c>
    </row>
    <row r="551" spans="2:6" ht="21" customHeight="1">
      <c r="B551" s="11"/>
      <c r="F551" s="2" t="e">
        <f>IF(Data!$H$2,IF(ISNUMBER(B551),B551,NA()),NA())</f>
        <v>#N/A</v>
      </c>
    </row>
    <row r="552" spans="2:6" ht="21" customHeight="1">
      <c r="B552" s="11"/>
      <c r="F552" s="2" t="e">
        <f>IF(Data!$H$2,IF(ISNUMBER(B552),B552,NA()),NA())</f>
        <v>#N/A</v>
      </c>
    </row>
    <row r="553" spans="2:6" ht="21" customHeight="1">
      <c r="B553" s="11"/>
      <c r="F553" s="2" t="e">
        <f>IF(Data!$H$2,IF(ISNUMBER(B553),B553,NA()),NA())</f>
        <v>#N/A</v>
      </c>
    </row>
    <row r="554" spans="2:6" ht="21" customHeight="1">
      <c r="B554" s="11"/>
      <c r="F554" s="2" t="e">
        <f>IF(Data!$H$2,IF(ISNUMBER(B554),B554,NA()),NA())</f>
        <v>#N/A</v>
      </c>
    </row>
    <row r="555" spans="2:6" ht="21" customHeight="1">
      <c r="B555" s="11"/>
      <c r="F555" s="2" t="e">
        <f>IF(Data!$H$2,IF(ISNUMBER(B555),B555,NA()),NA())</f>
        <v>#N/A</v>
      </c>
    </row>
    <row r="556" spans="2:6" ht="21" customHeight="1">
      <c r="B556" s="11"/>
      <c r="F556" s="2" t="e">
        <f>IF(Data!$H$2,IF(ISNUMBER(B556),B556,NA()),NA())</f>
        <v>#N/A</v>
      </c>
    </row>
    <row r="557" spans="2:6" ht="21" customHeight="1">
      <c r="B557" s="11"/>
      <c r="F557" s="2" t="e">
        <f>IF(Data!$H$2,IF(ISNUMBER(B557),B557,NA()),NA())</f>
        <v>#N/A</v>
      </c>
    </row>
    <row r="558" spans="2:6" ht="21" customHeight="1">
      <c r="B558" s="11"/>
      <c r="F558" s="2" t="e">
        <f>IF(Data!$H$2,IF(ISNUMBER(B558),B558,NA()),NA())</f>
        <v>#N/A</v>
      </c>
    </row>
    <row r="559" spans="2:6" ht="21" customHeight="1">
      <c r="B559" s="11"/>
      <c r="F559" s="2" t="e">
        <f>IF(Data!$H$2,IF(ISNUMBER(B559),B559,NA()),NA())</f>
        <v>#N/A</v>
      </c>
    </row>
    <row r="560" spans="2:6" ht="21" customHeight="1">
      <c r="B560" s="11"/>
      <c r="F560" s="2" t="e">
        <f>IF(Data!$H$2,IF(ISNUMBER(B560),B560,NA()),NA())</f>
        <v>#N/A</v>
      </c>
    </row>
    <row r="561" spans="2:6" ht="21" customHeight="1">
      <c r="B561" s="11"/>
      <c r="F561" s="2" t="e">
        <f>IF(Data!$H$2,IF(ISNUMBER(B561),B561,NA()),NA())</f>
        <v>#N/A</v>
      </c>
    </row>
    <row r="562" spans="2:6" ht="21" customHeight="1">
      <c r="B562" s="11"/>
      <c r="F562" s="2" t="e">
        <f>IF(Data!$H$2,IF(ISNUMBER(B562),B562,NA()),NA())</f>
        <v>#N/A</v>
      </c>
    </row>
    <row r="563" spans="2:6" ht="21" customHeight="1">
      <c r="B563" s="11"/>
      <c r="F563" s="2" t="e">
        <f>IF(Data!$H$2,IF(ISNUMBER(B563),B563,NA()),NA())</f>
        <v>#N/A</v>
      </c>
    </row>
    <row r="564" spans="2:6" ht="21" customHeight="1">
      <c r="B564" s="11"/>
      <c r="F564" s="2" t="e">
        <f>IF(Data!$H$2,IF(ISNUMBER(B564),B564,NA()),NA())</f>
        <v>#N/A</v>
      </c>
    </row>
    <row r="565" spans="2:6" ht="21" customHeight="1">
      <c r="B565" s="11"/>
      <c r="F565" s="2" t="e">
        <f>IF(Data!$H$2,IF(ISNUMBER(B565),B565,NA()),NA())</f>
        <v>#N/A</v>
      </c>
    </row>
    <row r="566" spans="2:6" ht="21" customHeight="1">
      <c r="B566" s="11"/>
      <c r="F566" s="2" t="e">
        <f>IF(Data!$H$2,IF(ISNUMBER(B566),B566,NA()),NA())</f>
        <v>#N/A</v>
      </c>
    </row>
    <row r="567" spans="2:6" ht="21" customHeight="1">
      <c r="B567" s="11"/>
      <c r="F567" s="2" t="e">
        <f>IF(Data!$H$2,IF(ISNUMBER(B567),B567,NA()),NA())</f>
        <v>#N/A</v>
      </c>
    </row>
    <row r="568" spans="2:6" ht="21" customHeight="1">
      <c r="B568" s="11"/>
      <c r="F568" s="2" t="e">
        <f>IF(Data!$H$2,IF(ISNUMBER(B568),B568,NA()),NA())</f>
        <v>#N/A</v>
      </c>
    </row>
    <row r="569" spans="2:6" ht="21" customHeight="1">
      <c r="B569" s="11"/>
      <c r="F569" s="2" t="e">
        <f>IF(Data!$H$2,IF(ISNUMBER(B569),B569,NA()),NA())</f>
        <v>#N/A</v>
      </c>
    </row>
    <row r="570" spans="2:6" ht="21" customHeight="1">
      <c r="B570" s="11"/>
      <c r="F570" s="2" t="e">
        <f>IF(Data!$H$2,IF(ISNUMBER(B570),B570,NA()),NA())</f>
        <v>#N/A</v>
      </c>
    </row>
    <row r="571" spans="2:6" ht="21" customHeight="1">
      <c r="B571" s="11"/>
      <c r="F571" s="2" t="e">
        <f>IF(Data!$H$2,IF(ISNUMBER(B571),B571,NA()),NA())</f>
        <v>#N/A</v>
      </c>
    </row>
    <row r="572" spans="2:6" ht="21" customHeight="1">
      <c r="B572" s="11"/>
      <c r="F572" s="2" t="e">
        <f>IF(Data!$H$2,IF(ISNUMBER(B572),B572,NA()),NA())</f>
        <v>#N/A</v>
      </c>
    </row>
    <row r="573" spans="2:6" ht="21" customHeight="1">
      <c r="B573" s="11"/>
      <c r="F573" s="2" t="e">
        <f>IF(Data!$H$2,IF(ISNUMBER(B573),B573,NA()),NA())</f>
        <v>#N/A</v>
      </c>
    </row>
    <row r="574" spans="2:6" ht="21" customHeight="1">
      <c r="B574" s="11"/>
      <c r="F574" s="2" t="e">
        <f>IF(Data!$H$2,IF(ISNUMBER(B574),B574,NA()),NA())</f>
        <v>#N/A</v>
      </c>
    </row>
    <row r="575" spans="2:6" ht="21" customHeight="1">
      <c r="B575" s="11"/>
      <c r="F575" s="2" t="e">
        <f>IF(Data!$H$2,IF(ISNUMBER(B575),B575,NA()),NA())</f>
        <v>#N/A</v>
      </c>
    </row>
    <row r="576" spans="2:6" ht="21" customHeight="1">
      <c r="B576" s="11"/>
      <c r="F576" s="2" t="e">
        <f>IF(Data!$H$2,IF(ISNUMBER(B576),B576,NA()),NA())</f>
        <v>#N/A</v>
      </c>
    </row>
    <row r="577" spans="2:6" ht="21" customHeight="1">
      <c r="B577" s="11"/>
      <c r="F577" s="2" t="e">
        <f>IF(Data!$H$2,IF(ISNUMBER(B577),B577,NA()),NA())</f>
        <v>#N/A</v>
      </c>
    </row>
    <row r="578" spans="2:6" ht="21" customHeight="1">
      <c r="B578" s="11"/>
      <c r="F578" s="2" t="e">
        <f>IF(Data!$H$2,IF(ISNUMBER(B578),B578,NA()),NA())</f>
        <v>#N/A</v>
      </c>
    </row>
    <row r="579" spans="2:6" ht="21" customHeight="1">
      <c r="B579" s="11"/>
      <c r="F579" s="2" t="e">
        <f>IF(Data!$H$2,IF(ISNUMBER(B579),B579,NA()),NA())</f>
        <v>#N/A</v>
      </c>
    </row>
    <row r="580" spans="2:6" ht="21" customHeight="1">
      <c r="B580" s="11"/>
      <c r="F580" s="2" t="e">
        <f>IF(Data!$H$2,IF(ISNUMBER(B580),B580,NA()),NA())</f>
        <v>#N/A</v>
      </c>
    </row>
    <row r="581" spans="2:6" ht="21" customHeight="1">
      <c r="B581" s="11"/>
      <c r="F581" s="2" t="e">
        <f>IF(Data!$H$2,IF(ISNUMBER(B581),B581,NA()),NA())</f>
        <v>#N/A</v>
      </c>
    </row>
    <row r="582" spans="2:6" ht="21" customHeight="1">
      <c r="B582" s="11"/>
      <c r="F582" s="2" t="e">
        <f>IF(Data!$H$2,IF(ISNUMBER(B582),B582,NA()),NA())</f>
        <v>#N/A</v>
      </c>
    </row>
    <row r="583" spans="2:6" ht="21" customHeight="1">
      <c r="B583" s="11"/>
      <c r="F583" s="2" t="e">
        <f>IF(Data!$H$2,IF(ISNUMBER(B583),B583,NA()),NA())</f>
        <v>#N/A</v>
      </c>
    </row>
    <row r="584" spans="2:6" ht="21" customHeight="1">
      <c r="B584" s="11"/>
      <c r="F584" s="2" t="e">
        <f>IF(Data!$H$2,IF(ISNUMBER(B584),B584,NA()),NA())</f>
        <v>#N/A</v>
      </c>
    </row>
    <row r="585" spans="2:6" ht="21" customHeight="1">
      <c r="B585" s="11"/>
      <c r="F585" s="2" t="e">
        <f>IF(Data!$H$2,IF(ISNUMBER(B585),B585,NA()),NA())</f>
        <v>#N/A</v>
      </c>
    </row>
    <row r="586" spans="2:6" ht="21" customHeight="1">
      <c r="B586" s="11"/>
      <c r="F586" s="2" t="e">
        <f>IF(Data!$H$2,IF(ISNUMBER(B586),B586,NA()),NA())</f>
        <v>#N/A</v>
      </c>
    </row>
    <row r="587" spans="2:6" ht="21" customHeight="1">
      <c r="B587" s="11"/>
      <c r="F587" s="2" t="e">
        <f>IF(Data!$H$2,IF(ISNUMBER(B587),B587,NA()),NA())</f>
        <v>#N/A</v>
      </c>
    </row>
    <row r="588" spans="2:6" ht="21" customHeight="1">
      <c r="B588" s="11"/>
      <c r="F588" s="2" t="e">
        <f>IF(Data!$H$2,IF(ISNUMBER(B588),B588,NA()),NA())</f>
        <v>#N/A</v>
      </c>
    </row>
    <row r="589" spans="2:6" ht="21" customHeight="1">
      <c r="B589" s="11"/>
      <c r="F589" s="2" t="e">
        <f>IF(Data!$H$2,IF(ISNUMBER(B589),B589,NA()),NA())</f>
        <v>#N/A</v>
      </c>
    </row>
    <row r="590" spans="2:6" ht="21" customHeight="1">
      <c r="B590" s="11"/>
      <c r="F590" s="2" t="e">
        <f>IF(Data!$H$2,IF(ISNUMBER(B590),B590,NA()),NA())</f>
        <v>#N/A</v>
      </c>
    </row>
    <row r="591" spans="2:6" ht="21" customHeight="1">
      <c r="B591" s="11"/>
      <c r="F591" s="2" t="e">
        <f>IF(Data!$H$2,IF(ISNUMBER(B591),B591,NA()),NA())</f>
        <v>#N/A</v>
      </c>
    </row>
    <row r="592" spans="2:6" ht="21" customHeight="1">
      <c r="B592" s="11"/>
      <c r="F592" s="2" t="e">
        <f>IF(Data!$H$2,IF(ISNUMBER(B592),B592,NA()),NA())</f>
        <v>#N/A</v>
      </c>
    </row>
    <row r="593" spans="2:6" ht="21" customHeight="1">
      <c r="B593" s="11"/>
      <c r="F593" s="2" t="e">
        <f>IF(Data!$H$2,IF(ISNUMBER(B593),B593,NA()),NA())</f>
        <v>#N/A</v>
      </c>
    </row>
    <row r="594" spans="2:6" ht="21" customHeight="1">
      <c r="B594" s="11"/>
      <c r="F594" s="2" t="e">
        <f>IF(Data!$H$2,IF(ISNUMBER(B594),B594,NA()),NA())</f>
        <v>#N/A</v>
      </c>
    </row>
    <row r="595" spans="2:6" ht="21" customHeight="1">
      <c r="B595" s="11"/>
      <c r="F595" s="2" t="e">
        <f>IF(Data!$H$2,IF(ISNUMBER(B595),B595,NA()),NA())</f>
        <v>#N/A</v>
      </c>
    </row>
    <row r="596" spans="2:6" ht="21" customHeight="1">
      <c r="B596" s="11"/>
      <c r="F596" s="2" t="e">
        <f>IF(Data!$H$2,IF(ISNUMBER(B596),B596,NA()),NA())</f>
        <v>#N/A</v>
      </c>
    </row>
    <row r="597" spans="2:6" ht="21" customHeight="1">
      <c r="B597" s="11"/>
      <c r="F597" s="2" t="e">
        <f>IF(Data!$H$2,IF(ISNUMBER(B597),B597,NA()),NA())</f>
        <v>#N/A</v>
      </c>
    </row>
    <row r="598" spans="2:6" ht="21" customHeight="1">
      <c r="B598" s="11"/>
      <c r="F598" s="2" t="e">
        <f>IF(Data!$H$2,IF(ISNUMBER(B598),B598,NA()),NA())</f>
        <v>#N/A</v>
      </c>
    </row>
    <row r="599" spans="2:6" ht="21" customHeight="1">
      <c r="B599" s="11"/>
      <c r="F599" s="2" t="e">
        <f>IF(Data!$H$2,IF(ISNUMBER(B599),B599,NA()),NA())</f>
        <v>#N/A</v>
      </c>
    </row>
    <row r="600" spans="2:6" ht="21" customHeight="1">
      <c r="B600" s="11"/>
      <c r="F600" s="2" t="e">
        <f>IF(Data!$H$2,IF(ISNUMBER(B600),B600,NA()),NA())</f>
        <v>#N/A</v>
      </c>
    </row>
  </sheetData>
  <sortState xmlns:xlrd2="http://schemas.microsoft.com/office/spreadsheetml/2017/richdata2" ref="A2:D251">
    <sortCondition ref="A2"/>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P600"/>
  <sheetViews>
    <sheetView showGridLines="0" workbookViewId="0">
      <pane ySplit="1" topLeftCell="A2" activePane="bottomLeft" state="frozen"/>
      <selection pane="bottomLeft"/>
    </sheetView>
  </sheetViews>
  <sheetFormatPr defaultRowHeight="14.25"/>
  <cols>
    <col min="1" max="5" width="20" customWidth="1"/>
    <col min="6" max="6" width="63" customWidth="1"/>
    <col min="7" max="7" width="20" customWidth="1"/>
  </cols>
  <sheetData>
    <row r="1" spans="1:16" ht="21" customHeight="1">
      <c r="A1" s="6" t="s">
        <v>512</v>
      </c>
      <c r="B1" s="6" t="s">
        <v>503</v>
      </c>
      <c r="C1" s="6" t="s">
        <v>257</v>
      </c>
      <c r="D1" s="6" t="s">
        <v>513</v>
      </c>
      <c r="E1" s="6" t="s">
        <v>514</v>
      </c>
      <c r="F1" s="6" t="s">
        <v>40</v>
      </c>
      <c r="G1" s="6" t="s">
        <v>515</v>
      </c>
      <c r="H1" s="2"/>
      <c r="I1" s="2"/>
      <c r="J1" s="2"/>
      <c r="K1" s="2"/>
      <c r="L1" s="2"/>
      <c r="M1" s="2"/>
      <c r="N1" s="2"/>
      <c r="O1" s="2"/>
      <c r="P1" s="2"/>
    </row>
    <row r="2" spans="1:16" ht="21" customHeight="1">
      <c r="A2" s="2" t="s">
        <v>516</v>
      </c>
      <c r="B2" s="2" t="s">
        <v>517</v>
      </c>
      <c r="C2" s="10">
        <v>2.65</v>
      </c>
      <c r="D2" s="14">
        <v>45953</v>
      </c>
      <c r="E2" s="2"/>
      <c r="F2" s="2" t="s">
        <v>84</v>
      </c>
      <c r="G2" s="12"/>
      <c r="H2" s="2"/>
      <c r="I2" s="2"/>
      <c r="J2" s="2"/>
      <c r="K2" s="2"/>
      <c r="L2" s="2"/>
      <c r="M2" s="2"/>
      <c r="N2" s="2"/>
      <c r="O2" s="2"/>
      <c r="P2" s="2"/>
    </row>
    <row r="3" spans="1:16" ht="21" customHeight="1">
      <c r="A3" s="2" t="s">
        <v>518</v>
      </c>
      <c r="B3" s="2" t="s">
        <v>517</v>
      </c>
      <c r="C3" s="10">
        <v>4.5199999999999996</v>
      </c>
      <c r="D3" s="14">
        <v>46051</v>
      </c>
      <c r="E3" s="2"/>
      <c r="F3" s="2" t="s">
        <v>84</v>
      </c>
      <c r="G3" s="12"/>
      <c r="H3" s="2"/>
      <c r="I3" s="2"/>
      <c r="J3" s="2"/>
      <c r="K3" s="2"/>
      <c r="L3" s="2"/>
      <c r="M3" s="2"/>
      <c r="N3" s="2"/>
      <c r="O3" s="2"/>
      <c r="P3" s="2"/>
    </row>
    <row r="4" spans="1:16" ht="21" customHeight="1">
      <c r="A4" s="2" t="s">
        <v>519</v>
      </c>
      <c r="B4" s="2" t="s">
        <v>517</v>
      </c>
      <c r="C4" s="10">
        <v>1.91</v>
      </c>
      <c r="D4" s="14">
        <v>46135</v>
      </c>
      <c r="E4" s="2"/>
      <c r="F4" s="2" t="s">
        <v>84</v>
      </c>
      <c r="G4" s="12"/>
      <c r="H4" s="2"/>
      <c r="I4" s="2"/>
      <c r="J4" s="2"/>
      <c r="K4" s="2"/>
      <c r="L4" s="2"/>
      <c r="M4" s="2"/>
      <c r="N4" s="2"/>
      <c r="O4" s="2"/>
      <c r="P4" s="2"/>
    </row>
    <row r="5" spans="1:16" ht="21" customHeight="1">
      <c r="A5" s="2" t="s">
        <v>520</v>
      </c>
      <c r="B5" s="2" t="s">
        <v>517</v>
      </c>
      <c r="C5" s="10">
        <v>2.93</v>
      </c>
      <c r="D5" s="14">
        <v>46226</v>
      </c>
      <c r="E5" s="2"/>
      <c r="F5" s="2" t="s">
        <v>84</v>
      </c>
      <c r="G5" s="12"/>
      <c r="H5" s="2"/>
      <c r="I5" s="2"/>
      <c r="J5" s="2"/>
      <c r="K5" s="2"/>
      <c r="L5" s="2"/>
      <c r="M5" s="2"/>
      <c r="N5" s="2"/>
      <c r="O5" s="2"/>
      <c r="P5" s="2"/>
    </row>
    <row r="6" spans="1:16" ht="21" customHeight="1">
      <c r="A6" s="2" t="s">
        <v>521</v>
      </c>
      <c r="B6" s="2" t="s">
        <v>522</v>
      </c>
      <c r="C6" s="10">
        <v>2.8605999999999998</v>
      </c>
      <c r="D6" s="14">
        <v>46305</v>
      </c>
      <c r="E6" s="2">
        <v>21</v>
      </c>
      <c r="F6" s="2" t="s">
        <v>90</v>
      </c>
      <c r="G6" s="12">
        <v>16820675458.999998</v>
      </c>
      <c r="H6" s="2"/>
      <c r="I6" s="2"/>
      <c r="J6" s="2"/>
      <c r="K6" s="2"/>
      <c r="L6" s="2"/>
      <c r="M6" s="2"/>
      <c r="N6" s="2"/>
      <c r="O6" s="2"/>
      <c r="P6" s="2"/>
    </row>
    <row r="7" spans="1:16" ht="21" customHeight="1">
      <c r="A7" s="2" t="s">
        <v>523</v>
      </c>
      <c r="B7" s="2" t="s">
        <v>522</v>
      </c>
      <c r="C7" s="10">
        <v>4.6186699999999998</v>
      </c>
      <c r="D7" s="14">
        <v>46305</v>
      </c>
      <c r="E7" s="2">
        <v>20</v>
      </c>
      <c r="F7" s="2" t="s">
        <v>90</v>
      </c>
      <c r="G7" s="12">
        <v>20474923723</v>
      </c>
      <c r="H7" s="2"/>
      <c r="I7" s="2"/>
      <c r="J7" s="2"/>
      <c r="K7" s="2"/>
      <c r="L7" s="2"/>
      <c r="M7" s="2"/>
      <c r="N7" s="2"/>
      <c r="O7" s="2"/>
      <c r="P7" s="2"/>
    </row>
    <row r="8" spans="1:16" ht="21" customHeight="1">
      <c r="A8" s="2" t="s">
        <v>524</v>
      </c>
      <c r="B8" s="2" t="s">
        <v>522</v>
      </c>
      <c r="C8" s="10">
        <v>2.161775</v>
      </c>
      <c r="D8" s="14">
        <v>46303</v>
      </c>
      <c r="E8" s="2">
        <v>14</v>
      </c>
      <c r="F8" s="2" t="s">
        <v>90</v>
      </c>
      <c r="G8" s="12">
        <v>16511759598</v>
      </c>
      <c r="H8" s="2"/>
      <c r="I8" s="2"/>
      <c r="J8" s="2"/>
      <c r="K8" s="2"/>
      <c r="L8" s="2"/>
      <c r="M8" s="2"/>
      <c r="N8" s="2"/>
      <c r="O8" s="2"/>
      <c r="P8" s="2"/>
    </row>
    <row r="9" spans="1:16" ht="21" customHeight="1">
      <c r="A9" s="2" t="s">
        <v>525</v>
      </c>
      <c r="B9" s="2" t="s">
        <v>522</v>
      </c>
      <c r="C9" s="10">
        <v>3.1030440000000001</v>
      </c>
      <c r="D9" s="14">
        <v>46303</v>
      </c>
      <c r="E9" s="2">
        <v>14</v>
      </c>
      <c r="F9" s="2" t="s">
        <v>90</v>
      </c>
      <c r="G9" s="12">
        <v>17839671235</v>
      </c>
      <c r="H9" s="2"/>
      <c r="I9" s="2"/>
      <c r="J9" s="2"/>
      <c r="K9" s="2"/>
      <c r="L9" s="2"/>
      <c r="M9" s="2"/>
      <c r="N9" s="2"/>
      <c r="O9" s="2"/>
      <c r="P9" s="2"/>
    </row>
    <row r="10" spans="1:16" ht="21" customHeight="1">
      <c r="A10" s="2" t="s">
        <v>526</v>
      </c>
      <c r="B10" s="2" t="s">
        <v>522</v>
      </c>
      <c r="C10" s="10">
        <v>3.038799</v>
      </c>
      <c r="D10" s="14">
        <v>46303</v>
      </c>
      <c r="E10" s="2">
        <v>12</v>
      </c>
      <c r="F10" s="2" t="s">
        <v>90</v>
      </c>
      <c r="G10" s="12">
        <v>17548880781</v>
      </c>
      <c r="H10" s="2"/>
      <c r="I10" s="2"/>
      <c r="J10" s="2"/>
      <c r="K10" s="2"/>
      <c r="L10" s="2"/>
      <c r="M10" s="2"/>
      <c r="N10" s="2"/>
      <c r="O10" s="2"/>
      <c r="P10" s="2"/>
    </row>
    <row r="11" spans="1:16" ht="21" customHeight="1">
      <c r="A11" s="2" t="s">
        <v>527</v>
      </c>
      <c r="B11" s="2" t="s">
        <v>522</v>
      </c>
      <c r="C11" s="10">
        <v>4.8248620000000004</v>
      </c>
      <c r="D11" s="14">
        <v>46303</v>
      </c>
      <c r="E11" s="2">
        <v>12</v>
      </c>
      <c r="F11" s="2" t="s">
        <v>90</v>
      </c>
      <c r="G11" s="12">
        <v>21344505382</v>
      </c>
      <c r="H11" s="2"/>
      <c r="I11" s="2"/>
      <c r="J11" s="2"/>
      <c r="K11" s="2"/>
      <c r="L11" s="2"/>
      <c r="M11" s="2"/>
      <c r="N11" s="2"/>
      <c r="O11" s="2"/>
      <c r="P11" s="2"/>
    </row>
    <row r="12" spans="1:16" ht="21" customHeight="1">
      <c r="A12" s="2" t="s">
        <v>528</v>
      </c>
      <c r="B12" s="2" t="s">
        <v>522</v>
      </c>
      <c r="C12" s="10">
        <v>2.3197640000000002</v>
      </c>
      <c r="D12" s="14">
        <v>46301</v>
      </c>
      <c r="E12" s="2">
        <v>3</v>
      </c>
      <c r="F12" s="2" t="s">
        <v>90</v>
      </c>
      <c r="G12" s="12">
        <v>17370586143</v>
      </c>
      <c r="H12" s="2"/>
      <c r="I12" s="2"/>
      <c r="J12" s="2"/>
      <c r="K12" s="2"/>
      <c r="L12" s="2"/>
      <c r="M12" s="2"/>
      <c r="N12" s="2"/>
      <c r="O12" s="2"/>
      <c r="P12" s="2"/>
    </row>
    <row r="13" spans="1:16" ht="21" customHeight="1">
      <c r="A13" s="2" t="s">
        <v>529</v>
      </c>
      <c r="B13" s="2" t="s">
        <v>522</v>
      </c>
      <c r="C13" s="10">
        <v>3.3950200000000001</v>
      </c>
      <c r="D13" s="14">
        <v>46301</v>
      </c>
      <c r="E13" s="2">
        <v>3</v>
      </c>
      <c r="F13" s="2" t="s">
        <v>90</v>
      </c>
      <c r="G13" s="12">
        <v>18540501546</v>
      </c>
      <c r="H13" s="2"/>
      <c r="I13" s="2"/>
      <c r="J13" s="2"/>
      <c r="K13" s="2"/>
      <c r="L13" s="2"/>
      <c r="M13" s="2"/>
      <c r="N13" s="2"/>
      <c r="O13" s="2"/>
      <c r="P13" s="2"/>
    </row>
    <row r="14" spans="1:16" ht="21" customHeight="1">
      <c r="A14" s="2" t="s">
        <v>530</v>
      </c>
      <c r="B14" s="2" t="s">
        <v>522</v>
      </c>
      <c r="C14" s="10">
        <v>3.3309850000000001</v>
      </c>
      <c r="D14" s="14">
        <v>46301</v>
      </c>
      <c r="E14" s="2">
        <v>3</v>
      </c>
      <c r="F14" s="2" t="s">
        <v>90</v>
      </c>
      <c r="G14" s="12">
        <v>18208774909</v>
      </c>
      <c r="H14" s="2"/>
      <c r="I14" s="2"/>
      <c r="J14" s="2"/>
      <c r="K14" s="2"/>
      <c r="L14" s="2"/>
      <c r="M14" s="2"/>
      <c r="N14" s="2"/>
      <c r="O14" s="2"/>
      <c r="P14" s="2"/>
    </row>
    <row r="15" spans="1:16" ht="21" customHeight="1">
      <c r="A15" s="2" t="s">
        <v>531</v>
      </c>
      <c r="B15" s="2" t="s">
        <v>522</v>
      </c>
      <c r="C15" s="10">
        <v>5.0464010000000004</v>
      </c>
      <c r="D15" s="14">
        <v>46301</v>
      </c>
      <c r="E15" s="2">
        <v>3</v>
      </c>
      <c r="F15" s="2" t="s">
        <v>90</v>
      </c>
      <c r="G15" s="12">
        <v>22166154577</v>
      </c>
      <c r="H15" s="2"/>
      <c r="I15" s="2"/>
      <c r="J15" s="2"/>
      <c r="K15" s="2"/>
      <c r="L15" s="2"/>
      <c r="M15" s="2"/>
      <c r="N15" s="2"/>
      <c r="O15" s="2"/>
      <c r="P15" s="2"/>
    </row>
    <row r="16" spans="1:16" ht="21" customHeight="1">
      <c r="A16" s="2"/>
      <c r="B16" s="2"/>
      <c r="C16" s="10"/>
      <c r="D16" s="14"/>
      <c r="E16" s="2"/>
      <c r="F16" s="2"/>
      <c r="G16" s="12"/>
      <c r="H16" s="2"/>
      <c r="I16" s="2"/>
      <c r="J16" s="2"/>
      <c r="K16" s="2"/>
      <c r="L16" s="2"/>
      <c r="M16" s="2"/>
      <c r="N16" s="2"/>
      <c r="O16" s="2"/>
      <c r="P16" s="2"/>
    </row>
    <row r="17" spans="1:16" ht="21" customHeight="1">
      <c r="A17" s="2"/>
      <c r="B17" s="2"/>
      <c r="C17" s="10"/>
      <c r="D17" s="14"/>
      <c r="E17" s="2"/>
      <c r="F17" s="2"/>
      <c r="G17" s="12"/>
      <c r="H17" s="2"/>
      <c r="I17" s="2"/>
      <c r="J17" s="2"/>
      <c r="K17" s="2"/>
      <c r="L17" s="2"/>
      <c r="M17" s="2"/>
      <c r="N17" s="2"/>
      <c r="O17" s="2"/>
      <c r="P17" s="2"/>
    </row>
    <row r="18" spans="1:16" ht="21" customHeight="1">
      <c r="A18" s="2"/>
      <c r="B18" s="2"/>
      <c r="C18" s="10"/>
      <c r="D18" s="14"/>
      <c r="E18" s="2"/>
      <c r="F18" s="2"/>
      <c r="G18" s="12"/>
      <c r="H18" s="2"/>
      <c r="I18" s="2"/>
      <c r="J18" s="2"/>
      <c r="K18" s="2"/>
      <c r="L18" s="2"/>
      <c r="M18" s="2"/>
      <c r="N18" s="2"/>
      <c r="O18" s="2"/>
      <c r="P18" s="2"/>
    </row>
    <row r="19" spans="1:16" ht="21" customHeight="1">
      <c r="A19" s="2"/>
      <c r="B19" s="2"/>
      <c r="C19" s="10"/>
      <c r="D19" s="14"/>
      <c r="E19" s="2"/>
      <c r="F19" s="2"/>
      <c r="G19" s="12"/>
      <c r="H19" s="2"/>
      <c r="I19" s="2"/>
      <c r="J19" s="2"/>
      <c r="K19" s="2"/>
      <c r="L19" s="2"/>
      <c r="M19" s="2"/>
      <c r="N19" s="2"/>
      <c r="O19" s="2"/>
      <c r="P19" s="2"/>
    </row>
    <row r="20" spans="1:16" ht="21" customHeight="1">
      <c r="A20" s="2"/>
      <c r="B20" s="2"/>
      <c r="C20" s="10"/>
      <c r="D20" s="14"/>
      <c r="E20" s="2"/>
      <c r="F20" s="2"/>
      <c r="G20" s="12"/>
      <c r="H20" s="2"/>
      <c r="I20" s="2"/>
      <c r="J20" s="2"/>
      <c r="K20" s="2"/>
      <c r="L20" s="2"/>
      <c r="M20" s="2"/>
      <c r="N20" s="2"/>
      <c r="O20" s="2"/>
      <c r="P20" s="2"/>
    </row>
    <row r="21" spans="1:16" ht="21" customHeight="1">
      <c r="A21" s="2"/>
      <c r="B21" s="2"/>
      <c r="C21" s="10"/>
      <c r="D21" s="14"/>
      <c r="E21" s="2"/>
      <c r="F21" s="2"/>
      <c r="G21" s="12"/>
      <c r="H21" s="2"/>
      <c r="I21" s="2"/>
      <c r="J21" s="2"/>
      <c r="K21" s="2"/>
      <c r="L21" s="2"/>
      <c r="M21" s="2"/>
      <c r="N21" s="2"/>
      <c r="O21" s="2"/>
      <c r="P21" s="2"/>
    </row>
    <row r="22" spans="1:16" ht="21" customHeight="1">
      <c r="A22" s="2"/>
      <c r="B22" s="2"/>
      <c r="C22" s="10"/>
      <c r="D22" s="14"/>
      <c r="E22" s="2"/>
      <c r="F22" s="2"/>
      <c r="G22" s="12"/>
      <c r="H22" s="2"/>
      <c r="I22" s="2"/>
      <c r="J22" s="2"/>
      <c r="K22" s="2"/>
      <c r="L22" s="2"/>
      <c r="M22" s="2"/>
      <c r="N22" s="2"/>
      <c r="O22" s="2"/>
      <c r="P22" s="2"/>
    </row>
    <row r="23" spans="1:16" ht="21" customHeight="1">
      <c r="A23" s="2"/>
      <c r="B23" s="2"/>
      <c r="C23" s="10"/>
      <c r="D23" s="14"/>
      <c r="E23" s="2"/>
      <c r="F23" s="2"/>
      <c r="G23" s="12"/>
      <c r="H23" s="2"/>
      <c r="I23" s="2"/>
      <c r="J23" s="2"/>
      <c r="K23" s="2"/>
      <c r="L23" s="2"/>
      <c r="M23" s="2"/>
      <c r="N23" s="2"/>
      <c r="O23" s="2"/>
      <c r="P23" s="2"/>
    </row>
    <row r="24" spans="1:16" ht="21" customHeight="1">
      <c r="A24" s="2"/>
      <c r="B24" s="2"/>
      <c r="C24" s="10"/>
      <c r="D24" s="2"/>
      <c r="E24" s="2"/>
      <c r="F24" s="2"/>
      <c r="G24" s="12"/>
      <c r="H24" s="2"/>
      <c r="I24" s="2"/>
      <c r="J24" s="2"/>
      <c r="K24" s="2"/>
      <c r="L24" s="2"/>
      <c r="M24" s="2"/>
      <c r="N24" s="2"/>
      <c r="O24" s="2"/>
      <c r="P24" s="2"/>
    </row>
    <row r="25" spans="1:16" ht="21" customHeight="1">
      <c r="A25" s="2"/>
      <c r="B25" s="2"/>
      <c r="C25" s="10"/>
      <c r="D25" s="2"/>
      <c r="E25" s="2"/>
      <c r="F25" s="2"/>
      <c r="G25" s="12"/>
      <c r="H25" s="2"/>
      <c r="I25" s="2"/>
      <c r="J25" s="2"/>
      <c r="K25" s="2"/>
      <c r="L25" s="2"/>
      <c r="M25" s="2"/>
      <c r="N25" s="2"/>
      <c r="O25" s="2"/>
      <c r="P25" s="2"/>
    </row>
    <row r="26" spans="1:16" ht="21" customHeight="1">
      <c r="A26" s="2"/>
      <c r="B26" s="2"/>
      <c r="C26" s="10"/>
      <c r="D26" s="2"/>
      <c r="E26" s="2"/>
      <c r="F26" s="2"/>
      <c r="G26" s="12"/>
      <c r="H26" s="2"/>
      <c r="I26" s="2"/>
      <c r="J26" s="2"/>
      <c r="K26" s="2"/>
      <c r="L26" s="2"/>
      <c r="M26" s="2"/>
      <c r="N26" s="2"/>
      <c r="O26" s="2"/>
      <c r="P26" s="2"/>
    </row>
    <row r="27" spans="1:16" ht="21" customHeight="1">
      <c r="A27" s="2"/>
      <c r="B27" s="2"/>
      <c r="C27" s="10"/>
      <c r="D27" s="2"/>
      <c r="E27" s="2"/>
      <c r="F27" s="2"/>
      <c r="G27" s="12"/>
      <c r="H27" s="2"/>
      <c r="I27" s="2"/>
      <c r="J27" s="2"/>
      <c r="K27" s="2"/>
      <c r="L27" s="2"/>
      <c r="M27" s="2"/>
      <c r="N27" s="2"/>
      <c r="O27" s="2"/>
      <c r="P27" s="2"/>
    </row>
    <row r="28" spans="1:16" ht="21" customHeight="1">
      <c r="A28" s="2"/>
      <c r="B28" s="2"/>
      <c r="C28" s="10"/>
      <c r="D28" s="2"/>
      <c r="E28" s="2"/>
      <c r="F28" s="2"/>
      <c r="G28" s="12"/>
      <c r="H28" s="2"/>
      <c r="I28" s="2"/>
      <c r="J28" s="2"/>
      <c r="K28" s="2"/>
      <c r="L28" s="2"/>
      <c r="M28" s="2"/>
      <c r="N28" s="2"/>
      <c r="O28" s="2"/>
      <c r="P28" s="2"/>
    </row>
    <row r="29" spans="1:16" ht="21" customHeight="1">
      <c r="A29" s="2"/>
      <c r="B29" s="2"/>
      <c r="C29" s="10"/>
      <c r="D29" s="2"/>
      <c r="E29" s="2"/>
      <c r="F29" s="2"/>
      <c r="G29" s="12"/>
      <c r="H29" s="2"/>
      <c r="I29" s="2"/>
      <c r="J29" s="2"/>
      <c r="K29" s="2"/>
      <c r="L29" s="2"/>
      <c r="M29" s="2"/>
      <c r="N29" s="2"/>
      <c r="O29" s="2"/>
      <c r="P29" s="2"/>
    </row>
    <row r="30" spans="1:16" ht="21" customHeight="1">
      <c r="A30" s="2"/>
      <c r="B30" s="2"/>
      <c r="C30" s="10"/>
      <c r="D30" s="2"/>
      <c r="E30" s="2"/>
      <c r="F30" s="2"/>
      <c r="G30" s="12"/>
      <c r="H30" s="2"/>
      <c r="I30" s="2"/>
      <c r="J30" s="2"/>
      <c r="K30" s="2"/>
      <c r="L30" s="2"/>
      <c r="M30" s="2"/>
      <c r="N30" s="2"/>
      <c r="O30" s="2"/>
      <c r="P30" s="2"/>
    </row>
    <row r="31" spans="1:16" ht="21" customHeight="1">
      <c r="A31" s="2"/>
      <c r="B31" s="2"/>
      <c r="C31" s="2"/>
      <c r="D31" s="2"/>
      <c r="E31" s="2"/>
      <c r="F31" s="2"/>
      <c r="G31" s="2"/>
      <c r="H31" s="2"/>
      <c r="I31" s="2"/>
      <c r="J31" s="2"/>
      <c r="K31" s="2"/>
      <c r="L31" s="2"/>
      <c r="M31" s="2"/>
      <c r="N31" s="2"/>
      <c r="O31" s="2"/>
      <c r="P31" s="2"/>
    </row>
    <row r="32" spans="1:16" ht="21" customHeight="1">
      <c r="A32" s="2"/>
      <c r="B32" s="2"/>
      <c r="C32" s="2"/>
      <c r="D32" s="2"/>
      <c r="E32" s="2"/>
      <c r="F32" s="2"/>
      <c r="G32" s="2"/>
      <c r="H32" s="2"/>
      <c r="I32" s="2"/>
      <c r="J32" s="2"/>
      <c r="K32" s="2"/>
      <c r="L32" s="2"/>
      <c r="M32" s="2"/>
      <c r="N32" s="2"/>
      <c r="O32" s="2"/>
      <c r="P32" s="2"/>
    </row>
    <row r="33" spans="1:16" ht="21" customHeight="1">
      <c r="A33" s="2"/>
      <c r="B33" s="2"/>
      <c r="C33" s="2"/>
      <c r="D33" s="2"/>
      <c r="E33" s="2"/>
      <c r="F33" s="2"/>
      <c r="G33" s="2"/>
      <c r="H33" s="2"/>
      <c r="I33" s="2"/>
      <c r="J33" s="2"/>
      <c r="K33" s="2"/>
      <c r="L33" s="2"/>
      <c r="M33" s="2"/>
      <c r="N33" s="2"/>
      <c r="O33" s="2"/>
      <c r="P33" s="2"/>
    </row>
    <row r="34" spans="1:16" ht="21" customHeight="1">
      <c r="A34" s="2"/>
      <c r="B34" s="2"/>
      <c r="C34" s="2"/>
      <c r="D34" s="2"/>
      <c r="E34" s="2"/>
      <c r="F34" s="2"/>
      <c r="G34" s="2"/>
      <c r="H34" s="2"/>
      <c r="I34" s="2"/>
      <c r="J34" s="2"/>
      <c r="K34" s="2"/>
      <c r="L34" s="2"/>
      <c r="M34" s="2"/>
      <c r="N34" s="2"/>
      <c r="O34" s="2"/>
      <c r="P34" s="2"/>
    </row>
    <row r="35" spans="1:16" ht="21" customHeight="1">
      <c r="A35" s="2"/>
      <c r="B35" s="2"/>
      <c r="C35" s="2"/>
      <c r="D35" s="2"/>
      <c r="E35" s="2"/>
      <c r="F35" s="2"/>
      <c r="G35" s="2"/>
      <c r="H35" s="2"/>
      <c r="I35" s="2"/>
      <c r="J35" s="2"/>
      <c r="K35" s="2"/>
      <c r="L35" s="2"/>
      <c r="M35" s="2"/>
      <c r="N35" s="2"/>
      <c r="O35" s="2"/>
      <c r="P35" s="2"/>
    </row>
    <row r="36" spans="1:16" ht="21" customHeight="1">
      <c r="A36" s="2"/>
      <c r="B36" s="2"/>
      <c r="C36" s="2"/>
      <c r="D36" s="2"/>
      <c r="E36" s="2"/>
      <c r="F36" s="2"/>
      <c r="G36" s="2"/>
      <c r="H36" s="2"/>
      <c r="I36" s="2"/>
      <c r="J36" s="2"/>
      <c r="K36" s="2"/>
      <c r="L36" s="2"/>
      <c r="M36" s="2"/>
      <c r="N36" s="2"/>
      <c r="O36" s="2"/>
      <c r="P36" s="2"/>
    </row>
    <row r="37" spans="1:16" ht="21" customHeight="1">
      <c r="A37" s="2"/>
      <c r="B37" s="2"/>
      <c r="C37" s="2"/>
      <c r="D37" s="2"/>
      <c r="E37" s="2"/>
      <c r="F37" s="2"/>
      <c r="G37" s="2"/>
      <c r="H37" s="2"/>
      <c r="I37" s="2"/>
      <c r="J37" s="2"/>
      <c r="K37" s="2"/>
      <c r="L37" s="2"/>
      <c r="M37" s="2"/>
      <c r="N37" s="2"/>
      <c r="O37" s="2"/>
      <c r="P37" s="2"/>
    </row>
    <row r="38" spans="1:16" ht="21" customHeight="1">
      <c r="A38" s="2"/>
      <c r="B38" s="2"/>
      <c r="C38" s="2"/>
      <c r="D38" s="2"/>
      <c r="E38" s="2"/>
      <c r="F38" s="2"/>
      <c r="G38" s="2"/>
      <c r="H38" s="2"/>
      <c r="I38" s="2"/>
      <c r="J38" s="2"/>
      <c r="K38" s="2"/>
      <c r="L38" s="2"/>
      <c r="M38" s="2"/>
      <c r="N38" s="2"/>
      <c r="O38" s="2"/>
      <c r="P38" s="2"/>
    </row>
    <row r="39" spans="1:16" ht="21" customHeight="1">
      <c r="A39" s="2"/>
      <c r="B39" s="2"/>
      <c r="C39" s="2"/>
      <c r="D39" s="2"/>
      <c r="E39" s="2"/>
      <c r="F39" s="2"/>
      <c r="G39" s="2"/>
      <c r="H39" s="2"/>
      <c r="I39" s="2"/>
      <c r="J39" s="2"/>
      <c r="K39" s="2"/>
      <c r="L39" s="2"/>
      <c r="M39" s="2"/>
      <c r="N39" s="2"/>
      <c r="O39" s="2"/>
      <c r="P39" s="2"/>
    </row>
    <row r="40" spans="1:16" ht="21" customHeight="1">
      <c r="A40" s="2"/>
      <c r="B40" s="2"/>
      <c r="C40" s="2"/>
      <c r="D40" s="2"/>
      <c r="E40" s="2"/>
      <c r="F40" s="2"/>
      <c r="G40" s="2"/>
      <c r="H40" s="2"/>
      <c r="I40" s="2"/>
      <c r="J40" s="2"/>
      <c r="K40" s="2"/>
      <c r="L40" s="2"/>
      <c r="M40" s="2"/>
      <c r="N40" s="2"/>
      <c r="O40" s="2"/>
      <c r="P40" s="2"/>
    </row>
    <row r="41" spans="1:16" ht="21" customHeight="1">
      <c r="A41" s="2"/>
      <c r="B41" s="2"/>
      <c r="C41" s="2"/>
      <c r="D41" s="2"/>
      <c r="E41" s="2"/>
      <c r="F41" s="2"/>
      <c r="G41" s="2"/>
      <c r="H41" s="2"/>
      <c r="I41" s="2"/>
      <c r="J41" s="2"/>
      <c r="K41" s="2"/>
      <c r="L41" s="2"/>
      <c r="M41" s="2"/>
      <c r="N41" s="2"/>
      <c r="O41" s="2"/>
      <c r="P41" s="2"/>
    </row>
    <row r="42" spans="1:16" ht="21" customHeight="1">
      <c r="A42" s="2"/>
      <c r="B42" s="2"/>
      <c r="C42" s="2"/>
      <c r="D42" s="2"/>
      <c r="E42" s="2"/>
      <c r="F42" s="2"/>
      <c r="G42" s="2"/>
      <c r="H42" s="2"/>
      <c r="I42" s="2"/>
      <c r="J42" s="2"/>
      <c r="K42" s="2"/>
      <c r="L42" s="2"/>
      <c r="M42" s="2"/>
      <c r="N42" s="2"/>
      <c r="O42" s="2"/>
      <c r="P42" s="2"/>
    </row>
    <row r="43" spans="1:16" ht="21" customHeight="1">
      <c r="A43" s="2"/>
      <c r="B43" s="2"/>
      <c r="C43" s="2"/>
      <c r="D43" s="2"/>
      <c r="E43" s="2"/>
      <c r="F43" s="2"/>
      <c r="G43" s="2"/>
      <c r="H43" s="2"/>
      <c r="I43" s="2"/>
      <c r="J43" s="2"/>
      <c r="K43" s="2"/>
      <c r="L43" s="2"/>
      <c r="M43" s="2"/>
      <c r="N43" s="2"/>
      <c r="O43" s="2"/>
      <c r="P43" s="2"/>
    </row>
    <row r="44" spans="1:16" ht="21" customHeight="1">
      <c r="A44" s="2"/>
      <c r="B44" s="2"/>
      <c r="C44" s="2"/>
      <c r="D44" s="2"/>
      <c r="E44" s="2"/>
      <c r="F44" s="2"/>
      <c r="G44" s="2"/>
      <c r="H44" s="2"/>
      <c r="I44" s="2"/>
      <c r="J44" s="2"/>
      <c r="K44" s="2"/>
      <c r="L44" s="2"/>
      <c r="M44" s="2"/>
      <c r="N44" s="2"/>
      <c r="O44" s="2"/>
      <c r="P44" s="2"/>
    </row>
    <row r="45" spans="1:16" ht="21" customHeight="1">
      <c r="A45" s="2"/>
      <c r="B45" s="2"/>
      <c r="C45" s="2"/>
      <c r="D45" s="2"/>
      <c r="E45" s="2"/>
      <c r="F45" s="2"/>
      <c r="G45" s="2"/>
      <c r="H45" s="2"/>
      <c r="I45" s="2"/>
      <c r="J45" s="2"/>
      <c r="K45" s="2"/>
      <c r="L45" s="2"/>
      <c r="M45" s="2"/>
      <c r="N45" s="2"/>
      <c r="O45" s="2"/>
      <c r="P45" s="2"/>
    </row>
    <row r="46" spans="1:16" ht="21" customHeight="1">
      <c r="A46" s="2"/>
      <c r="B46" s="2"/>
      <c r="C46" s="2"/>
      <c r="D46" s="2"/>
      <c r="E46" s="2"/>
      <c r="F46" s="2"/>
      <c r="G46" s="2"/>
      <c r="H46" s="2"/>
      <c r="I46" s="2"/>
      <c r="J46" s="2"/>
      <c r="K46" s="2"/>
      <c r="L46" s="2"/>
      <c r="M46" s="2"/>
      <c r="N46" s="2"/>
      <c r="O46" s="2"/>
      <c r="P46" s="2"/>
    </row>
    <row r="47" spans="1:16" ht="21" customHeight="1">
      <c r="A47" s="2"/>
      <c r="B47" s="2"/>
      <c r="C47" s="2"/>
      <c r="D47" s="2"/>
      <c r="E47" s="2"/>
      <c r="F47" s="2"/>
      <c r="G47" s="2"/>
      <c r="H47" s="2"/>
      <c r="I47" s="2"/>
      <c r="J47" s="2"/>
      <c r="K47" s="2"/>
      <c r="L47" s="2"/>
      <c r="M47" s="2"/>
      <c r="N47" s="2"/>
      <c r="O47" s="2"/>
      <c r="P47" s="2"/>
    </row>
    <row r="48" spans="1:16" ht="21" customHeight="1">
      <c r="A48" s="2"/>
      <c r="B48" s="2"/>
      <c r="C48" s="2"/>
      <c r="D48" s="2"/>
      <c r="E48" s="2"/>
      <c r="F48" s="2"/>
      <c r="G48" s="2"/>
      <c r="H48" s="2"/>
      <c r="I48" s="2"/>
      <c r="J48" s="2"/>
      <c r="K48" s="2"/>
      <c r="L48" s="2"/>
      <c r="M48" s="2"/>
      <c r="N48" s="2"/>
      <c r="O48" s="2"/>
      <c r="P48" s="2"/>
    </row>
    <row r="49" spans="1:16" ht="21" customHeight="1">
      <c r="A49" s="2"/>
      <c r="B49" s="2"/>
      <c r="C49" s="2"/>
      <c r="D49" s="2"/>
      <c r="E49" s="2"/>
      <c r="F49" s="2"/>
      <c r="G49" s="2"/>
      <c r="H49" s="2"/>
      <c r="I49" s="2"/>
      <c r="J49" s="2"/>
      <c r="K49" s="2"/>
      <c r="L49" s="2"/>
      <c r="M49" s="2"/>
      <c r="N49" s="2"/>
      <c r="O49" s="2"/>
      <c r="P49" s="2"/>
    </row>
    <row r="50" spans="1:16" ht="21" customHeight="1">
      <c r="A50" s="2"/>
      <c r="B50" s="2"/>
      <c r="C50" s="2"/>
      <c r="D50" s="2"/>
      <c r="E50" s="2"/>
      <c r="F50" s="2"/>
      <c r="G50" s="2"/>
      <c r="H50" s="2"/>
      <c r="I50" s="2"/>
      <c r="J50" s="2"/>
      <c r="K50" s="2"/>
      <c r="L50" s="2"/>
      <c r="M50" s="2"/>
      <c r="N50" s="2"/>
      <c r="O50" s="2"/>
      <c r="P50" s="2"/>
    </row>
    <row r="51" spans="1:16" ht="21" customHeight="1">
      <c r="A51" s="2"/>
      <c r="B51" s="2"/>
      <c r="C51" s="2"/>
      <c r="D51" s="2"/>
      <c r="E51" s="2"/>
      <c r="F51" s="2"/>
      <c r="G51" s="2"/>
      <c r="H51" s="2"/>
      <c r="I51" s="2"/>
      <c r="J51" s="2"/>
      <c r="K51" s="2"/>
      <c r="L51" s="2"/>
      <c r="M51" s="2"/>
      <c r="N51" s="2"/>
      <c r="O51" s="2"/>
      <c r="P51" s="2"/>
    </row>
    <row r="52" spans="1:16" ht="21" customHeight="1">
      <c r="A52" s="2"/>
      <c r="B52" s="2"/>
      <c r="C52" s="2"/>
      <c r="D52" s="2"/>
      <c r="E52" s="2"/>
      <c r="F52" s="2"/>
      <c r="G52" s="2"/>
      <c r="H52" s="2"/>
      <c r="I52" s="2"/>
      <c r="J52" s="2"/>
      <c r="K52" s="2"/>
      <c r="L52" s="2"/>
      <c r="M52" s="2"/>
      <c r="N52" s="2"/>
      <c r="O52" s="2"/>
      <c r="P52" s="2"/>
    </row>
    <row r="53" spans="1:16" ht="21" customHeight="1">
      <c r="A53" s="2"/>
      <c r="B53" s="2"/>
      <c r="C53" s="2"/>
      <c r="D53" s="2"/>
      <c r="E53" s="2"/>
      <c r="F53" s="2"/>
      <c r="G53" s="2"/>
      <c r="H53" s="2"/>
      <c r="I53" s="2"/>
      <c r="J53" s="2"/>
      <c r="K53" s="2"/>
      <c r="L53" s="2"/>
      <c r="M53" s="2"/>
      <c r="N53" s="2"/>
      <c r="O53" s="2"/>
      <c r="P53" s="2"/>
    </row>
    <row r="54" spans="1:16" ht="21" customHeight="1">
      <c r="A54" s="2"/>
      <c r="B54" s="2"/>
      <c r="C54" s="2"/>
      <c r="D54" s="2"/>
      <c r="E54" s="2"/>
      <c r="F54" s="2"/>
      <c r="G54" s="2"/>
      <c r="H54" s="2"/>
      <c r="I54" s="2"/>
      <c r="J54" s="2"/>
      <c r="K54" s="2"/>
      <c r="L54" s="2"/>
      <c r="M54" s="2"/>
      <c r="N54" s="2"/>
      <c r="O54" s="2"/>
      <c r="P54" s="2"/>
    </row>
    <row r="55" spans="1:16" ht="21" customHeight="1">
      <c r="A55" s="2"/>
      <c r="B55" s="2"/>
      <c r="C55" s="2"/>
      <c r="D55" s="2"/>
      <c r="E55" s="2"/>
      <c r="F55" s="2"/>
      <c r="G55" s="2"/>
      <c r="H55" s="2"/>
      <c r="I55" s="2"/>
      <c r="J55" s="2"/>
      <c r="K55" s="2"/>
      <c r="L55" s="2"/>
      <c r="M55" s="2"/>
      <c r="N55" s="2"/>
      <c r="O55" s="2"/>
      <c r="P55" s="2"/>
    </row>
    <row r="56" spans="1:16" ht="21" customHeight="1">
      <c r="A56" s="2"/>
      <c r="B56" s="2"/>
      <c r="C56" s="2"/>
      <c r="D56" s="2"/>
      <c r="E56" s="2"/>
      <c r="F56" s="2"/>
      <c r="G56" s="2"/>
      <c r="H56" s="2"/>
      <c r="I56" s="2"/>
      <c r="J56" s="2"/>
      <c r="K56" s="2"/>
      <c r="L56" s="2"/>
      <c r="M56" s="2"/>
      <c r="N56" s="2"/>
      <c r="O56" s="2"/>
      <c r="P56" s="2"/>
    </row>
    <row r="57" spans="1:16" ht="21" customHeight="1">
      <c r="A57" s="2"/>
      <c r="B57" s="2"/>
      <c r="C57" s="2"/>
      <c r="D57" s="2"/>
      <c r="E57" s="2"/>
      <c r="F57" s="2"/>
      <c r="G57" s="2"/>
      <c r="H57" s="2"/>
      <c r="I57" s="2"/>
      <c r="J57" s="2"/>
      <c r="K57" s="2"/>
      <c r="L57" s="2"/>
      <c r="M57" s="2"/>
      <c r="N57" s="2"/>
      <c r="O57" s="2"/>
      <c r="P57" s="2"/>
    </row>
    <row r="58" spans="1:16" ht="21" customHeight="1">
      <c r="A58" s="2"/>
      <c r="B58" s="2"/>
      <c r="C58" s="2"/>
      <c r="D58" s="2"/>
      <c r="E58" s="2"/>
      <c r="F58" s="2"/>
      <c r="G58" s="2"/>
      <c r="H58" s="2"/>
      <c r="I58" s="2"/>
      <c r="J58" s="2"/>
      <c r="K58" s="2"/>
      <c r="L58" s="2"/>
      <c r="M58" s="2"/>
      <c r="N58" s="2"/>
      <c r="O58" s="2"/>
      <c r="P58" s="2"/>
    </row>
    <row r="59" spans="1:16" ht="21" customHeight="1">
      <c r="A59" s="2"/>
      <c r="B59" s="2"/>
      <c r="C59" s="2"/>
      <c r="D59" s="2"/>
      <c r="E59" s="2"/>
      <c r="F59" s="2"/>
      <c r="G59" s="2"/>
      <c r="H59" s="2"/>
      <c r="I59" s="2"/>
      <c r="J59" s="2"/>
      <c r="K59" s="2"/>
      <c r="L59" s="2"/>
      <c r="M59" s="2"/>
      <c r="N59" s="2"/>
      <c r="O59" s="2"/>
      <c r="P59" s="2"/>
    </row>
    <row r="60" spans="1:16" ht="21" customHeight="1">
      <c r="A60" s="2"/>
      <c r="B60" s="2"/>
      <c r="C60" s="2"/>
      <c r="D60" s="2"/>
      <c r="E60" s="2"/>
      <c r="F60" s="2"/>
      <c r="G60" s="2"/>
      <c r="H60" s="2"/>
      <c r="I60" s="2"/>
      <c r="J60" s="2"/>
      <c r="K60" s="2"/>
      <c r="L60" s="2"/>
      <c r="M60" s="2"/>
      <c r="N60" s="2"/>
      <c r="O60" s="2"/>
      <c r="P60" s="2"/>
    </row>
    <row r="61" spans="1:16" ht="21" customHeight="1">
      <c r="A61" s="2"/>
      <c r="B61" s="2"/>
      <c r="C61" s="2"/>
      <c r="D61" s="2"/>
      <c r="E61" s="2"/>
      <c r="F61" s="2"/>
      <c r="G61" s="2"/>
      <c r="H61" s="2"/>
      <c r="I61" s="2"/>
      <c r="J61" s="2"/>
      <c r="K61" s="2"/>
      <c r="L61" s="2"/>
      <c r="M61" s="2"/>
      <c r="N61" s="2"/>
      <c r="O61" s="2"/>
      <c r="P61" s="2"/>
    </row>
    <row r="62" spans="1:16" ht="21" customHeight="1">
      <c r="A62" s="2"/>
      <c r="B62" s="2"/>
      <c r="C62" s="2"/>
      <c r="D62" s="2"/>
      <c r="E62" s="2"/>
      <c r="F62" s="2"/>
      <c r="G62" s="2"/>
      <c r="H62" s="2"/>
      <c r="I62" s="2"/>
      <c r="J62" s="2"/>
      <c r="K62" s="2"/>
      <c r="L62" s="2"/>
      <c r="M62" s="2"/>
      <c r="N62" s="2"/>
      <c r="O62" s="2"/>
      <c r="P62" s="2"/>
    </row>
    <row r="63" spans="1:16" ht="21" customHeight="1">
      <c r="A63" s="2"/>
      <c r="B63" s="2"/>
      <c r="C63" s="2"/>
      <c r="D63" s="2"/>
      <c r="E63" s="2"/>
      <c r="F63" s="2"/>
      <c r="G63" s="2"/>
      <c r="H63" s="2"/>
      <c r="I63" s="2"/>
      <c r="J63" s="2"/>
      <c r="K63" s="2"/>
      <c r="L63" s="2"/>
      <c r="M63" s="2"/>
      <c r="N63" s="2"/>
      <c r="O63" s="2"/>
      <c r="P63" s="2"/>
    </row>
    <row r="64" spans="1:16" ht="21" customHeight="1">
      <c r="A64" s="2"/>
      <c r="B64" s="2"/>
      <c r="C64" s="2"/>
      <c r="D64" s="2"/>
      <c r="E64" s="2"/>
      <c r="F64" s="2"/>
      <c r="G64" s="2"/>
      <c r="H64" s="2"/>
      <c r="I64" s="2"/>
      <c r="J64" s="2"/>
      <c r="K64" s="2"/>
      <c r="L64" s="2"/>
      <c r="M64" s="2"/>
      <c r="N64" s="2"/>
      <c r="O64" s="2"/>
      <c r="P64" s="2"/>
    </row>
    <row r="65" spans="1:16" ht="21" customHeight="1">
      <c r="A65" s="2"/>
      <c r="B65" s="2"/>
      <c r="C65" s="2"/>
      <c r="D65" s="2"/>
      <c r="E65" s="2"/>
      <c r="F65" s="2"/>
      <c r="G65" s="2"/>
      <c r="H65" s="2"/>
      <c r="I65" s="2"/>
      <c r="J65" s="2"/>
      <c r="K65" s="2"/>
      <c r="L65" s="2"/>
      <c r="M65" s="2"/>
      <c r="N65" s="2"/>
      <c r="O65" s="2"/>
      <c r="P65" s="2"/>
    </row>
    <row r="66" spans="1:16" ht="21" customHeight="1">
      <c r="A66" s="2"/>
      <c r="B66" s="2"/>
      <c r="C66" s="2"/>
      <c r="D66" s="2"/>
      <c r="E66" s="2"/>
      <c r="F66" s="2"/>
      <c r="G66" s="2"/>
      <c r="H66" s="2"/>
      <c r="I66" s="2"/>
      <c r="J66" s="2"/>
      <c r="K66" s="2"/>
      <c r="L66" s="2"/>
      <c r="M66" s="2"/>
      <c r="N66" s="2"/>
      <c r="O66" s="2"/>
      <c r="P66" s="2"/>
    </row>
    <row r="67" spans="1:16" ht="21" customHeight="1">
      <c r="A67" s="2"/>
      <c r="B67" s="2"/>
      <c r="C67" s="2"/>
      <c r="D67" s="2"/>
      <c r="E67" s="2"/>
      <c r="F67" s="2"/>
      <c r="G67" s="2"/>
      <c r="H67" s="2"/>
      <c r="I67" s="2"/>
      <c r="J67" s="2"/>
      <c r="K67" s="2"/>
      <c r="L67" s="2"/>
      <c r="M67" s="2"/>
      <c r="N67" s="2"/>
      <c r="O67" s="2"/>
      <c r="P67" s="2"/>
    </row>
    <row r="68" spans="1:16" ht="21" customHeight="1">
      <c r="A68" s="2"/>
      <c r="B68" s="2"/>
      <c r="C68" s="2"/>
      <c r="D68" s="2"/>
      <c r="E68" s="2"/>
      <c r="F68" s="2"/>
      <c r="G68" s="2"/>
      <c r="H68" s="2"/>
      <c r="I68" s="2"/>
      <c r="J68" s="2"/>
      <c r="K68" s="2"/>
      <c r="L68" s="2"/>
      <c r="M68" s="2"/>
      <c r="N68" s="2"/>
      <c r="O68" s="2"/>
      <c r="P68" s="2"/>
    </row>
    <row r="69" spans="1:16" ht="21" customHeight="1">
      <c r="A69" s="2"/>
      <c r="B69" s="2"/>
      <c r="C69" s="2"/>
      <c r="D69" s="2"/>
      <c r="E69" s="2"/>
      <c r="F69" s="2"/>
      <c r="G69" s="2"/>
      <c r="H69" s="2"/>
      <c r="I69" s="2"/>
      <c r="J69" s="2"/>
      <c r="K69" s="2"/>
      <c r="L69" s="2"/>
      <c r="M69" s="2"/>
      <c r="N69" s="2"/>
      <c r="O69" s="2"/>
      <c r="P69" s="2"/>
    </row>
    <row r="70" spans="1:16" ht="21" customHeight="1">
      <c r="A70" s="2"/>
      <c r="B70" s="2"/>
      <c r="C70" s="2"/>
      <c r="D70" s="2"/>
      <c r="E70" s="2"/>
      <c r="F70" s="2"/>
      <c r="G70" s="2"/>
      <c r="H70" s="2"/>
      <c r="I70" s="2"/>
      <c r="J70" s="2"/>
      <c r="K70" s="2"/>
      <c r="L70" s="2"/>
      <c r="M70" s="2"/>
      <c r="N70" s="2"/>
      <c r="O70" s="2"/>
      <c r="P70" s="2"/>
    </row>
    <row r="71" spans="1:16" ht="21" customHeight="1">
      <c r="A71" s="2"/>
      <c r="B71" s="2"/>
      <c r="C71" s="2"/>
      <c r="D71" s="2"/>
      <c r="E71" s="2"/>
      <c r="F71" s="2"/>
      <c r="G71" s="2"/>
      <c r="H71" s="2"/>
      <c r="I71" s="2"/>
      <c r="J71" s="2"/>
      <c r="K71" s="2"/>
      <c r="L71" s="2"/>
      <c r="M71" s="2"/>
      <c r="N71" s="2"/>
      <c r="O71" s="2"/>
      <c r="P71" s="2"/>
    </row>
    <row r="72" spans="1:16" ht="21" customHeight="1">
      <c r="A72" s="2"/>
      <c r="B72" s="2"/>
      <c r="C72" s="2"/>
      <c r="D72" s="2"/>
      <c r="E72" s="2"/>
      <c r="F72" s="2"/>
      <c r="G72" s="2"/>
      <c r="H72" s="2"/>
      <c r="I72" s="2"/>
      <c r="J72" s="2"/>
      <c r="K72" s="2"/>
      <c r="L72" s="2"/>
      <c r="M72" s="2"/>
      <c r="N72" s="2"/>
      <c r="O72" s="2"/>
      <c r="P72" s="2"/>
    </row>
    <row r="73" spans="1:16" ht="21" customHeight="1">
      <c r="A73" s="2"/>
      <c r="B73" s="2"/>
      <c r="C73" s="2"/>
      <c r="D73" s="2"/>
      <c r="E73" s="2"/>
      <c r="F73" s="2"/>
      <c r="G73" s="2"/>
      <c r="H73" s="2"/>
      <c r="I73" s="2"/>
      <c r="J73" s="2"/>
      <c r="K73" s="2"/>
      <c r="L73" s="2"/>
      <c r="M73" s="2"/>
      <c r="N73" s="2"/>
      <c r="O73" s="2"/>
      <c r="P73" s="2"/>
    </row>
    <row r="74" spans="1:16" ht="21" customHeight="1">
      <c r="A74" s="2"/>
      <c r="B74" s="2"/>
      <c r="C74" s="2"/>
      <c r="D74" s="2"/>
      <c r="E74" s="2"/>
      <c r="F74" s="2"/>
      <c r="G74" s="2"/>
      <c r="H74" s="2"/>
      <c r="I74" s="2"/>
      <c r="J74" s="2"/>
      <c r="K74" s="2"/>
      <c r="L74" s="2"/>
      <c r="M74" s="2"/>
      <c r="N74" s="2"/>
      <c r="O74" s="2"/>
      <c r="P74" s="2"/>
    </row>
    <row r="75" spans="1:16" ht="21" customHeight="1">
      <c r="A75" s="2"/>
      <c r="B75" s="2"/>
      <c r="C75" s="2"/>
      <c r="D75" s="2"/>
      <c r="E75" s="2"/>
      <c r="F75" s="2"/>
      <c r="G75" s="2"/>
      <c r="H75" s="2"/>
      <c r="I75" s="2"/>
      <c r="J75" s="2"/>
      <c r="K75" s="2"/>
      <c r="L75" s="2"/>
      <c r="M75" s="2"/>
      <c r="N75" s="2"/>
      <c r="O75" s="2"/>
      <c r="P75" s="2"/>
    </row>
    <row r="76" spans="1:16" ht="21" customHeight="1">
      <c r="A76" s="2"/>
      <c r="B76" s="2"/>
      <c r="C76" s="2"/>
      <c r="D76" s="2"/>
      <c r="E76" s="2"/>
      <c r="F76" s="2"/>
      <c r="G76" s="2"/>
      <c r="H76" s="2"/>
      <c r="I76" s="2"/>
      <c r="J76" s="2"/>
      <c r="K76" s="2"/>
      <c r="L76" s="2"/>
      <c r="M76" s="2"/>
      <c r="N76" s="2"/>
      <c r="O76" s="2"/>
      <c r="P76" s="2"/>
    </row>
    <row r="77" spans="1:16" ht="21" customHeight="1">
      <c r="A77" s="2"/>
      <c r="B77" s="2"/>
      <c r="C77" s="2"/>
      <c r="D77" s="2"/>
      <c r="E77" s="2"/>
      <c r="F77" s="2"/>
      <c r="G77" s="2"/>
      <c r="H77" s="2"/>
      <c r="I77" s="2"/>
      <c r="J77" s="2"/>
      <c r="K77" s="2"/>
      <c r="L77" s="2"/>
      <c r="M77" s="2"/>
      <c r="N77" s="2"/>
      <c r="O77" s="2"/>
      <c r="P77" s="2"/>
    </row>
    <row r="78" spans="1:16" ht="21" customHeight="1">
      <c r="A78" s="2"/>
      <c r="B78" s="2"/>
      <c r="C78" s="2"/>
      <c r="D78" s="2"/>
      <c r="E78" s="2"/>
      <c r="F78" s="2"/>
      <c r="G78" s="2"/>
      <c r="H78" s="2"/>
      <c r="I78" s="2"/>
      <c r="J78" s="2"/>
      <c r="K78" s="2"/>
      <c r="L78" s="2"/>
      <c r="M78" s="2"/>
      <c r="N78" s="2"/>
      <c r="O78" s="2"/>
      <c r="P78" s="2"/>
    </row>
    <row r="79" spans="1:16" ht="21" customHeight="1">
      <c r="A79" s="2"/>
      <c r="B79" s="2"/>
      <c r="C79" s="2"/>
      <c r="D79" s="2"/>
      <c r="E79" s="2"/>
      <c r="F79" s="2"/>
      <c r="G79" s="2"/>
      <c r="H79" s="2"/>
      <c r="I79" s="2"/>
      <c r="J79" s="2"/>
      <c r="K79" s="2"/>
      <c r="L79" s="2"/>
      <c r="M79" s="2"/>
      <c r="N79" s="2"/>
      <c r="O79" s="2"/>
      <c r="P79" s="2"/>
    </row>
    <row r="80" spans="1:16" ht="21" customHeight="1">
      <c r="A80" s="2"/>
      <c r="B80" s="2"/>
      <c r="C80" s="2"/>
      <c r="D80" s="2"/>
      <c r="E80" s="2"/>
      <c r="F80" s="2"/>
      <c r="G80" s="2"/>
      <c r="H80" s="2"/>
      <c r="I80" s="2"/>
      <c r="J80" s="2"/>
      <c r="K80" s="2"/>
      <c r="L80" s="2"/>
      <c r="M80" s="2"/>
      <c r="N80" s="2"/>
      <c r="O80" s="2"/>
      <c r="P80" s="2"/>
    </row>
    <row r="81" spans="1:16" ht="21" customHeight="1">
      <c r="A81" s="2"/>
      <c r="B81" s="2"/>
      <c r="C81" s="2"/>
      <c r="D81" s="2"/>
      <c r="E81" s="2"/>
      <c r="F81" s="2"/>
      <c r="G81" s="2"/>
      <c r="H81" s="2"/>
      <c r="I81" s="2"/>
      <c r="J81" s="2"/>
      <c r="K81" s="2"/>
      <c r="L81" s="2"/>
      <c r="M81" s="2"/>
      <c r="N81" s="2"/>
      <c r="O81" s="2"/>
      <c r="P81" s="2"/>
    </row>
    <row r="82" spans="1:16" ht="21" customHeight="1">
      <c r="A82" s="2"/>
      <c r="B82" s="2"/>
      <c r="C82" s="2"/>
      <c r="D82" s="2"/>
      <c r="E82" s="2"/>
      <c r="F82" s="2"/>
      <c r="G82" s="2"/>
      <c r="H82" s="2"/>
      <c r="I82" s="2"/>
      <c r="J82" s="2"/>
      <c r="K82" s="2"/>
      <c r="L82" s="2"/>
      <c r="M82" s="2"/>
      <c r="N82" s="2"/>
      <c r="O82" s="2"/>
      <c r="P82" s="2"/>
    </row>
    <row r="83" spans="1:16" ht="21" customHeight="1">
      <c r="A83" s="2"/>
      <c r="B83" s="2"/>
      <c r="C83" s="2"/>
      <c r="D83" s="2"/>
      <c r="E83" s="2"/>
      <c r="F83" s="2"/>
      <c r="G83" s="2"/>
      <c r="H83" s="2"/>
      <c r="I83" s="2"/>
      <c r="J83" s="2"/>
      <c r="K83" s="2"/>
      <c r="L83" s="2"/>
      <c r="M83" s="2"/>
      <c r="N83" s="2"/>
      <c r="O83" s="2"/>
      <c r="P83" s="2"/>
    </row>
    <row r="84" spans="1:16" ht="21" customHeight="1">
      <c r="A84" s="2"/>
      <c r="B84" s="2"/>
      <c r="C84" s="2"/>
      <c r="D84" s="2"/>
      <c r="E84" s="2"/>
      <c r="F84" s="2"/>
      <c r="G84" s="2"/>
      <c r="H84" s="2"/>
      <c r="I84" s="2"/>
      <c r="J84" s="2"/>
      <c r="K84" s="2"/>
      <c r="L84" s="2"/>
      <c r="M84" s="2"/>
      <c r="N84" s="2"/>
      <c r="O84" s="2"/>
      <c r="P84" s="2"/>
    </row>
    <row r="85" spans="1:16" ht="21" customHeight="1">
      <c r="A85" s="2"/>
      <c r="B85" s="2"/>
      <c r="C85" s="2"/>
      <c r="D85" s="2"/>
      <c r="E85" s="2"/>
      <c r="F85" s="2"/>
      <c r="G85" s="2"/>
      <c r="H85" s="2"/>
      <c r="I85" s="2"/>
      <c r="J85" s="2"/>
      <c r="K85" s="2"/>
      <c r="L85" s="2"/>
      <c r="M85" s="2"/>
      <c r="N85" s="2"/>
      <c r="O85" s="2"/>
      <c r="P85" s="2"/>
    </row>
    <row r="86" spans="1:16" ht="21" customHeight="1">
      <c r="A86" s="2"/>
      <c r="B86" s="2"/>
      <c r="C86" s="2"/>
      <c r="D86" s="2"/>
      <c r="E86" s="2"/>
      <c r="F86" s="2"/>
      <c r="G86" s="2"/>
      <c r="H86" s="2"/>
      <c r="I86" s="2"/>
      <c r="J86" s="2"/>
      <c r="K86" s="2"/>
      <c r="L86" s="2"/>
      <c r="M86" s="2"/>
      <c r="N86" s="2"/>
      <c r="O86" s="2"/>
      <c r="P86" s="2"/>
    </row>
    <row r="87" spans="1:16" ht="21" customHeight="1">
      <c r="A87" s="2"/>
      <c r="B87" s="2"/>
      <c r="C87" s="2"/>
      <c r="D87" s="2"/>
      <c r="E87" s="2"/>
      <c r="F87" s="2"/>
      <c r="G87" s="2"/>
      <c r="H87" s="2"/>
      <c r="I87" s="2"/>
      <c r="J87" s="2"/>
      <c r="K87" s="2"/>
      <c r="L87" s="2"/>
      <c r="M87" s="2"/>
      <c r="N87" s="2"/>
      <c r="O87" s="2"/>
      <c r="P87" s="2"/>
    </row>
    <row r="88" spans="1:16" ht="21" customHeight="1">
      <c r="A88" s="2"/>
      <c r="B88" s="2"/>
      <c r="C88" s="2"/>
      <c r="D88" s="2"/>
      <c r="E88" s="2"/>
      <c r="F88" s="2"/>
      <c r="G88" s="2"/>
      <c r="H88" s="2"/>
      <c r="I88" s="2"/>
      <c r="J88" s="2"/>
      <c r="K88" s="2"/>
      <c r="L88" s="2"/>
      <c r="M88" s="2"/>
      <c r="N88" s="2"/>
      <c r="O88" s="2"/>
      <c r="P88" s="2"/>
    </row>
    <row r="89" spans="1:16" ht="21" customHeight="1">
      <c r="A89" s="2"/>
      <c r="B89" s="2"/>
      <c r="C89" s="2"/>
      <c r="D89" s="2"/>
      <c r="E89" s="2"/>
      <c r="F89" s="2"/>
      <c r="G89" s="2"/>
      <c r="H89" s="2"/>
      <c r="I89" s="2"/>
      <c r="J89" s="2"/>
      <c r="K89" s="2"/>
      <c r="L89" s="2"/>
      <c r="M89" s="2"/>
      <c r="N89" s="2"/>
      <c r="O89" s="2"/>
      <c r="P89" s="2"/>
    </row>
    <row r="90" spans="1:16" ht="21" customHeight="1">
      <c r="A90" s="2"/>
      <c r="B90" s="2"/>
      <c r="C90" s="2"/>
      <c r="D90" s="2"/>
      <c r="E90" s="2"/>
      <c r="F90" s="2"/>
      <c r="G90" s="2"/>
      <c r="H90" s="2"/>
      <c r="I90" s="2"/>
      <c r="J90" s="2"/>
      <c r="K90" s="2"/>
      <c r="L90" s="2"/>
      <c r="M90" s="2"/>
      <c r="N90" s="2"/>
      <c r="O90" s="2"/>
      <c r="P90" s="2"/>
    </row>
    <row r="91" spans="1:16" ht="21" customHeight="1">
      <c r="A91" s="2"/>
      <c r="B91" s="2"/>
      <c r="C91" s="2"/>
      <c r="D91" s="2"/>
      <c r="E91" s="2"/>
      <c r="F91" s="2"/>
      <c r="G91" s="2"/>
      <c r="H91" s="2"/>
      <c r="I91" s="2"/>
      <c r="J91" s="2"/>
      <c r="K91" s="2"/>
      <c r="L91" s="2"/>
      <c r="M91" s="2"/>
      <c r="N91" s="2"/>
      <c r="O91" s="2"/>
      <c r="P91" s="2"/>
    </row>
    <row r="92" spans="1:16" ht="21" customHeight="1">
      <c r="A92" s="2"/>
      <c r="B92" s="2"/>
      <c r="C92" s="2"/>
      <c r="D92" s="2"/>
      <c r="E92" s="2"/>
      <c r="F92" s="2"/>
      <c r="G92" s="2"/>
      <c r="H92" s="2"/>
      <c r="I92" s="2"/>
      <c r="J92" s="2"/>
      <c r="K92" s="2"/>
      <c r="L92" s="2"/>
      <c r="M92" s="2"/>
      <c r="N92" s="2"/>
      <c r="O92" s="2"/>
      <c r="P92" s="2"/>
    </row>
    <row r="93" spans="1:16" ht="21" customHeight="1">
      <c r="A93" s="2"/>
      <c r="B93" s="2"/>
      <c r="C93" s="2"/>
      <c r="D93" s="2"/>
      <c r="E93" s="2"/>
      <c r="F93" s="2"/>
      <c r="G93" s="2"/>
      <c r="H93" s="2"/>
      <c r="I93" s="2"/>
      <c r="J93" s="2"/>
      <c r="K93" s="2"/>
      <c r="L93" s="2"/>
      <c r="M93" s="2"/>
      <c r="N93" s="2"/>
      <c r="O93" s="2"/>
      <c r="P93" s="2"/>
    </row>
    <row r="94" spans="1:16" ht="21" customHeight="1">
      <c r="A94" s="2"/>
      <c r="B94" s="2"/>
      <c r="C94" s="2"/>
      <c r="D94" s="2"/>
      <c r="E94" s="2"/>
      <c r="F94" s="2"/>
      <c r="G94" s="2"/>
      <c r="H94" s="2"/>
      <c r="I94" s="2"/>
      <c r="J94" s="2"/>
      <c r="K94" s="2"/>
      <c r="L94" s="2"/>
      <c r="M94" s="2"/>
      <c r="N94" s="2"/>
      <c r="O94" s="2"/>
      <c r="P94" s="2"/>
    </row>
    <row r="95" spans="1:16" ht="21" customHeight="1">
      <c r="A95" s="2"/>
      <c r="B95" s="2"/>
      <c r="C95" s="2"/>
      <c r="D95" s="2"/>
      <c r="E95" s="2"/>
      <c r="F95" s="2"/>
      <c r="G95" s="2"/>
      <c r="H95" s="2"/>
      <c r="I95" s="2"/>
      <c r="J95" s="2"/>
      <c r="K95" s="2"/>
      <c r="L95" s="2"/>
      <c r="M95" s="2"/>
      <c r="N95" s="2"/>
      <c r="O95" s="2"/>
      <c r="P95" s="2"/>
    </row>
    <row r="96" spans="1:16" ht="21" customHeight="1">
      <c r="A96" s="2"/>
      <c r="B96" s="2"/>
      <c r="C96" s="2"/>
      <c r="D96" s="2"/>
      <c r="E96" s="2"/>
      <c r="F96" s="2"/>
      <c r="G96" s="2"/>
      <c r="H96" s="2"/>
      <c r="I96" s="2"/>
      <c r="J96" s="2"/>
      <c r="K96" s="2"/>
      <c r="L96" s="2"/>
      <c r="M96" s="2"/>
      <c r="N96" s="2"/>
      <c r="O96" s="2"/>
      <c r="P96" s="2"/>
    </row>
    <row r="97" spans="1:16" ht="21" customHeight="1">
      <c r="A97" s="2"/>
      <c r="B97" s="2"/>
      <c r="C97" s="2"/>
      <c r="D97" s="2"/>
      <c r="E97" s="2"/>
      <c r="F97" s="2"/>
      <c r="G97" s="2"/>
      <c r="H97" s="2"/>
      <c r="I97" s="2"/>
      <c r="J97" s="2"/>
      <c r="K97" s="2"/>
      <c r="L97" s="2"/>
      <c r="M97" s="2"/>
      <c r="N97" s="2"/>
      <c r="O97" s="2"/>
      <c r="P97" s="2"/>
    </row>
    <row r="98" spans="1:16" ht="21" customHeight="1">
      <c r="A98" s="2"/>
      <c r="B98" s="2"/>
      <c r="C98" s="2"/>
      <c r="D98" s="2"/>
      <c r="E98" s="2"/>
      <c r="F98" s="2"/>
      <c r="G98" s="2"/>
      <c r="H98" s="2"/>
      <c r="I98" s="2"/>
      <c r="J98" s="2"/>
      <c r="K98" s="2"/>
      <c r="L98" s="2"/>
      <c r="M98" s="2"/>
      <c r="N98" s="2"/>
      <c r="O98" s="2"/>
      <c r="P98" s="2"/>
    </row>
    <row r="99" spans="1:16" ht="21" customHeight="1">
      <c r="A99" s="2"/>
      <c r="B99" s="2"/>
      <c r="C99" s="2"/>
      <c r="D99" s="2"/>
      <c r="E99" s="2"/>
      <c r="F99" s="2"/>
      <c r="G99" s="2"/>
      <c r="H99" s="2"/>
      <c r="I99" s="2"/>
      <c r="J99" s="2"/>
      <c r="K99" s="2"/>
      <c r="L99" s="2"/>
      <c r="M99" s="2"/>
      <c r="N99" s="2"/>
      <c r="O99" s="2"/>
      <c r="P99" s="2"/>
    </row>
    <row r="100" spans="1:16" ht="21" customHeight="1">
      <c r="A100" s="2"/>
      <c r="B100" s="2"/>
      <c r="C100" s="2"/>
      <c r="D100" s="2"/>
      <c r="E100" s="2"/>
      <c r="F100" s="2"/>
      <c r="G100" s="2"/>
      <c r="H100" s="2"/>
      <c r="I100" s="2"/>
      <c r="J100" s="2"/>
      <c r="K100" s="2"/>
      <c r="L100" s="2"/>
      <c r="M100" s="2"/>
      <c r="N100" s="2"/>
      <c r="O100" s="2"/>
      <c r="P100" s="2"/>
    </row>
    <row r="101" spans="1:16" ht="21" customHeight="1">
      <c r="A101" s="2"/>
      <c r="B101" s="2"/>
      <c r="C101" s="2"/>
      <c r="D101" s="2"/>
      <c r="E101" s="2"/>
      <c r="F101" s="2"/>
      <c r="G101" s="2"/>
      <c r="H101" s="2"/>
      <c r="I101" s="2"/>
      <c r="J101" s="2"/>
      <c r="K101" s="2"/>
      <c r="L101" s="2"/>
      <c r="M101" s="2"/>
      <c r="N101" s="2"/>
      <c r="O101" s="2"/>
      <c r="P101" s="2"/>
    </row>
    <row r="102" spans="1:16" ht="21" customHeight="1">
      <c r="A102" s="2"/>
      <c r="B102" s="2"/>
      <c r="C102" s="2"/>
      <c r="D102" s="2"/>
      <c r="E102" s="2"/>
      <c r="F102" s="2"/>
      <c r="G102" s="2"/>
      <c r="H102" s="2"/>
      <c r="I102" s="2"/>
      <c r="J102" s="2"/>
      <c r="K102" s="2"/>
      <c r="L102" s="2"/>
      <c r="M102" s="2"/>
      <c r="N102" s="2"/>
      <c r="O102" s="2"/>
      <c r="P102" s="2"/>
    </row>
    <row r="103" spans="1:16" ht="21" customHeight="1">
      <c r="A103" s="2"/>
      <c r="B103" s="2"/>
      <c r="C103" s="2"/>
      <c r="D103" s="2"/>
      <c r="E103" s="2"/>
      <c r="F103" s="2"/>
      <c r="G103" s="2"/>
      <c r="H103" s="2"/>
      <c r="I103" s="2"/>
      <c r="J103" s="2"/>
      <c r="K103" s="2"/>
      <c r="L103" s="2"/>
      <c r="M103" s="2"/>
      <c r="N103" s="2"/>
      <c r="O103" s="2"/>
      <c r="P103" s="2"/>
    </row>
    <row r="104" spans="1:16" ht="21" customHeight="1">
      <c r="A104" s="2"/>
      <c r="B104" s="2"/>
      <c r="C104" s="2"/>
      <c r="D104" s="2"/>
      <c r="E104" s="2"/>
      <c r="F104" s="2"/>
      <c r="G104" s="2"/>
      <c r="H104" s="2"/>
      <c r="I104" s="2"/>
      <c r="J104" s="2"/>
      <c r="K104" s="2"/>
      <c r="L104" s="2"/>
      <c r="M104" s="2"/>
      <c r="N104" s="2"/>
      <c r="O104" s="2"/>
      <c r="P104" s="2"/>
    </row>
    <row r="105" spans="1:16" ht="21" customHeight="1">
      <c r="A105" s="2"/>
      <c r="B105" s="2"/>
      <c r="C105" s="2"/>
      <c r="D105" s="2"/>
      <c r="E105" s="2"/>
      <c r="F105" s="2"/>
      <c r="G105" s="2"/>
      <c r="H105" s="2"/>
      <c r="I105" s="2"/>
      <c r="J105" s="2"/>
      <c r="K105" s="2"/>
      <c r="L105" s="2"/>
      <c r="M105" s="2"/>
      <c r="N105" s="2"/>
      <c r="O105" s="2"/>
      <c r="P105" s="2"/>
    </row>
    <row r="106" spans="1:16" ht="21" customHeight="1">
      <c r="A106" s="2"/>
      <c r="B106" s="2"/>
      <c r="C106" s="2"/>
      <c r="D106" s="2"/>
      <c r="E106" s="2"/>
      <c r="F106" s="2"/>
      <c r="G106" s="2"/>
      <c r="H106" s="2"/>
      <c r="I106" s="2"/>
      <c r="J106" s="2"/>
      <c r="K106" s="2"/>
      <c r="L106" s="2"/>
      <c r="M106" s="2"/>
      <c r="N106" s="2"/>
      <c r="O106" s="2"/>
      <c r="P106" s="2"/>
    </row>
    <row r="107" spans="1:16" ht="21" customHeight="1">
      <c r="A107" s="2"/>
      <c r="B107" s="2"/>
      <c r="C107" s="2"/>
      <c r="D107" s="2"/>
      <c r="E107" s="2"/>
      <c r="F107" s="2"/>
      <c r="G107" s="2"/>
      <c r="H107" s="2"/>
      <c r="I107" s="2"/>
      <c r="J107" s="2"/>
      <c r="K107" s="2"/>
      <c r="L107" s="2"/>
      <c r="M107" s="2"/>
      <c r="N107" s="2"/>
      <c r="O107" s="2"/>
      <c r="P107" s="2"/>
    </row>
    <row r="108" spans="1:16" ht="21" customHeight="1">
      <c r="A108" s="2"/>
      <c r="B108" s="2"/>
      <c r="C108" s="2"/>
      <c r="D108" s="2"/>
      <c r="E108" s="2"/>
      <c r="F108" s="2"/>
      <c r="G108" s="2"/>
      <c r="H108" s="2"/>
      <c r="I108" s="2"/>
      <c r="J108" s="2"/>
      <c r="K108" s="2"/>
      <c r="L108" s="2"/>
      <c r="M108" s="2"/>
      <c r="N108" s="2"/>
      <c r="O108" s="2"/>
      <c r="P108" s="2"/>
    </row>
    <row r="109" spans="1:16" ht="21" customHeight="1">
      <c r="A109" s="2"/>
      <c r="B109" s="2"/>
      <c r="C109" s="2"/>
      <c r="D109" s="2"/>
      <c r="E109" s="2"/>
      <c r="F109" s="2"/>
      <c r="G109" s="2"/>
      <c r="H109" s="2"/>
      <c r="I109" s="2"/>
      <c r="J109" s="2"/>
      <c r="K109" s="2"/>
      <c r="L109" s="2"/>
      <c r="M109" s="2"/>
      <c r="N109" s="2"/>
      <c r="O109" s="2"/>
      <c r="P109" s="2"/>
    </row>
    <row r="110" spans="1:16" ht="21" customHeight="1">
      <c r="A110" s="2"/>
      <c r="B110" s="2"/>
      <c r="C110" s="2"/>
      <c r="D110" s="2"/>
      <c r="E110" s="2"/>
      <c r="F110" s="2"/>
      <c r="G110" s="2"/>
      <c r="H110" s="2"/>
      <c r="I110" s="2"/>
      <c r="J110" s="2"/>
      <c r="K110" s="2"/>
      <c r="L110" s="2"/>
      <c r="M110" s="2"/>
      <c r="N110" s="2"/>
      <c r="O110" s="2"/>
      <c r="P110" s="2"/>
    </row>
    <row r="111" spans="1:16" ht="21" customHeight="1">
      <c r="A111" s="2"/>
      <c r="B111" s="2"/>
      <c r="C111" s="2"/>
      <c r="D111" s="2"/>
      <c r="E111" s="2"/>
      <c r="F111" s="2"/>
      <c r="G111" s="2"/>
      <c r="H111" s="2"/>
      <c r="I111" s="2"/>
      <c r="J111" s="2"/>
      <c r="K111" s="2"/>
      <c r="L111" s="2"/>
      <c r="M111" s="2"/>
      <c r="N111" s="2"/>
      <c r="O111" s="2"/>
      <c r="P111" s="2"/>
    </row>
    <row r="112" spans="1:16" ht="21" customHeight="1">
      <c r="A112" s="2"/>
      <c r="B112" s="2"/>
      <c r="C112" s="2"/>
      <c r="D112" s="2"/>
      <c r="E112" s="2"/>
      <c r="F112" s="2"/>
      <c r="G112" s="2"/>
      <c r="H112" s="2"/>
      <c r="I112" s="2"/>
      <c r="J112" s="2"/>
      <c r="K112" s="2"/>
      <c r="L112" s="2"/>
      <c r="M112" s="2"/>
      <c r="N112" s="2"/>
      <c r="O112" s="2"/>
      <c r="P112" s="2"/>
    </row>
    <row r="113" spans="1:16" ht="21" customHeight="1">
      <c r="A113" s="2"/>
      <c r="B113" s="2"/>
      <c r="C113" s="2"/>
      <c r="D113" s="2"/>
      <c r="E113" s="2"/>
      <c r="F113" s="2"/>
      <c r="G113" s="2"/>
      <c r="H113" s="2"/>
      <c r="I113" s="2"/>
      <c r="J113" s="2"/>
      <c r="K113" s="2"/>
      <c r="L113" s="2"/>
      <c r="M113" s="2"/>
      <c r="N113" s="2"/>
      <c r="O113" s="2"/>
      <c r="P113" s="2"/>
    </row>
    <row r="114" spans="1:16" ht="21" customHeight="1">
      <c r="A114" s="2"/>
      <c r="B114" s="2"/>
      <c r="C114" s="2"/>
      <c r="D114" s="2"/>
      <c r="E114" s="2"/>
      <c r="F114" s="2"/>
      <c r="G114" s="2"/>
      <c r="H114" s="2"/>
      <c r="I114" s="2"/>
      <c r="J114" s="2"/>
      <c r="K114" s="2"/>
      <c r="L114" s="2"/>
      <c r="M114" s="2"/>
      <c r="N114" s="2"/>
      <c r="O114" s="2"/>
      <c r="P114" s="2"/>
    </row>
    <row r="115" spans="1:16" ht="21" customHeight="1">
      <c r="A115" s="2"/>
      <c r="B115" s="2"/>
      <c r="C115" s="2"/>
      <c r="D115" s="2"/>
      <c r="E115" s="2"/>
      <c r="F115" s="2"/>
      <c r="G115" s="2"/>
      <c r="H115" s="2"/>
      <c r="I115" s="2"/>
      <c r="J115" s="2"/>
      <c r="K115" s="2"/>
      <c r="L115" s="2"/>
      <c r="M115" s="2"/>
      <c r="N115" s="2"/>
      <c r="O115" s="2"/>
      <c r="P115" s="2"/>
    </row>
    <row r="116" spans="1:16" ht="21" customHeight="1">
      <c r="A116" s="2"/>
      <c r="B116" s="2"/>
      <c r="C116" s="2"/>
      <c r="D116" s="2"/>
      <c r="E116" s="2"/>
      <c r="F116" s="2"/>
      <c r="G116" s="2"/>
      <c r="H116" s="2"/>
      <c r="I116" s="2"/>
      <c r="J116" s="2"/>
      <c r="K116" s="2"/>
      <c r="L116" s="2"/>
      <c r="M116" s="2"/>
      <c r="N116" s="2"/>
      <c r="O116" s="2"/>
      <c r="P116" s="2"/>
    </row>
    <row r="117" spans="1:16" ht="21" customHeight="1">
      <c r="A117" s="2"/>
      <c r="B117" s="2"/>
      <c r="C117" s="2"/>
      <c r="D117" s="2"/>
      <c r="E117" s="2"/>
      <c r="F117" s="2"/>
      <c r="G117" s="2"/>
      <c r="H117" s="2"/>
      <c r="I117" s="2"/>
      <c r="J117" s="2"/>
      <c r="K117" s="2"/>
      <c r="L117" s="2"/>
      <c r="M117" s="2"/>
      <c r="N117" s="2"/>
      <c r="O117" s="2"/>
      <c r="P117" s="2"/>
    </row>
    <row r="118" spans="1:16" ht="21" customHeight="1">
      <c r="A118" s="2"/>
      <c r="B118" s="2"/>
      <c r="C118" s="2"/>
      <c r="D118" s="2"/>
      <c r="E118" s="2"/>
      <c r="F118" s="2"/>
      <c r="G118" s="2"/>
      <c r="H118" s="2"/>
      <c r="I118" s="2"/>
      <c r="J118" s="2"/>
      <c r="K118" s="2"/>
      <c r="L118" s="2"/>
      <c r="M118" s="2"/>
      <c r="N118" s="2"/>
      <c r="O118" s="2"/>
      <c r="P118" s="2"/>
    </row>
    <row r="119" spans="1:16" ht="21" customHeight="1">
      <c r="A119" s="2"/>
      <c r="B119" s="2"/>
      <c r="C119" s="2"/>
      <c r="D119" s="2"/>
      <c r="E119" s="2"/>
      <c r="F119" s="2"/>
      <c r="G119" s="2"/>
      <c r="H119" s="2"/>
      <c r="I119" s="2"/>
      <c r="J119" s="2"/>
      <c r="K119" s="2"/>
      <c r="L119" s="2"/>
      <c r="M119" s="2"/>
      <c r="N119" s="2"/>
      <c r="O119" s="2"/>
      <c r="P119" s="2"/>
    </row>
    <row r="120" spans="1:16" ht="21" customHeight="1">
      <c r="A120" s="2"/>
      <c r="B120" s="2"/>
      <c r="C120" s="2"/>
      <c r="D120" s="2"/>
      <c r="E120" s="2"/>
      <c r="F120" s="2"/>
      <c r="G120" s="2"/>
      <c r="H120" s="2"/>
      <c r="I120" s="2"/>
      <c r="J120" s="2"/>
      <c r="K120" s="2"/>
      <c r="L120" s="2"/>
      <c r="M120" s="2"/>
      <c r="N120" s="2"/>
      <c r="O120" s="2"/>
      <c r="P120" s="2"/>
    </row>
    <row r="121" spans="1:16" ht="21" customHeight="1"/>
    <row r="122" spans="1:16" ht="21" customHeight="1"/>
    <row r="123" spans="1:16" ht="21" customHeight="1"/>
    <row r="124" spans="1:16" ht="21" customHeight="1"/>
    <row r="125" spans="1:16" ht="21" customHeight="1"/>
    <row r="126" spans="1:16" ht="21" customHeight="1"/>
    <row r="127" spans="1:16" ht="21" customHeight="1"/>
    <row r="128" spans="1:16" ht="21" customHeight="1"/>
    <row r="129" ht="21" customHeight="1"/>
    <row r="130" ht="21" customHeight="1"/>
    <row r="131" ht="21" customHeight="1"/>
    <row r="132" ht="21" customHeight="1"/>
    <row r="133" ht="21" customHeight="1"/>
    <row r="134" ht="21" customHeight="1"/>
    <row r="135" ht="21" customHeight="1"/>
    <row r="136" ht="21" customHeight="1"/>
    <row r="137" ht="21" customHeight="1"/>
    <row r="138" ht="21" customHeight="1"/>
    <row r="139" ht="21" customHeight="1"/>
    <row r="140" ht="21" customHeight="1"/>
    <row r="141" ht="21" customHeight="1"/>
    <row r="142" ht="21" customHeight="1"/>
    <row r="143" ht="21" customHeight="1"/>
    <row r="144" ht="21" customHeight="1"/>
    <row r="145" ht="21" customHeight="1"/>
    <row r="146" ht="21" customHeight="1"/>
    <row r="147" ht="21" customHeight="1"/>
    <row r="148" ht="21" customHeight="1"/>
    <row r="149" ht="21" customHeight="1"/>
    <row r="150" ht="21" customHeight="1"/>
    <row r="151" ht="21" customHeight="1"/>
    <row r="152" ht="21" customHeight="1"/>
    <row r="153" ht="21" customHeight="1"/>
    <row r="154" ht="21" customHeight="1"/>
    <row r="155" ht="21" customHeight="1"/>
    <row r="156" ht="21" customHeight="1"/>
    <row r="157" ht="21" customHeight="1"/>
    <row r="158" ht="21" customHeight="1"/>
    <row r="159" ht="21" customHeight="1"/>
    <row r="160" ht="21" customHeight="1"/>
    <row r="161" ht="21" customHeight="1"/>
    <row r="162" ht="21" customHeight="1"/>
    <row r="163" ht="21" customHeight="1"/>
    <row r="164" ht="21" customHeight="1"/>
    <row r="165" ht="21" customHeight="1"/>
    <row r="166" ht="21" customHeight="1"/>
    <row r="167" ht="21" customHeight="1"/>
    <row r="168" ht="21" customHeight="1"/>
    <row r="169" ht="21" customHeight="1"/>
    <row r="170" ht="21" customHeight="1"/>
    <row r="171" ht="21" customHeight="1"/>
    <row r="172" ht="21" customHeight="1"/>
    <row r="173" ht="21" customHeight="1"/>
    <row r="174" ht="21" customHeight="1"/>
    <row r="175" ht="21" customHeight="1"/>
    <row r="176" ht="21" customHeight="1"/>
    <row r="177" ht="21" customHeight="1"/>
    <row r="178" ht="21" customHeight="1"/>
    <row r="179" ht="21" customHeight="1"/>
    <row r="180" ht="21" customHeight="1"/>
    <row r="181" ht="21" customHeight="1"/>
    <row r="182" ht="21" customHeight="1"/>
    <row r="183" ht="21" customHeight="1"/>
    <row r="184" ht="21" customHeight="1"/>
    <row r="185" ht="21" customHeight="1"/>
    <row r="186" ht="21" customHeight="1"/>
    <row r="187" ht="21" customHeight="1"/>
    <row r="188" ht="21" customHeight="1"/>
    <row r="189" ht="21" customHeight="1"/>
    <row r="190" ht="21" customHeight="1"/>
    <row r="191" ht="21" customHeight="1"/>
    <row r="192" ht="21" customHeight="1"/>
    <row r="193" ht="21" customHeight="1"/>
    <row r="194" ht="21" customHeight="1"/>
    <row r="195" ht="21" customHeight="1"/>
    <row r="196" ht="21" customHeight="1"/>
    <row r="197" ht="21" customHeight="1"/>
    <row r="198" ht="21" customHeight="1"/>
    <row r="199" ht="21" customHeight="1"/>
    <row r="200" ht="21" customHeight="1"/>
    <row r="201" ht="21" customHeight="1"/>
    <row r="202" ht="21" customHeight="1"/>
    <row r="203" ht="21" customHeight="1"/>
    <row r="204" ht="21" customHeight="1"/>
    <row r="205" ht="21" customHeight="1"/>
    <row r="206" ht="21" customHeight="1"/>
    <row r="207" ht="21" customHeight="1"/>
    <row r="208" ht="21" customHeight="1"/>
    <row r="209" ht="21" customHeight="1"/>
    <row r="210" ht="21" customHeight="1"/>
    <row r="211" ht="21" customHeight="1"/>
    <row r="212" ht="21" customHeight="1"/>
    <row r="213" ht="21" customHeight="1"/>
    <row r="214" ht="21" customHeight="1"/>
    <row r="215" ht="21" customHeight="1"/>
    <row r="216" ht="21" customHeight="1"/>
    <row r="217" ht="21" customHeight="1"/>
    <row r="218" ht="21" customHeight="1"/>
    <row r="219" ht="21" customHeight="1"/>
    <row r="220" ht="21" customHeight="1"/>
    <row r="221" ht="21" customHeight="1"/>
    <row r="222" ht="21" customHeight="1"/>
    <row r="223" ht="21" customHeight="1"/>
    <row r="224" ht="21" customHeight="1"/>
    <row r="225" ht="21" customHeight="1"/>
    <row r="226" ht="21" customHeight="1"/>
    <row r="227" ht="21" customHeight="1"/>
    <row r="228" ht="21" customHeight="1"/>
    <row r="229" ht="21" customHeight="1"/>
    <row r="230" ht="21" customHeight="1"/>
    <row r="231" ht="21" customHeight="1"/>
    <row r="232" ht="21" customHeight="1"/>
    <row r="233" ht="21" customHeight="1"/>
    <row r="234" ht="21" customHeight="1"/>
    <row r="235" ht="21" customHeight="1"/>
    <row r="236" ht="21" customHeight="1"/>
    <row r="237" ht="21" customHeight="1"/>
    <row r="238" ht="21" customHeight="1"/>
    <row r="239" ht="21" customHeight="1"/>
    <row r="240" ht="21" customHeight="1"/>
    <row r="241" ht="21" customHeight="1"/>
    <row r="242" ht="21" customHeight="1"/>
    <row r="243" ht="21" customHeight="1"/>
    <row r="244" ht="21" customHeight="1"/>
    <row r="245" ht="21" customHeight="1"/>
    <row r="246" ht="21" customHeight="1"/>
    <row r="247" ht="21" customHeight="1"/>
    <row r="248" ht="21" customHeight="1"/>
    <row r="249" ht="21" customHeight="1"/>
    <row r="250" ht="21" customHeight="1"/>
    <row r="251" ht="21" customHeight="1"/>
    <row r="252" ht="21" customHeight="1"/>
    <row r="253" ht="21" customHeight="1"/>
    <row r="254" ht="21" customHeight="1"/>
    <row r="255" ht="21" customHeight="1"/>
    <row r="256" ht="21" customHeight="1"/>
    <row r="257" ht="21" customHeight="1"/>
    <row r="258" ht="21" customHeight="1"/>
    <row r="259" ht="21" customHeight="1"/>
    <row r="260" ht="21" customHeight="1"/>
    <row r="261" ht="21" customHeight="1"/>
    <row r="262" ht="21" customHeight="1"/>
    <row r="263" ht="21" customHeight="1"/>
    <row r="264" ht="21" customHeight="1"/>
    <row r="265" ht="21" customHeight="1"/>
    <row r="266" ht="21" customHeight="1"/>
    <row r="267" ht="21" customHeight="1"/>
    <row r="268" ht="21" customHeight="1"/>
    <row r="269" ht="21" customHeight="1"/>
    <row r="270" ht="21" customHeight="1"/>
    <row r="271" ht="21" customHeight="1"/>
    <row r="272" ht="21" customHeight="1"/>
    <row r="273" ht="21" customHeight="1"/>
    <row r="274" ht="21" customHeight="1"/>
    <row r="275" ht="21" customHeight="1"/>
    <row r="276" ht="21" customHeight="1"/>
    <row r="277" ht="21" customHeight="1"/>
    <row r="278" ht="21" customHeight="1"/>
    <row r="279" ht="21" customHeight="1"/>
    <row r="280" ht="21" customHeight="1"/>
    <row r="281" ht="21" customHeight="1"/>
    <row r="282" ht="21" customHeight="1"/>
    <row r="283" ht="21" customHeight="1"/>
    <row r="284" ht="21" customHeight="1"/>
    <row r="285" ht="21" customHeight="1"/>
    <row r="286" ht="21" customHeight="1"/>
    <row r="287" ht="21" customHeight="1"/>
    <row r="288" ht="21" customHeight="1"/>
    <row r="289" ht="21" customHeight="1"/>
    <row r="290" ht="21" customHeight="1"/>
    <row r="291" ht="21" customHeight="1"/>
    <row r="292" ht="21" customHeight="1"/>
    <row r="293" ht="21" customHeight="1"/>
    <row r="294" ht="21" customHeight="1"/>
    <row r="295" ht="21" customHeight="1"/>
    <row r="296" ht="21" customHeight="1"/>
    <row r="297" ht="21" customHeight="1"/>
    <row r="298" ht="21" customHeight="1"/>
    <row r="299" ht="21" customHeight="1"/>
    <row r="300" ht="21" customHeight="1"/>
    <row r="301" ht="21" customHeight="1"/>
    <row r="302" ht="21" customHeight="1"/>
    <row r="303" ht="21" customHeight="1"/>
    <row r="304" ht="21" customHeight="1"/>
    <row r="305" ht="21" customHeight="1"/>
    <row r="306" ht="21" customHeight="1"/>
    <row r="307" ht="21" customHeight="1"/>
    <row r="308" ht="21" customHeight="1"/>
    <row r="309" ht="21" customHeight="1"/>
    <row r="310" ht="21" customHeight="1"/>
    <row r="311" ht="21" customHeight="1"/>
    <row r="312" ht="21" customHeight="1"/>
    <row r="313" ht="21" customHeight="1"/>
    <row r="314" ht="21" customHeight="1"/>
    <row r="315" ht="21" customHeight="1"/>
    <row r="316" ht="21" customHeight="1"/>
    <row r="317" ht="21" customHeight="1"/>
    <row r="318" ht="21" customHeight="1"/>
    <row r="319" ht="21" customHeight="1"/>
    <row r="320" ht="21" customHeight="1"/>
    <row r="321" ht="21" customHeight="1"/>
    <row r="322" ht="21" customHeight="1"/>
    <row r="323" ht="21" customHeight="1"/>
    <row r="324" ht="21" customHeight="1"/>
    <row r="325" ht="21" customHeight="1"/>
    <row r="326" ht="21" customHeight="1"/>
    <row r="327" ht="21" customHeight="1"/>
    <row r="328" ht="21" customHeight="1"/>
    <row r="329" ht="21" customHeight="1"/>
    <row r="330" ht="21" customHeight="1"/>
    <row r="331" ht="21" customHeight="1"/>
    <row r="332" ht="21" customHeight="1"/>
    <row r="333" ht="21" customHeight="1"/>
    <row r="334" ht="21" customHeight="1"/>
    <row r="335" ht="21" customHeight="1"/>
    <row r="336" ht="21" customHeight="1"/>
    <row r="337" ht="21" customHeight="1"/>
    <row r="338" ht="21" customHeight="1"/>
    <row r="339" ht="21" customHeight="1"/>
    <row r="340" ht="21" customHeight="1"/>
    <row r="341" ht="21" customHeight="1"/>
    <row r="342" ht="21" customHeight="1"/>
    <row r="343" ht="21" customHeight="1"/>
    <row r="344" ht="21" customHeight="1"/>
    <row r="345" ht="21" customHeight="1"/>
    <row r="346" ht="21" customHeight="1"/>
    <row r="347" ht="21" customHeight="1"/>
    <row r="348" ht="21" customHeight="1"/>
    <row r="349" ht="21" customHeight="1"/>
    <row r="350" ht="21" customHeight="1"/>
    <row r="351" ht="21" customHeight="1"/>
    <row r="352" ht="21" customHeight="1"/>
    <row r="353" ht="21" customHeight="1"/>
    <row r="354" ht="21" customHeight="1"/>
    <row r="355" ht="21" customHeight="1"/>
    <row r="356" ht="21" customHeight="1"/>
    <row r="357" ht="21" customHeight="1"/>
    <row r="358" ht="21" customHeight="1"/>
    <row r="359" ht="21" customHeight="1"/>
    <row r="360" ht="21" customHeight="1"/>
    <row r="361" ht="21" customHeight="1"/>
    <row r="362" ht="21" customHeight="1"/>
    <row r="363" ht="21" customHeight="1"/>
    <row r="364" ht="21" customHeight="1"/>
    <row r="365" ht="21" customHeight="1"/>
    <row r="366" ht="21" customHeight="1"/>
    <row r="367" ht="21" customHeight="1"/>
    <row r="368" ht="21" customHeight="1"/>
    <row r="369" ht="21" customHeight="1"/>
    <row r="370" ht="21" customHeight="1"/>
    <row r="371" ht="21" customHeight="1"/>
    <row r="372" ht="21" customHeight="1"/>
    <row r="373" ht="21" customHeight="1"/>
    <row r="374" ht="21" customHeight="1"/>
    <row r="375" ht="21" customHeight="1"/>
    <row r="376" ht="21" customHeight="1"/>
    <row r="377" ht="21" customHeight="1"/>
    <row r="378" ht="21" customHeight="1"/>
    <row r="379" ht="21" customHeight="1"/>
    <row r="380" ht="21" customHeight="1"/>
    <row r="381" ht="21" customHeight="1"/>
    <row r="382" ht="21" customHeight="1"/>
    <row r="383" ht="21" customHeight="1"/>
    <row r="384" ht="21" customHeight="1"/>
    <row r="385" ht="21" customHeight="1"/>
    <row r="386" ht="21" customHeight="1"/>
    <row r="387" ht="21" customHeight="1"/>
    <row r="388" ht="21" customHeight="1"/>
    <row r="389" ht="21" customHeight="1"/>
    <row r="390" ht="21" customHeight="1"/>
    <row r="391" ht="21" customHeight="1"/>
    <row r="392" ht="21" customHeight="1"/>
    <row r="393" ht="21" customHeight="1"/>
    <row r="394" ht="21" customHeight="1"/>
    <row r="395" ht="21" customHeight="1"/>
    <row r="396" ht="21" customHeight="1"/>
    <row r="397" ht="21" customHeight="1"/>
    <row r="398" ht="21" customHeight="1"/>
    <row r="399" ht="21" customHeight="1"/>
    <row r="400" ht="21" customHeight="1"/>
    <row r="401" ht="21" customHeight="1"/>
    <row r="402" ht="21" customHeight="1"/>
    <row r="403" ht="21" customHeight="1"/>
    <row r="404" ht="21" customHeight="1"/>
    <row r="405" ht="21" customHeight="1"/>
    <row r="406" ht="21" customHeight="1"/>
    <row r="407" ht="21" customHeight="1"/>
    <row r="408" ht="21" customHeight="1"/>
    <row r="409" ht="21" customHeight="1"/>
    <row r="410" ht="21" customHeight="1"/>
    <row r="411" ht="21" customHeight="1"/>
    <row r="412" ht="21" customHeight="1"/>
    <row r="413" ht="21" customHeight="1"/>
    <row r="414" ht="21" customHeight="1"/>
    <row r="415" ht="21" customHeight="1"/>
    <row r="416" ht="21" customHeight="1"/>
    <row r="417" ht="21" customHeight="1"/>
    <row r="418" ht="21" customHeight="1"/>
    <row r="419" ht="21" customHeight="1"/>
    <row r="420" ht="21" customHeight="1"/>
    <row r="421" ht="21" customHeight="1"/>
    <row r="422" ht="21" customHeight="1"/>
    <row r="423" ht="21" customHeight="1"/>
    <row r="424" ht="21" customHeight="1"/>
    <row r="425" ht="21" customHeight="1"/>
    <row r="426" ht="21" customHeight="1"/>
    <row r="427" ht="21" customHeight="1"/>
    <row r="428" ht="21" customHeight="1"/>
    <row r="429" ht="21" customHeight="1"/>
    <row r="430" ht="21" customHeight="1"/>
    <row r="431" ht="21" customHeight="1"/>
    <row r="432" ht="21" customHeight="1"/>
    <row r="433" ht="21" customHeight="1"/>
    <row r="434" ht="21" customHeight="1"/>
    <row r="435" ht="21" customHeight="1"/>
    <row r="436" ht="21" customHeight="1"/>
    <row r="437" ht="21" customHeight="1"/>
    <row r="438" ht="21" customHeight="1"/>
    <row r="439" ht="21" customHeight="1"/>
    <row r="440" ht="21" customHeight="1"/>
    <row r="441" ht="21" customHeight="1"/>
    <row r="442" ht="21" customHeight="1"/>
    <row r="443" ht="21" customHeight="1"/>
    <row r="444" ht="21" customHeight="1"/>
    <row r="445" ht="21" customHeight="1"/>
    <row r="446" ht="21" customHeight="1"/>
    <row r="447" ht="21" customHeight="1"/>
    <row r="448" ht="21" customHeight="1"/>
    <row r="449" ht="21" customHeight="1"/>
    <row r="450" ht="21" customHeight="1"/>
    <row r="451" ht="21" customHeight="1"/>
    <row r="452" ht="21" customHeight="1"/>
    <row r="453" ht="21" customHeight="1"/>
    <row r="454" ht="21" customHeight="1"/>
    <row r="455" ht="21" customHeight="1"/>
    <row r="456" ht="21" customHeight="1"/>
    <row r="457" ht="21" customHeight="1"/>
    <row r="458" ht="21" customHeight="1"/>
    <row r="459" ht="21" customHeight="1"/>
    <row r="460" ht="21" customHeight="1"/>
    <row r="461" ht="21" customHeight="1"/>
    <row r="462" ht="21" customHeight="1"/>
    <row r="463" ht="21" customHeight="1"/>
    <row r="464" ht="21" customHeight="1"/>
    <row r="465" ht="21" customHeight="1"/>
    <row r="466" ht="21" customHeight="1"/>
    <row r="467" ht="21" customHeight="1"/>
    <row r="468" ht="21" customHeight="1"/>
    <row r="469" ht="21" customHeight="1"/>
    <row r="470" ht="21" customHeight="1"/>
    <row r="471" ht="21" customHeight="1"/>
    <row r="472" ht="21" customHeight="1"/>
    <row r="473" ht="21" customHeight="1"/>
    <row r="474" ht="21" customHeight="1"/>
    <row r="475" ht="21" customHeight="1"/>
    <row r="476" ht="21" customHeight="1"/>
    <row r="477" ht="21" customHeight="1"/>
    <row r="478" ht="21" customHeight="1"/>
    <row r="479" ht="21" customHeight="1"/>
    <row r="480" ht="21" customHeight="1"/>
    <row r="481" ht="21" customHeight="1"/>
    <row r="482" ht="21" customHeight="1"/>
    <row r="483" ht="21" customHeight="1"/>
    <row r="484" ht="21" customHeight="1"/>
    <row r="485" ht="21" customHeight="1"/>
    <row r="486" ht="21" customHeight="1"/>
    <row r="487" ht="21" customHeight="1"/>
    <row r="488" ht="21" customHeight="1"/>
    <row r="489" ht="21" customHeight="1"/>
    <row r="490" ht="21" customHeight="1"/>
    <row r="491" ht="21" customHeight="1"/>
    <row r="492" ht="21" customHeight="1"/>
    <row r="493" ht="21" customHeight="1"/>
    <row r="494" ht="21" customHeight="1"/>
    <row r="495" ht="21" customHeight="1"/>
    <row r="496" ht="21" customHeight="1"/>
    <row r="497" ht="21" customHeight="1"/>
    <row r="498" ht="21" customHeight="1"/>
    <row r="499" ht="21" customHeight="1"/>
    <row r="500" ht="21" customHeight="1"/>
    <row r="501" ht="21" customHeight="1"/>
    <row r="502" ht="21" customHeight="1"/>
    <row r="503" ht="21" customHeight="1"/>
    <row r="504" ht="21" customHeight="1"/>
    <row r="505" ht="21" customHeight="1"/>
    <row r="506" ht="21" customHeight="1"/>
    <row r="507" ht="21" customHeight="1"/>
    <row r="508" ht="21" customHeight="1"/>
    <row r="509" ht="21" customHeight="1"/>
    <row r="510" ht="21" customHeight="1"/>
    <row r="511" ht="21" customHeight="1"/>
    <row r="512" ht="21" customHeight="1"/>
    <row r="513" ht="21" customHeight="1"/>
    <row r="514" ht="21" customHeight="1"/>
    <row r="515" ht="21" customHeight="1"/>
    <row r="516" ht="21" customHeight="1"/>
    <row r="517" ht="21" customHeight="1"/>
    <row r="518" ht="21" customHeight="1"/>
    <row r="519" ht="21" customHeight="1"/>
    <row r="520" ht="21" customHeight="1"/>
    <row r="521" ht="21" customHeight="1"/>
    <row r="522" ht="21" customHeight="1"/>
    <row r="523" ht="21" customHeight="1"/>
    <row r="524" ht="21" customHeight="1"/>
    <row r="525" ht="21" customHeight="1"/>
    <row r="526" ht="21" customHeight="1"/>
    <row r="527" ht="21" customHeight="1"/>
    <row r="528" ht="21" customHeight="1"/>
    <row r="529" ht="21" customHeight="1"/>
    <row r="530" ht="21" customHeight="1"/>
    <row r="531" ht="21" customHeight="1"/>
    <row r="532" ht="21" customHeight="1"/>
    <row r="533" ht="21" customHeight="1"/>
    <row r="534" ht="21" customHeight="1"/>
    <row r="535" ht="21" customHeight="1"/>
    <row r="536" ht="21" customHeight="1"/>
    <row r="537" ht="21" customHeight="1"/>
    <row r="538" ht="21" customHeight="1"/>
    <row r="539" ht="21" customHeight="1"/>
    <row r="540" ht="21" customHeight="1"/>
    <row r="541" ht="21" customHeight="1"/>
    <row r="542" ht="21" customHeight="1"/>
    <row r="543" ht="21" customHeight="1"/>
    <row r="544" ht="21" customHeight="1"/>
    <row r="545" ht="21" customHeight="1"/>
    <row r="546" ht="21" customHeight="1"/>
    <row r="547" ht="21" customHeight="1"/>
    <row r="548" ht="21" customHeight="1"/>
    <row r="549" ht="21" customHeight="1"/>
    <row r="550" ht="21" customHeight="1"/>
    <row r="551" ht="21" customHeight="1"/>
    <row r="552" ht="21" customHeight="1"/>
    <row r="553" ht="21" customHeight="1"/>
    <row r="554" ht="21" customHeight="1"/>
    <row r="555" ht="21" customHeight="1"/>
    <row r="556" ht="21" customHeight="1"/>
    <row r="557" ht="21" customHeight="1"/>
    <row r="558" ht="21" customHeight="1"/>
    <row r="559" ht="21" customHeight="1"/>
    <row r="560" ht="21" customHeight="1"/>
    <row r="561" ht="21" customHeight="1"/>
    <row r="562" ht="21" customHeight="1"/>
    <row r="563" ht="21" customHeight="1"/>
    <row r="564" ht="21" customHeight="1"/>
    <row r="565" ht="21" customHeight="1"/>
    <row r="566" ht="21" customHeight="1"/>
    <row r="567" ht="21" customHeight="1"/>
    <row r="568" ht="21" customHeight="1"/>
    <row r="569" ht="21" customHeight="1"/>
    <row r="570" ht="21" customHeight="1"/>
    <row r="571" ht="21" customHeight="1"/>
    <row r="572" ht="21" customHeight="1"/>
    <row r="573" ht="21" customHeight="1"/>
    <row r="574" ht="21" customHeight="1"/>
    <row r="575" ht="21" customHeight="1"/>
    <row r="576" ht="21" customHeight="1"/>
    <row r="577" ht="21" customHeight="1"/>
    <row r="578" ht="21" customHeight="1"/>
    <row r="579" ht="21" customHeight="1"/>
    <row r="580" ht="21" customHeight="1"/>
    <row r="581" ht="21" customHeight="1"/>
    <row r="582" ht="21" customHeight="1"/>
    <row r="583" ht="21" customHeight="1"/>
    <row r="584" ht="21" customHeight="1"/>
    <row r="585" ht="21" customHeight="1"/>
    <row r="586" ht="21" customHeight="1"/>
    <row r="587" ht="21" customHeight="1"/>
    <row r="588" ht="21" customHeight="1"/>
    <row r="589" ht="21" customHeight="1"/>
    <row r="590" ht="21" customHeight="1"/>
    <row r="591" ht="21" customHeight="1"/>
    <row r="592" ht="21" customHeight="1"/>
    <row r="593" ht="21" customHeight="1"/>
    <row r="594" ht="21" customHeight="1"/>
    <row r="595" ht="21" customHeight="1"/>
    <row r="596" ht="21" customHeight="1"/>
    <row r="597" ht="21" customHeight="1"/>
    <row r="598" ht="21" customHeight="1"/>
    <row r="599" ht="21" customHeight="1"/>
    <row r="600" ht="21" customHeight="1"/>
  </sheetData>
  <sortState xmlns:xlrd2="http://schemas.microsoft.com/office/spreadsheetml/2017/richdata2" ref="A2:G15">
    <sortCondition ref="A2"/>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P600"/>
  <sheetViews>
    <sheetView showGridLines="0" workbookViewId="0">
      <pane ySplit="1" topLeftCell="A2" activePane="bottomLeft" state="frozen"/>
      <selection pane="bottomLeft"/>
    </sheetView>
  </sheetViews>
  <sheetFormatPr defaultRowHeight="14.25"/>
  <cols>
    <col min="1" max="1" width="100" customWidth="1"/>
    <col min="2" max="7" width="20" customWidth="1"/>
  </cols>
  <sheetData>
    <row r="1" spans="1:16" ht="21" customHeight="1">
      <c r="A1" s="6" t="s">
        <v>532</v>
      </c>
      <c r="B1" s="6" t="s">
        <v>508</v>
      </c>
      <c r="C1" s="6" t="s">
        <v>533</v>
      </c>
      <c r="D1" s="6" t="s">
        <v>534</v>
      </c>
      <c r="E1" s="2"/>
      <c r="F1" s="2"/>
      <c r="G1" s="2"/>
      <c r="H1" s="2"/>
      <c r="I1" s="2"/>
      <c r="J1" s="2"/>
      <c r="K1" s="2"/>
      <c r="L1" s="2"/>
      <c r="M1" s="2"/>
      <c r="N1" s="2"/>
      <c r="O1" s="2"/>
      <c r="P1" s="2"/>
    </row>
    <row r="2" spans="1:16" ht="21" customHeight="1">
      <c r="A2" s="19" t="s">
        <v>627</v>
      </c>
      <c r="B2" s="14">
        <v>46307</v>
      </c>
      <c r="C2" s="2" t="s">
        <v>628</v>
      </c>
      <c r="D2" s="2" t="s">
        <v>629</v>
      </c>
      <c r="E2" s="2"/>
      <c r="F2" s="2"/>
      <c r="G2" s="2"/>
      <c r="H2" s="2"/>
      <c r="I2" s="2"/>
      <c r="J2" s="2"/>
      <c r="K2" s="2"/>
      <c r="L2" s="2"/>
      <c r="M2" s="2"/>
      <c r="N2" s="2"/>
      <c r="O2" s="2"/>
      <c r="P2" s="2"/>
    </row>
    <row r="3" spans="1:16" ht="21" customHeight="1">
      <c r="A3" s="2" t="s">
        <v>630</v>
      </c>
      <c r="B3" s="14">
        <v>46307</v>
      </c>
      <c r="C3" s="2" t="s">
        <v>631</v>
      </c>
      <c r="D3" s="2" t="s">
        <v>632</v>
      </c>
      <c r="E3" s="2"/>
      <c r="F3" s="2"/>
      <c r="G3" s="2"/>
      <c r="H3" s="2"/>
      <c r="I3" s="2"/>
      <c r="J3" s="2"/>
      <c r="K3" s="2"/>
      <c r="L3" s="2"/>
      <c r="M3" s="2"/>
      <c r="N3" s="2"/>
      <c r="O3" s="2"/>
      <c r="P3" s="2"/>
    </row>
    <row r="4" spans="1:16" ht="21" customHeight="1">
      <c r="A4" s="2" t="s">
        <v>633</v>
      </c>
      <c r="B4" s="14">
        <v>46307</v>
      </c>
      <c r="C4" s="2" t="s">
        <v>634</v>
      </c>
      <c r="D4" s="2" t="s">
        <v>635</v>
      </c>
      <c r="E4" s="2"/>
      <c r="F4" s="2"/>
      <c r="G4" s="2"/>
      <c r="H4" s="2"/>
      <c r="I4" s="2"/>
      <c r="J4" s="2"/>
      <c r="K4" s="2"/>
      <c r="L4" s="2"/>
      <c r="M4" s="2"/>
      <c r="N4" s="2"/>
      <c r="O4" s="2"/>
      <c r="P4" s="2"/>
    </row>
    <row r="5" spans="1:16" ht="21" customHeight="1">
      <c r="A5" s="2" t="s">
        <v>636</v>
      </c>
      <c r="B5" s="14">
        <v>46307</v>
      </c>
      <c r="C5" s="2" t="s">
        <v>637</v>
      </c>
      <c r="D5" s="2" t="s">
        <v>638</v>
      </c>
      <c r="E5" s="2"/>
      <c r="F5" s="2"/>
      <c r="G5" s="2"/>
      <c r="H5" s="2"/>
      <c r="I5" s="2"/>
      <c r="J5" s="2"/>
      <c r="K5" s="2"/>
      <c r="L5" s="2"/>
      <c r="M5" s="2"/>
      <c r="N5" s="2"/>
      <c r="O5" s="2"/>
      <c r="P5" s="2"/>
    </row>
    <row r="6" spans="1:16" ht="21" customHeight="1">
      <c r="A6" s="2" t="s">
        <v>639</v>
      </c>
      <c r="B6" s="14">
        <v>46306</v>
      </c>
      <c r="C6" s="2" t="s">
        <v>640</v>
      </c>
      <c r="D6" s="2" t="s">
        <v>641</v>
      </c>
      <c r="E6" s="2"/>
      <c r="F6" s="2"/>
      <c r="G6" s="2"/>
      <c r="H6" s="2"/>
      <c r="I6" s="2"/>
      <c r="J6" s="2"/>
      <c r="K6" s="2"/>
      <c r="L6" s="2"/>
      <c r="M6" s="2"/>
      <c r="N6" s="2"/>
      <c r="O6" s="2"/>
      <c r="P6" s="2"/>
    </row>
    <row r="7" spans="1:16" ht="21" customHeight="1">
      <c r="A7" s="2"/>
      <c r="B7" s="2"/>
      <c r="C7" s="2"/>
      <c r="D7" s="2"/>
      <c r="E7" s="2"/>
      <c r="F7" s="2"/>
      <c r="G7" s="2"/>
      <c r="H7" s="2"/>
      <c r="I7" s="2"/>
      <c r="J7" s="2"/>
      <c r="K7" s="2"/>
      <c r="L7" s="2"/>
      <c r="M7" s="2"/>
      <c r="N7" s="2"/>
      <c r="O7" s="2"/>
      <c r="P7" s="2"/>
    </row>
    <row r="8" spans="1:16" ht="21" customHeight="1">
      <c r="A8" s="2"/>
      <c r="B8" s="2"/>
      <c r="C8" s="2"/>
      <c r="D8" s="2"/>
      <c r="E8" s="2"/>
      <c r="F8" s="2"/>
      <c r="G8" s="2"/>
      <c r="H8" s="2"/>
      <c r="I8" s="2"/>
      <c r="J8" s="2"/>
      <c r="K8" s="2"/>
      <c r="L8" s="2"/>
      <c r="M8" s="2"/>
      <c r="N8" s="2"/>
      <c r="O8" s="2"/>
      <c r="P8" s="2"/>
    </row>
    <row r="9" spans="1:16" ht="21" customHeight="1">
      <c r="A9" s="2"/>
      <c r="B9" s="2"/>
      <c r="C9" s="2"/>
      <c r="D9" s="2"/>
      <c r="E9" s="2"/>
      <c r="F9" s="2"/>
      <c r="G9" s="2"/>
      <c r="H9" s="2"/>
      <c r="I9" s="2"/>
      <c r="J9" s="2"/>
      <c r="K9" s="2"/>
      <c r="L9" s="2"/>
      <c r="M9" s="2"/>
      <c r="N9" s="2"/>
      <c r="O9" s="2"/>
      <c r="P9" s="2"/>
    </row>
    <row r="10" spans="1:16" ht="21" customHeight="1">
      <c r="A10" s="2"/>
      <c r="B10" s="2"/>
      <c r="C10" s="2"/>
      <c r="D10" s="2"/>
      <c r="E10" s="2"/>
      <c r="F10" s="2"/>
      <c r="G10" s="2"/>
      <c r="H10" s="2"/>
      <c r="I10" s="2"/>
      <c r="J10" s="2"/>
      <c r="K10" s="2"/>
      <c r="L10" s="2"/>
      <c r="M10" s="2"/>
      <c r="N10" s="2"/>
      <c r="O10" s="2"/>
      <c r="P10" s="2"/>
    </row>
    <row r="11" spans="1:16" ht="21" customHeight="1">
      <c r="A11" s="2"/>
      <c r="B11" s="2"/>
      <c r="C11" s="2"/>
      <c r="D11" s="2"/>
      <c r="E11" s="2"/>
      <c r="F11" s="2"/>
      <c r="G11" s="2"/>
      <c r="H11" s="2"/>
      <c r="I11" s="2"/>
      <c r="J11" s="2"/>
      <c r="K11" s="2"/>
      <c r="L11" s="2"/>
      <c r="M11" s="2"/>
      <c r="N11" s="2"/>
      <c r="O11" s="2"/>
      <c r="P11" s="2"/>
    </row>
    <row r="12" spans="1:16" ht="21" customHeight="1">
      <c r="A12" s="2"/>
      <c r="B12" s="2"/>
      <c r="C12" s="2"/>
      <c r="D12" s="2"/>
      <c r="E12" s="2"/>
      <c r="F12" s="2"/>
      <c r="G12" s="2"/>
      <c r="H12" s="2"/>
      <c r="I12" s="2"/>
      <c r="J12" s="2"/>
      <c r="K12" s="2"/>
      <c r="L12" s="2"/>
      <c r="M12" s="2"/>
      <c r="N12" s="2"/>
      <c r="O12" s="2"/>
      <c r="P12" s="2"/>
    </row>
    <row r="13" spans="1:16" ht="21" customHeight="1">
      <c r="A13" s="2"/>
      <c r="B13" s="2"/>
      <c r="C13" s="2"/>
      <c r="D13" s="2"/>
      <c r="E13" s="2"/>
      <c r="F13" s="2"/>
      <c r="G13" s="2"/>
      <c r="H13" s="2"/>
      <c r="I13" s="2"/>
      <c r="J13" s="2"/>
      <c r="K13" s="2"/>
      <c r="L13" s="2"/>
      <c r="M13" s="2"/>
      <c r="N13" s="2"/>
      <c r="O13" s="2"/>
      <c r="P13" s="2"/>
    </row>
    <row r="14" spans="1:16" ht="21" customHeight="1">
      <c r="A14" s="2"/>
      <c r="B14" s="2"/>
      <c r="C14" s="2"/>
      <c r="D14" s="2"/>
      <c r="E14" s="2"/>
      <c r="F14" s="2"/>
      <c r="G14" s="2"/>
      <c r="H14" s="2"/>
      <c r="I14" s="2"/>
      <c r="J14" s="2"/>
      <c r="K14" s="2"/>
      <c r="L14" s="2"/>
      <c r="M14" s="2"/>
      <c r="N14" s="2"/>
      <c r="O14" s="2"/>
      <c r="P14" s="2"/>
    </row>
    <row r="15" spans="1:16" ht="21" customHeight="1">
      <c r="A15" s="2"/>
      <c r="B15" s="2"/>
      <c r="C15" s="2"/>
      <c r="D15" s="2"/>
      <c r="E15" s="2"/>
      <c r="F15" s="2"/>
      <c r="G15" s="2"/>
      <c r="H15" s="2"/>
      <c r="I15" s="2"/>
      <c r="J15" s="2"/>
      <c r="K15" s="2"/>
      <c r="L15" s="2"/>
      <c r="M15" s="2"/>
      <c r="N15" s="2"/>
      <c r="O15" s="2"/>
      <c r="P15" s="2"/>
    </row>
    <row r="16" spans="1:16" ht="21" customHeight="1">
      <c r="A16" s="2"/>
      <c r="B16" s="2"/>
      <c r="C16" s="2"/>
      <c r="D16" s="2"/>
      <c r="E16" s="2"/>
      <c r="F16" s="2"/>
      <c r="G16" s="2"/>
      <c r="H16" s="2"/>
      <c r="I16" s="2"/>
      <c r="J16" s="2"/>
      <c r="K16" s="2"/>
      <c r="L16" s="2"/>
      <c r="M16" s="2"/>
      <c r="N16" s="2"/>
      <c r="O16" s="2"/>
      <c r="P16" s="2"/>
    </row>
    <row r="17" spans="1:16" ht="21" customHeight="1">
      <c r="A17" s="2"/>
      <c r="B17" s="2"/>
      <c r="C17" s="2"/>
      <c r="D17" s="2"/>
      <c r="E17" s="2"/>
      <c r="F17" s="2"/>
      <c r="G17" s="2"/>
      <c r="H17" s="2"/>
      <c r="I17" s="2"/>
      <c r="J17" s="2"/>
      <c r="K17" s="2"/>
      <c r="L17" s="2"/>
      <c r="M17" s="2"/>
      <c r="N17" s="2"/>
      <c r="O17" s="2"/>
      <c r="P17" s="2"/>
    </row>
    <row r="18" spans="1:16" ht="21" customHeight="1">
      <c r="A18" s="2"/>
      <c r="B18" s="2"/>
      <c r="C18" s="2"/>
      <c r="D18" s="2"/>
      <c r="E18" s="2"/>
      <c r="F18" s="2"/>
      <c r="G18" s="2"/>
      <c r="H18" s="2"/>
      <c r="I18" s="2"/>
      <c r="J18" s="2"/>
      <c r="K18" s="2"/>
      <c r="L18" s="2"/>
      <c r="M18" s="2"/>
      <c r="N18" s="2"/>
      <c r="O18" s="2"/>
      <c r="P18" s="2"/>
    </row>
    <row r="19" spans="1:16" ht="21" customHeight="1">
      <c r="A19" s="2"/>
      <c r="B19" s="2"/>
      <c r="C19" s="2"/>
      <c r="D19" s="2"/>
      <c r="E19" s="2"/>
      <c r="F19" s="2"/>
      <c r="G19" s="2"/>
      <c r="H19" s="2"/>
      <c r="I19" s="2"/>
      <c r="J19" s="2"/>
      <c r="K19" s="2"/>
      <c r="L19" s="2"/>
      <c r="M19" s="2"/>
      <c r="N19" s="2"/>
      <c r="O19" s="2"/>
      <c r="P19" s="2"/>
    </row>
    <row r="20" spans="1:16" ht="21" customHeight="1">
      <c r="A20" s="2"/>
      <c r="B20" s="2"/>
      <c r="C20" s="2"/>
      <c r="D20" s="2"/>
      <c r="E20" s="2"/>
      <c r="F20" s="2"/>
      <c r="G20" s="2"/>
      <c r="H20" s="2"/>
      <c r="I20" s="2"/>
      <c r="J20" s="2"/>
      <c r="K20" s="2"/>
      <c r="L20" s="2"/>
      <c r="M20" s="2"/>
      <c r="N20" s="2"/>
      <c r="O20" s="2"/>
      <c r="P20" s="2"/>
    </row>
    <row r="21" spans="1:16" ht="21" customHeight="1">
      <c r="A21" s="2"/>
      <c r="B21" s="2"/>
      <c r="C21" s="2"/>
      <c r="D21" s="2"/>
      <c r="E21" s="2"/>
      <c r="F21" s="2"/>
      <c r="G21" s="2"/>
      <c r="H21" s="2"/>
      <c r="I21" s="2"/>
      <c r="J21" s="2"/>
      <c r="K21" s="2"/>
      <c r="L21" s="2"/>
      <c r="M21" s="2"/>
      <c r="N21" s="2"/>
      <c r="O21" s="2"/>
      <c r="P21" s="2"/>
    </row>
    <row r="22" spans="1:16" ht="21" customHeight="1">
      <c r="A22" s="2"/>
      <c r="B22" s="2"/>
      <c r="C22" s="2"/>
      <c r="D22" s="2"/>
      <c r="E22" s="2"/>
      <c r="F22" s="2"/>
      <c r="G22" s="2"/>
      <c r="H22" s="2"/>
      <c r="I22" s="2"/>
      <c r="J22" s="2"/>
      <c r="K22" s="2"/>
      <c r="L22" s="2"/>
      <c r="M22" s="2"/>
      <c r="N22" s="2"/>
      <c r="O22" s="2"/>
      <c r="P22" s="2"/>
    </row>
    <row r="23" spans="1:16" ht="21" customHeight="1">
      <c r="A23" s="2"/>
      <c r="B23" s="2"/>
      <c r="C23" s="2"/>
      <c r="D23" s="2"/>
      <c r="E23" s="2"/>
      <c r="F23" s="2"/>
      <c r="G23" s="2"/>
      <c r="H23" s="2"/>
      <c r="I23" s="2"/>
      <c r="J23" s="2"/>
      <c r="K23" s="2"/>
      <c r="L23" s="2"/>
      <c r="M23" s="2"/>
      <c r="N23" s="2"/>
      <c r="O23" s="2"/>
      <c r="P23" s="2"/>
    </row>
    <row r="24" spans="1:16" ht="21" customHeight="1">
      <c r="A24" s="2"/>
      <c r="B24" s="2"/>
      <c r="C24" s="2"/>
      <c r="D24" s="2"/>
      <c r="E24" s="2"/>
      <c r="F24" s="2"/>
      <c r="G24" s="2"/>
      <c r="H24" s="2"/>
      <c r="I24" s="2"/>
      <c r="J24" s="2"/>
      <c r="K24" s="2"/>
      <c r="L24" s="2"/>
      <c r="M24" s="2"/>
      <c r="N24" s="2"/>
      <c r="O24" s="2"/>
      <c r="P24" s="2"/>
    </row>
    <row r="25" spans="1:16" ht="21" customHeight="1">
      <c r="A25" s="2"/>
      <c r="B25" s="2"/>
      <c r="C25" s="2"/>
      <c r="D25" s="2"/>
      <c r="E25" s="2"/>
      <c r="F25" s="2"/>
      <c r="G25" s="2"/>
      <c r="H25" s="2"/>
      <c r="I25" s="2"/>
      <c r="J25" s="2"/>
      <c r="K25" s="2"/>
      <c r="L25" s="2"/>
      <c r="M25" s="2"/>
      <c r="N25" s="2"/>
      <c r="O25" s="2"/>
      <c r="P25" s="2"/>
    </row>
    <row r="26" spans="1:16" ht="21" customHeight="1">
      <c r="A26" s="2"/>
      <c r="B26" s="2"/>
      <c r="C26" s="2"/>
      <c r="D26" s="2"/>
      <c r="E26" s="2"/>
      <c r="F26" s="2"/>
      <c r="G26" s="2"/>
      <c r="H26" s="2"/>
      <c r="I26" s="2"/>
      <c r="J26" s="2"/>
      <c r="K26" s="2"/>
      <c r="L26" s="2"/>
      <c r="M26" s="2"/>
      <c r="N26" s="2"/>
      <c r="O26" s="2"/>
      <c r="P26" s="2"/>
    </row>
    <row r="27" spans="1:16" ht="21" customHeight="1">
      <c r="A27" s="2"/>
      <c r="B27" s="2"/>
      <c r="C27" s="2"/>
      <c r="D27" s="2"/>
      <c r="E27" s="2"/>
      <c r="F27" s="2"/>
      <c r="G27" s="2"/>
      <c r="H27" s="2"/>
      <c r="I27" s="2"/>
      <c r="J27" s="2"/>
      <c r="K27" s="2"/>
      <c r="L27" s="2"/>
      <c r="M27" s="2"/>
      <c r="N27" s="2"/>
      <c r="O27" s="2"/>
      <c r="P27" s="2"/>
    </row>
    <row r="28" spans="1:16" ht="21" customHeight="1">
      <c r="A28" s="2"/>
      <c r="B28" s="2"/>
      <c r="C28" s="2"/>
      <c r="D28" s="2"/>
      <c r="E28" s="2"/>
      <c r="F28" s="2"/>
      <c r="G28" s="2"/>
      <c r="H28" s="2"/>
      <c r="I28" s="2"/>
      <c r="J28" s="2"/>
      <c r="K28" s="2"/>
      <c r="L28" s="2"/>
      <c r="M28" s="2"/>
      <c r="N28" s="2"/>
      <c r="O28" s="2"/>
      <c r="P28" s="2"/>
    </row>
    <row r="29" spans="1:16" ht="21" customHeight="1">
      <c r="A29" s="2"/>
      <c r="B29" s="2"/>
      <c r="C29" s="2"/>
      <c r="D29" s="2"/>
      <c r="E29" s="2"/>
      <c r="F29" s="2"/>
      <c r="G29" s="2"/>
      <c r="H29" s="2"/>
      <c r="I29" s="2"/>
      <c r="J29" s="2"/>
      <c r="K29" s="2"/>
      <c r="L29" s="2"/>
      <c r="M29" s="2"/>
      <c r="N29" s="2"/>
      <c r="O29" s="2"/>
      <c r="P29" s="2"/>
    </row>
    <row r="30" spans="1:16" ht="21" customHeight="1">
      <c r="A30" s="2"/>
      <c r="B30" s="2"/>
      <c r="C30" s="2"/>
      <c r="D30" s="2"/>
      <c r="E30" s="2"/>
      <c r="F30" s="2"/>
      <c r="G30" s="2"/>
      <c r="H30" s="2"/>
      <c r="I30" s="2"/>
      <c r="J30" s="2"/>
      <c r="K30" s="2"/>
      <c r="L30" s="2"/>
      <c r="M30" s="2"/>
      <c r="N30" s="2"/>
      <c r="O30" s="2"/>
      <c r="P30" s="2"/>
    </row>
    <row r="31" spans="1:16" ht="21" customHeight="1">
      <c r="A31" s="2"/>
      <c r="B31" s="2"/>
      <c r="C31" s="2"/>
      <c r="D31" s="2"/>
      <c r="E31" s="2"/>
      <c r="F31" s="2"/>
      <c r="G31" s="2"/>
      <c r="H31" s="2"/>
      <c r="I31" s="2"/>
      <c r="J31" s="2"/>
      <c r="K31" s="2"/>
      <c r="L31" s="2"/>
      <c r="M31" s="2"/>
      <c r="N31" s="2"/>
      <c r="O31" s="2"/>
      <c r="P31" s="2"/>
    </row>
    <row r="32" spans="1:16" ht="21" customHeight="1">
      <c r="A32" s="2"/>
      <c r="B32" s="2"/>
      <c r="C32" s="2"/>
      <c r="D32" s="2"/>
      <c r="E32" s="2"/>
      <c r="F32" s="2"/>
      <c r="G32" s="2"/>
      <c r="H32" s="2"/>
      <c r="I32" s="2"/>
      <c r="J32" s="2"/>
      <c r="K32" s="2"/>
      <c r="L32" s="2"/>
      <c r="M32" s="2"/>
      <c r="N32" s="2"/>
      <c r="O32" s="2"/>
      <c r="P32" s="2"/>
    </row>
    <row r="33" spans="1:16" ht="21" customHeight="1">
      <c r="A33" s="2"/>
      <c r="B33" s="2"/>
      <c r="C33" s="2"/>
      <c r="D33" s="2"/>
      <c r="E33" s="2"/>
      <c r="F33" s="2"/>
      <c r="G33" s="2"/>
      <c r="H33" s="2"/>
      <c r="I33" s="2"/>
      <c r="J33" s="2"/>
      <c r="K33" s="2"/>
      <c r="L33" s="2"/>
      <c r="M33" s="2"/>
      <c r="N33" s="2"/>
      <c r="O33" s="2"/>
      <c r="P33" s="2"/>
    </row>
    <row r="34" spans="1:16" ht="21" customHeight="1">
      <c r="A34" s="2"/>
      <c r="B34" s="2"/>
      <c r="C34" s="2"/>
      <c r="D34" s="2"/>
      <c r="E34" s="2"/>
      <c r="F34" s="2"/>
      <c r="G34" s="2"/>
      <c r="H34" s="2"/>
      <c r="I34" s="2"/>
      <c r="J34" s="2"/>
      <c r="K34" s="2"/>
      <c r="L34" s="2"/>
      <c r="M34" s="2"/>
      <c r="N34" s="2"/>
      <c r="O34" s="2"/>
      <c r="P34" s="2"/>
    </row>
    <row r="35" spans="1:16" ht="21" customHeight="1">
      <c r="A35" s="2"/>
      <c r="B35" s="2"/>
      <c r="C35" s="2"/>
      <c r="D35" s="2"/>
      <c r="E35" s="2"/>
      <c r="F35" s="2"/>
      <c r="G35" s="2"/>
      <c r="H35" s="2"/>
      <c r="I35" s="2"/>
      <c r="J35" s="2"/>
      <c r="K35" s="2"/>
      <c r="L35" s="2"/>
      <c r="M35" s="2"/>
      <c r="N35" s="2"/>
      <c r="O35" s="2"/>
      <c r="P35" s="2"/>
    </row>
    <row r="36" spans="1:16" ht="21" customHeight="1">
      <c r="A36" s="2"/>
      <c r="B36" s="2"/>
      <c r="C36" s="2"/>
      <c r="D36" s="2"/>
      <c r="E36" s="2"/>
      <c r="F36" s="2"/>
      <c r="G36" s="2"/>
      <c r="H36" s="2"/>
      <c r="I36" s="2"/>
      <c r="J36" s="2"/>
      <c r="K36" s="2"/>
      <c r="L36" s="2"/>
      <c r="M36" s="2"/>
      <c r="N36" s="2"/>
      <c r="O36" s="2"/>
      <c r="P36" s="2"/>
    </row>
    <row r="37" spans="1:16" ht="21" customHeight="1">
      <c r="A37" s="2"/>
      <c r="B37" s="2"/>
      <c r="C37" s="2"/>
      <c r="D37" s="2"/>
      <c r="E37" s="2"/>
      <c r="F37" s="2"/>
      <c r="G37" s="2"/>
      <c r="H37" s="2"/>
      <c r="I37" s="2"/>
      <c r="J37" s="2"/>
      <c r="K37" s="2"/>
      <c r="L37" s="2"/>
      <c r="M37" s="2"/>
      <c r="N37" s="2"/>
      <c r="O37" s="2"/>
      <c r="P37" s="2"/>
    </row>
    <row r="38" spans="1:16" ht="21" customHeight="1">
      <c r="A38" s="2"/>
      <c r="B38" s="2"/>
      <c r="C38" s="2"/>
      <c r="D38" s="2"/>
      <c r="E38" s="2"/>
      <c r="F38" s="2"/>
      <c r="G38" s="2"/>
      <c r="H38" s="2"/>
      <c r="I38" s="2"/>
      <c r="J38" s="2"/>
      <c r="K38" s="2"/>
      <c r="L38" s="2"/>
      <c r="M38" s="2"/>
      <c r="N38" s="2"/>
      <c r="O38" s="2"/>
      <c r="P38" s="2"/>
    </row>
    <row r="39" spans="1:16" ht="21" customHeight="1">
      <c r="A39" s="2"/>
      <c r="B39" s="2"/>
      <c r="C39" s="2"/>
      <c r="D39" s="2"/>
      <c r="E39" s="2"/>
      <c r="F39" s="2"/>
      <c r="G39" s="2"/>
      <c r="H39" s="2"/>
      <c r="I39" s="2"/>
      <c r="J39" s="2"/>
      <c r="K39" s="2"/>
      <c r="L39" s="2"/>
      <c r="M39" s="2"/>
      <c r="N39" s="2"/>
      <c r="O39" s="2"/>
      <c r="P39" s="2"/>
    </row>
    <row r="40" spans="1:16" ht="21" customHeight="1">
      <c r="A40" s="2"/>
      <c r="B40" s="2"/>
      <c r="C40" s="2"/>
      <c r="D40" s="2"/>
      <c r="E40" s="2"/>
      <c r="F40" s="2"/>
      <c r="G40" s="2"/>
      <c r="H40" s="2"/>
      <c r="I40" s="2"/>
      <c r="J40" s="2"/>
      <c r="K40" s="2"/>
      <c r="L40" s="2"/>
      <c r="M40" s="2"/>
      <c r="N40" s="2"/>
      <c r="O40" s="2"/>
      <c r="P40" s="2"/>
    </row>
    <row r="41" spans="1:16" ht="21" customHeight="1">
      <c r="A41" s="2"/>
      <c r="B41" s="2"/>
      <c r="C41" s="2"/>
      <c r="D41" s="2"/>
      <c r="E41" s="2"/>
      <c r="F41" s="2"/>
      <c r="G41" s="2"/>
      <c r="H41" s="2"/>
      <c r="I41" s="2"/>
      <c r="J41" s="2"/>
      <c r="K41" s="2"/>
      <c r="L41" s="2"/>
      <c r="M41" s="2"/>
      <c r="N41" s="2"/>
      <c r="O41" s="2"/>
      <c r="P41" s="2"/>
    </row>
    <row r="42" spans="1:16" ht="21" customHeight="1">
      <c r="A42" s="2"/>
      <c r="B42" s="2"/>
      <c r="C42" s="2"/>
      <c r="D42" s="2"/>
      <c r="E42" s="2"/>
      <c r="F42" s="2"/>
      <c r="G42" s="2"/>
      <c r="H42" s="2"/>
      <c r="I42" s="2"/>
      <c r="J42" s="2"/>
      <c r="K42" s="2"/>
      <c r="L42" s="2"/>
      <c r="M42" s="2"/>
      <c r="N42" s="2"/>
      <c r="O42" s="2"/>
      <c r="P42" s="2"/>
    </row>
    <row r="43" spans="1:16" ht="21" customHeight="1">
      <c r="A43" s="2"/>
      <c r="B43" s="2"/>
      <c r="C43" s="2"/>
      <c r="D43" s="2"/>
      <c r="E43" s="2"/>
      <c r="F43" s="2"/>
      <c r="G43" s="2"/>
      <c r="H43" s="2"/>
      <c r="I43" s="2"/>
      <c r="J43" s="2"/>
      <c r="K43" s="2"/>
      <c r="L43" s="2"/>
      <c r="M43" s="2"/>
      <c r="N43" s="2"/>
      <c r="O43" s="2"/>
      <c r="P43" s="2"/>
    </row>
    <row r="44" spans="1:16" ht="21" customHeight="1">
      <c r="A44" s="2"/>
      <c r="B44" s="2"/>
      <c r="C44" s="2"/>
      <c r="D44" s="2"/>
      <c r="E44" s="2"/>
      <c r="F44" s="2"/>
      <c r="G44" s="2"/>
      <c r="H44" s="2"/>
      <c r="I44" s="2"/>
      <c r="J44" s="2"/>
      <c r="K44" s="2"/>
      <c r="L44" s="2"/>
      <c r="M44" s="2"/>
      <c r="N44" s="2"/>
      <c r="O44" s="2"/>
      <c r="P44" s="2"/>
    </row>
    <row r="45" spans="1:16" ht="21" customHeight="1">
      <c r="A45" s="2"/>
      <c r="B45" s="2"/>
      <c r="C45" s="2"/>
      <c r="D45" s="2"/>
      <c r="E45" s="2"/>
      <c r="F45" s="2"/>
      <c r="G45" s="2"/>
      <c r="H45" s="2"/>
      <c r="I45" s="2"/>
      <c r="J45" s="2"/>
      <c r="K45" s="2"/>
      <c r="L45" s="2"/>
      <c r="M45" s="2"/>
      <c r="N45" s="2"/>
      <c r="O45" s="2"/>
      <c r="P45" s="2"/>
    </row>
    <row r="46" spans="1:16" ht="21" customHeight="1">
      <c r="A46" s="2"/>
      <c r="B46" s="2"/>
      <c r="C46" s="2"/>
      <c r="D46" s="2"/>
      <c r="E46" s="2"/>
      <c r="F46" s="2"/>
      <c r="G46" s="2"/>
      <c r="H46" s="2"/>
      <c r="I46" s="2"/>
      <c r="J46" s="2"/>
      <c r="K46" s="2"/>
      <c r="L46" s="2"/>
      <c r="M46" s="2"/>
      <c r="N46" s="2"/>
      <c r="O46" s="2"/>
      <c r="P46" s="2"/>
    </row>
    <row r="47" spans="1:16" ht="21" customHeight="1">
      <c r="A47" s="2"/>
      <c r="B47" s="2"/>
      <c r="C47" s="2"/>
      <c r="D47" s="2"/>
      <c r="E47" s="2"/>
      <c r="F47" s="2"/>
      <c r="G47" s="2"/>
      <c r="H47" s="2"/>
      <c r="I47" s="2"/>
      <c r="J47" s="2"/>
      <c r="K47" s="2"/>
      <c r="L47" s="2"/>
      <c r="M47" s="2"/>
      <c r="N47" s="2"/>
      <c r="O47" s="2"/>
      <c r="P47" s="2"/>
    </row>
    <row r="48" spans="1:16" ht="21" customHeight="1">
      <c r="A48" s="2"/>
      <c r="B48" s="2"/>
      <c r="C48" s="2"/>
      <c r="D48" s="2"/>
      <c r="E48" s="2"/>
      <c r="F48" s="2"/>
      <c r="G48" s="2"/>
      <c r="H48" s="2"/>
      <c r="I48" s="2"/>
      <c r="J48" s="2"/>
      <c r="K48" s="2"/>
      <c r="L48" s="2"/>
      <c r="M48" s="2"/>
      <c r="N48" s="2"/>
      <c r="O48" s="2"/>
      <c r="P48" s="2"/>
    </row>
    <row r="49" spans="1:16" ht="21" customHeight="1">
      <c r="A49" s="2"/>
      <c r="B49" s="2"/>
      <c r="C49" s="2"/>
      <c r="D49" s="2"/>
      <c r="E49" s="2"/>
      <c r="F49" s="2"/>
      <c r="G49" s="2"/>
      <c r="H49" s="2"/>
      <c r="I49" s="2"/>
      <c r="J49" s="2"/>
      <c r="K49" s="2"/>
      <c r="L49" s="2"/>
      <c r="M49" s="2"/>
      <c r="N49" s="2"/>
      <c r="O49" s="2"/>
      <c r="P49" s="2"/>
    </row>
    <row r="50" spans="1:16" ht="21" customHeight="1">
      <c r="A50" s="2"/>
      <c r="B50" s="2"/>
      <c r="C50" s="2"/>
      <c r="D50" s="2"/>
      <c r="E50" s="2"/>
      <c r="F50" s="2"/>
      <c r="G50" s="2"/>
      <c r="H50" s="2"/>
      <c r="I50" s="2"/>
      <c r="J50" s="2"/>
      <c r="K50" s="2"/>
      <c r="L50" s="2"/>
      <c r="M50" s="2"/>
      <c r="N50" s="2"/>
      <c r="O50" s="2"/>
      <c r="P50" s="2"/>
    </row>
    <row r="51" spans="1:16" ht="21" customHeight="1">
      <c r="A51" s="2"/>
      <c r="B51" s="2"/>
      <c r="C51" s="2"/>
      <c r="D51" s="2"/>
      <c r="E51" s="2"/>
      <c r="F51" s="2"/>
      <c r="G51" s="2"/>
      <c r="H51" s="2"/>
      <c r="I51" s="2"/>
      <c r="J51" s="2"/>
      <c r="K51" s="2"/>
      <c r="L51" s="2"/>
      <c r="M51" s="2"/>
      <c r="N51" s="2"/>
      <c r="O51" s="2"/>
      <c r="P51" s="2"/>
    </row>
    <row r="52" spans="1:16" ht="21" customHeight="1">
      <c r="A52" s="2"/>
      <c r="B52" s="2"/>
      <c r="C52" s="2"/>
      <c r="D52" s="2"/>
      <c r="E52" s="2"/>
      <c r="F52" s="2"/>
      <c r="G52" s="2"/>
      <c r="H52" s="2"/>
      <c r="I52" s="2"/>
      <c r="J52" s="2"/>
      <c r="K52" s="2"/>
      <c r="L52" s="2"/>
      <c r="M52" s="2"/>
      <c r="N52" s="2"/>
      <c r="O52" s="2"/>
      <c r="P52" s="2"/>
    </row>
    <row r="53" spans="1:16" ht="21" customHeight="1">
      <c r="A53" s="2"/>
      <c r="B53" s="2"/>
      <c r="C53" s="2"/>
      <c r="D53" s="2"/>
      <c r="E53" s="2"/>
      <c r="F53" s="2"/>
      <c r="G53" s="2"/>
      <c r="H53" s="2"/>
      <c r="I53" s="2"/>
      <c r="J53" s="2"/>
      <c r="K53" s="2"/>
      <c r="L53" s="2"/>
      <c r="M53" s="2"/>
      <c r="N53" s="2"/>
      <c r="O53" s="2"/>
      <c r="P53" s="2"/>
    </row>
    <row r="54" spans="1:16" ht="21" customHeight="1">
      <c r="A54" s="2"/>
      <c r="B54" s="2"/>
      <c r="C54" s="2"/>
      <c r="D54" s="2"/>
      <c r="E54" s="2"/>
      <c r="F54" s="2"/>
      <c r="G54" s="2"/>
      <c r="H54" s="2"/>
      <c r="I54" s="2"/>
      <c r="J54" s="2"/>
      <c r="K54" s="2"/>
      <c r="L54" s="2"/>
      <c r="M54" s="2"/>
      <c r="N54" s="2"/>
      <c r="O54" s="2"/>
      <c r="P54" s="2"/>
    </row>
    <row r="55" spans="1:16" ht="21" customHeight="1">
      <c r="A55" s="2"/>
      <c r="B55" s="2"/>
      <c r="C55" s="2"/>
      <c r="D55" s="2"/>
      <c r="E55" s="2"/>
      <c r="F55" s="2"/>
      <c r="G55" s="2"/>
      <c r="H55" s="2"/>
      <c r="I55" s="2"/>
      <c r="J55" s="2"/>
      <c r="K55" s="2"/>
      <c r="L55" s="2"/>
      <c r="M55" s="2"/>
      <c r="N55" s="2"/>
      <c r="O55" s="2"/>
      <c r="P55" s="2"/>
    </row>
    <row r="56" spans="1:16" ht="21" customHeight="1">
      <c r="A56" s="2"/>
      <c r="B56" s="2"/>
      <c r="C56" s="2"/>
      <c r="D56" s="2"/>
      <c r="E56" s="2"/>
      <c r="F56" s="2"/>
      <c r="G56" s="2"/>
      <c r="H56" s="2"/>
      <c r="I56" s="2"/>
      <c r="J56" s="2"/>
      <c r="K56" s="2"/>
      <c r="L56" s="2"/>
      <c r="M56" s="2"/>
      <c r="N56" s="2"/>
      <c r="O56" s="2"/>
      <c r="P56" s="2"/>
    </row>
    <row r="57" spans="1:16" ht="21" customHeight="1">
      <c r="A57" s="2"/>
      <c r="B57" s="2"/>
      <c r="C57" s="2"/>
      <c r="D57" s="2"/>
      <c r="E57" s="2"/>
      <c r="F57" s="2"/>
      <c r="G57" s="2"/>
      <c r="H57" s="2"/>
      <c r="I57" s="2"/>
      <c r="J57" s="2"/>
      <c r="K57" s="2"/>
      <c r="L57" s="2"/>
      <c r="M57" s="2"/>
      <c r="N57" s="2"/>
      <c r="O57" s="2"/>
      <c r="P57" s="2"/>
    </row>
    <row r="58" spans="1:16" ht="21" customHeight="1">
      <c r="A58" s="2"/>
      <c r="B58" s="2"/>
      <c r="C58" s="2"/>
      <c r="D58" s="2"/>
      <c r="E58" s="2"/>
      <c r="F58" s="2"/>
      <c r="G58" s="2"/>
      <c r="H58" s="2"/>
      <c r="I58" s="2"/>
      <c r="J58" s="2"/>
      <c r="K58" s="2"/>
      <c r="L58" s="2"/>
      <c r="M58" s="2"/>
      <c r="N58" s="2"/>
      <c r="O58" s="2"/>
      <c r="P58" s="2"/>
    </row>
    <row r="59" spans="1:16" ht="21" customHeight="1">
      <c r="A59" s="2"/>
      <c r="B59" s="2"/>
      <c r="C59" s="2"/>
      <c r="D59" s="2"/>
      <c r="E59" s="2"/>
      <c r="F59" s="2"/>
      <c r="G59" s="2"/>
      <c r="H59" s="2"/>
      <c r="I59" s="2"/>
      <c r="J59" s="2"/>
      <c r="K59" s="2"/>
      <c r="L59" s="2"/>
      <c r="M59" s="2"/>
      <c r="N59" s="2"/>
      <c r="O59" s="2"/>
      <c r="P59" s="2"/>
    </row>
    <row r="60" spans="1:16" ht="21" customHeight="1">
      <c r="A60" s="2"/>
      <c r="B60" s="2"/>
      <c r="C60" s="2"/>
      <c r="D60" s="2"/>
      <c r="E60" s="2"/>
      <c r="F60" s="2"/>
      <c r="G60" s="2"/>
      <c r="H60" s="2"/>
      <c r="I60" s="2"/>
      <c r="J60" s="2"/>
      <c r="K60" s="2"/>
      <c r="L60" s="2"/>
      <c r="M60" s="2"/>
      <c r="N60" s="2"/>
      <c r="O60" s="2"/>
      <c r="P60" s="2"/>
    </row>
    <row r="61" spans="1:16" ht="21" customHeight="1">
      <c r="A61" s="2"/>
      <c r="B61" s="2"/>
      <c r="C61" s="2"/>
      <c r="D61" s="2"/>
      <c r="E61" s="2"/>
      <c r="F61" s="2"/>
      <c r="G61" s="2"/>
      <c r="H61" s="2"/>
      <c r="I61" s="2"/>
      <c r="J61" s="2"/>
      <c r="K61" s="2"/>
      <c r="L61" s="2"/>
      <c r="M61" s="2"/>
      <c r="N61" s="2"/>
      <c r="O61" s="2"/>
      <c r="P61" s="2"/>
    </row>
    <row r="62" spans="1:16" ht="21" customHeight="1">
      <c r="A62" s="2"/>
      <c r="B62" s="2"/>
      <c r="C62" s="2"/>
      <c r="D62" s="2"/>
      <c r="E62" s="2"/>
      <c r="F62" s="2"/>
      <c r="G62" s="2"/>
      <c r="H62" s="2"/>
      <c r="I62" s="2"/>
      <c r="J62" s="2"/>
      <c r="K62" s="2"/>
      <c r="L62" s="2"/>
      <c r="M62" s="2"/>
      <c r="N62" s="2"/>
      <c r="O62" s="2"/>
      <c r="P62" s="2"/>
    </row>
    <row r="63" spans="1:16" ht="21" customHeight="1">
      <c r="A63" s="2"/>
      <c r="B63" s="2"/>
      <c r="C63" s="2"/>
      <c r="D63" s="2"/>
      <c r="E63" s="2"/>
      <c r="F63" s="2"/>
      <c r="G63" s="2"/>
      <c r="H63" s="2"/>
      <c r="I63" s="2"/>
      <c r="J63" s="2"/>
      <c r="K63" s="2"/>
      <c r="L63" s="2"/>
      <c r="M63" s="2"/>
      <c r="N63" s="2"/>
      <c r="O63" s="2"/>
      <c r="P63" s="2"/>
    </row>
    <row r="64" spans="1:16" ht="21" customHeight="1">
      <c r="A64" s="2"/>
      <c r="B64" s="2"/>
      <c r="C64" s="2"/>
      <c r="D64" s="2"/>
      <c r="E64" s="2"/>
      <c r="F64" s="2"/>
      <c r="G64" s="2"/>
      <c r="H64" s="2"/>
      <c r="I64" s="2"/>
      <c r="J64" s="2"/>
      <c r="K64" s="2"/>
      <c r="L64" s="2"/>
      <c r="M64" s="2"/>
      <c r="N64" s="2"/>
      <c r="O64" s="2"/>
      <c r="P64" s="2"/>
    </row>
    <row r="65" spans="1:16" ht="21" customHeight="1">
      <c r="A65" s="2"/>
      <c r="B65" s="2"/>
      <c r="C65" s="2"/>
      <c r="D65" s="2"/>
      <c r="E65" s="2"/>
      <c r="F65" s="2"/>
      <c r="G65" s="2"/>
      <c r="H65" s="2"/>
      <c r="I65" s="2"/>
      <c r="J65" s="2"/>
      <c r="K65" s="2"/>
      <c r="L65" s="2"/>
      <c r="M65" s="2"/>
      <c r="N65" s="2"/>
      <c r="O65" s="2"/>
      <c r="P65" s="2"/>
    </row>
    <row r="66" spans="1:16" ht="21" customHeight="1">
      <c r="A66" s="2"/>
      <c r="B66" s="2"/>
      <c r="C66" s="2"/>
      <c r="D66" s="2"/>
      <c r="E66" s="2"/>
      <c r="F66" s="2"/>
      <c r="G66" s="2"/>
      <c r="H66" s="2"/>
      <c r="I66" s="2"/>
      <c r="J66" s="2"/>
      <c r="K66" s="2"/>
      <c r="L66" s="2"/>
      <c r="M66" s="2"/>
      <c r="N66" s="2"/>
      <c r="O66" s="2"/>
      <c r="P66" s="2"/>
    </row>
    <row r="67" spans="1:16" ht="21" customHeight="1">
      <c r="A67" s="2"/>
      <c r="B67" s="2"/>
      <c r="C67" s="2"/>
      <c r="D67" s="2"/>
      <c r="E67" s="2"/>
      <c r="F67" s="2"/>
      <c r="G67" s="2"/>
      <c r="H67" s="2"/>
      <c r="I67" s="2"/>
      <c r="J67" s="2"/>
      <c r="K67" s="2"/>
      <c r="L67" s="2"/>
      <c r="M67" s="2"/>
      <c r="N67" s="2"/>
      <c r="O67" s="2"/>
      <c r="P67" s="2"/>
    </row>
    <row r="68" spans="1:16" ht="21" customHeight="1">
      <c r="A68" s="2"/>
      <c r="B68" s="2"/>
      <c r="C68" s="2"/>
      <c r="D68" s="2"/>
      <c r="E68" s="2"/>
      <c r="F68" s="2"/>
      <c r="G68" s="2"/>
      <c r="H68" s="2"/>
      <c r="I68" s="2"/>
      <c r="J68" s="2"/>
      <c r="K68" s="2"/>
      <c r="L68" s="2"/>
      <c r="M68" s="2"/>
      <c r="N68" s="2"/>
      <c r="O68" s="2"/>
      <c r="P68" s="2"/>
    </row>
    <row r="69" spans="1:16" ht="21" customHeight="1">
      <c r="A69" s="2"/>
      <c r="B69" s="2"/>
      <c r="C69" s="2"/>
      <c r="D69" s="2"/>
      <c r="E69" s="2"/>
      <c r="F69" s="2"/>
      <c r="G69" s="2"/>
      <c r="H69" s="2"/>
      <c r="I69" s="2"/>
      <c r="J69" s="2"/>
      <c r="K69" s="2"/>
      <c r="L69" s="2"/>
      <c r="M69" s="2"/>
      <c r="N69" s="2"/>
      <c r="O69" s="2"/>
      <c r="P69" s="2"/>
    </row>
    <row r="70" spans="1:16" ht="21" customHeight="1">
      <c r="A70" s="2"/>
      <c r="B70" s="2"/>
      <c r="C70" s="2"/>
      <c r="D70" s="2"/>
      <c r="E70" s="2"/>
      <c r="F70" s="2"/>
      <c r="G70" s="2"/>
      <c r="H70" s="2"/>
      <c r="I70" s="2"/>
      <c r="J70" s="2"/>
      <c r="K70" s="2"/>
      <c r="L70" s="2"/>
      <c r="M70" s="2"/>
      <c r="N70" s="2"/>
      <c r="O70" s="2"/>
      <c r="P70" s="2"/>
    </row>
    <row r="71" spans="1:16" ht="21" customHeight="1">
      <c r="A71" s="2"/>
      <c r="B71" s="2"/>
      <c r="C71" s="2"/>
      <c r="D71" s="2"/>
      <c r="E71" s="2"/>
      <c r="F71" s="2"/>
      <c r="G71" s="2"/>
      <c r="H71" s="2"/>
      <c r="I71" s="2"/>
      <c r="J71" s="2"/>
      <c r="K71" s="2"/>
      <c r="L71" s="2"/>
      <c r="M71" s="2"/>
      <c r="N71" s="2"/>
      <c r="O71" s="2"/>
      <c r="P71" s="2"/>
    </row>
    <row r="72" spans="1:16" ht="21" customHeight="1">
      <c r="A72" s="2"/>
      <c r="B72" s="2"/>
      <c r="C72" s="2"/>
      <c r="D72" s="2"/>
      <c r="E72" s="2"/>
      <c r="F72" s="2"/>
      <c r="G72" s="2"/>
      <c r="H72" s="2"/>
      <c r="I72" s="2"/>
      <c r="J72" s="2"/>
      <c r="K72" s="2"/>
      <c r="L72" s="2"/>
      <c r="M72" s="2"/>
      <c r="N72" s="2"/>
      <c r="O72" s="2"/>
      <c r="P72" s="2"/>
    </row>
    <row r="73" spans="1:16" ht="21" customHeight="1">
      <c r="A73" s="2"/>
      <c r="B73" s="2"/>
      <c r="C73" s="2"/>
      <c r="D73" s="2"/>
      <c r="E73" s="2"/>
      <c r="F73" s="2"/>
      <c r="G73" s="2"/>
      <c r="H73" s="2"/>
      <c r="I73" s="2"/>
      <c r="J73" s="2"/>
      <c r="K73" s="2"/>
      <c r="L73" s="2"/>
      <c r="M73" s="2"/>
      <c r="N73" s="2"/>
      <c r="O73" s="2"/>
      <c r="P73" s="2"/>
    </row>
    <row r="74" spans="1:16" ht="21" customHeight="1">
      <c r="A74" s="2"/>
      <c r="B74" s="2"/>
      <c r="C74" s="2"/>
      <c r="D74" s="2"/>
      <c r="E74" s="2"/>
      <c r="F74" s="2"/>
      <c r="G74" s="2"/>
      <c r="H74" s="2"/>
      <c r="I74" s="2"/>
      <c r="J74" s="2"/>
      <c r="K74" s="2"/>
      <c r="L74" s="2"/>
      <c r="M74" s="2"/>
      <c r="N74" s="2"/>
      <c r="O74" s="2"/>
      <c r="P74" s="2"/>
    </row>
    <row r="75" spans="1:16" ht="21" customHeight="1">
      <c r="A75" s="2"/>
      <c r="B75" s="2"/>
      <c r="C75" s="2"/>
      <c r="D75" s="2"/>
      <c r="E75" s="2"/>
      <c r="F75" s="2"/>
      <c r="G75" s="2"/>
      <c r="H75" s="2"/>
      <c r="I75" s="2"/>
      <c r="J75" s="2"/>
      <c r="K75" s="2"/>
      <c r="L75" s="2"/>
      <c r="M75" s="2"/>
      <c r="N75" s="2"/>
      <c r="O75" s="2"/>
      <c r="P75" s="2"/>
    </row>
    <row r="76" spans="1:16" ht="21" customHeight="1">
      <c r="A76" s="2"/>
      <c r="B76" s="2"/>
      <c r="C76" s="2"/>
      <c r="D76" s="2"/>
      <c r="E76" s="2"/>
      <c r="F76" s="2"/>
      <c r="G76" s="2"/>
      <c r="H76" s="2"/>
      <c r="I76" s="2"/>
      <c r="J76" s="2"/>
      <c r="K76" s="2"/>
      <c r="L76" s="2"/>
      <c r="M76" s="2"/>
      <c r="N76" s="2"/>
      <c r="O76" s="2"/>
      <c r="P76" s="2"/>
    </row>
    <row r="77" spans="1:16" ht="21" customHeight="1">
      <c r="A77" s="2"/>
      <c r="B77" s="2"/>
      <c r="C77" s="2"/>
      <c r="D77" s="2"/>
      <c r="E77" s="2"/>
      <c r="F77" s="2"/>
      <c r="G77" s="2"/>
      <c r="H77" s="2"/>
      <c r="I77" s="2"/>
      <c r="J77" s="2"/>
      <c r="K77" s="2"/>
      <c r="L77" s="2"/>
      <c r="M77" s="2"/>
      <c r="N77" s="2"/>
      <c r="O77" s="2"/>
      <c r="P77" s="2"/>
    </row>
    <row r="78" spans="1:16" ht="21" customHeight="1">
      <c r="A78" s="2"/>
      <c r="B78" s="2"/>
      <c r="C78" s="2"/>
      <c r="D78" s="2"/>
      <c r="E78" s="2"/>
      <c r="F78" s="2"/>
      <c r="G78" s="2"/>
      <c r="H78" s="2"/>
      <c r="I78" s="2"/>
      <c r="J78" s="2"/>
      <c r="K78" s="2"/>
      <c r="L78" s="2"/>
      <c r="M78" s="2"/>
      <c r="N78" s="2"/>
      <c r="O78" s="2"/>
      <c r="P78" s="2"/>
    </row>
    <row r="79" spans="1:16" ht="21" customHeight="1">
      <c r="A79" s="2"/>
      <c r="B79" s="2"/>
      <c r="C79" s="2"/>
      <c r="D79" s="2"/>
      <c r="E79" s="2"/>
      <c r="F79" s="2"/>
      <c r="G79" s="2"/>
      <c r="H79" s="2"/>
      <c r="I79" s="2"/>
      <c r="J79" s="2"/>
      <c r="K79" s="2"/>
      <c r="L79" s="2"/>
      <c r="M79" s="2"/>
      <c r="N79" s="2"/>
      <c r="O79" s="2"/>
      <c r="P79" s="2"/>
    </row>
    <row r="80" spans="1:16" ht="21" customHeight="1">
      <c r="A80" s="2"/>
      <c r="B80" s="2"/>
      <c r="C80" s="2"/>
      <c r="D80" s="2"/>
      <c r="E80" s="2"/>
      <c r="F80" s="2"/>
      <c r="G80" s="2"/>
      <c r="H80" s="2"/>
      <c r="I80" s="2"/>
      <c r="J80" s="2"/>
      <c r="K80" s="2"/>
      <c r="L80" s="2"/>
      <c r="M80" s="2"/>
      <c r="N80" s="2"/>
      <c r="O80" s="2"/>
      <c r="P80" s="2"/>
    </row>
    <row r="81" spans="1:16" ht="21" customHeight="1">
      <c r="A81" s="2"/>
      <c r="B81" s="2"/>
      <c r="C81" s="2"/>
      <c r="D81" s="2"/>
      <c r="E81" s="2"/>
      <c r="F81" s="2"/>
      <c r="G81" s="2"/>
      <c r="H81" s="2"/>
      <c r="I81" s="2"/>
      <c r="J81" s="2"/>
      <c r="K81" s="2"/>
      <c r="L81" s="2"/>
      <c r="M81" s="2"/>
      <c r="N81" s="2"/>
      <c r="O81" s="2"/>
      <c r="P81" s="2"/>
    </row>
    <row r="82" spans="1:16" ht="21" customHeight="1">
      <c r="A82" s="2"/>
      <c r="B82" s="2"/>
      <c r="C82" s="2"/>
      <c r="D82" s="2"/>
      <c r="E82" s="2"/>
      <c r="F82" s="2"/>
      <c r="G82" s="2"/>
      <c r="H82" s="2"/>
      <c r="I82" s="2"/>
      <c r="J82" s="2"/>
      <c r="K82" s="2"/>
      <c r="L82" s="2"/>
      <c r="M82" s="2"/>
      <c r="N82" s="2"/>
      <c r="O82" s="2"/>
      <c r="P82" s="2"/>
    </row>
    <row r="83" spans="1:16" ht="21" customHeight="1">
      <c r="A83" s="2"/>
      <c r="B83" s="2"/>
      <c r="C83" s="2"/>
      <c r="D83" s="2"/>
      <c r="E83" s="2"/>
      <c r="F83" s="2"/>
      <c r="G83" s="2"/>
      <c r="H83" s="2"/>
      <c r="I83" s="2"/>
      <c r="J83" s="2"/>
      <c r="K83" s="2"/>
      <c r="L83" s="2"/>
      <c r="M83" s="2"/>
      <c r="N83" s="2"/>
      <c r="O83" s="2"/>
      <c r="P83" s="2"/>
    </row>
    <row r="84" spans="1:16" ht="21" customHeight="1">
      <c r="A84" s="2"/>
      <c r="B84" s="2"/>
      <c r="C84" s="2"/>
      <c r="D84" s="2"/>
      <c r="E84" s="2"/>
      <c r="F84" s="2"/>
      <c r="G84" s="2"/>
      <c r="H84" s="2"/>
      <c r="I84" s="2"/>
      <c r="J84" s="2"/>
      <c r="K84" s="2"/>
      <c r="L84" s="2"/>
      <c r="M84" s="2"/>
      <c r="N84" s="2"/>
      <c r="O84" s="2"/>
      <c r="P84" s="2"/>
    </row>
    <row r="85" spans="1:16" ht="21" customHeight="1">
      <c r="A85" s="2"/>
      <c r="B85" s="2"/>
      <c r="C85" s="2"/>
      <c r="D85" s="2"/>
      <c r="E85" s="2"/>
      <c r="F85" s="2"/>
      <c r="G85" s="2"/>
      <c r="H85" s="2"/>
      <c r="I85" s="2"/>
      <c r="J85" s="2"/>
      <c r="K85" s="2"/>
      <c r="L85" s="2"/>
      <c r="M85" s="2"/>
      <c r="N85" s="2"/>
      <c r="O85" s="2"/>
      <c r="P85" s="2"/>
    </row>
    <row r="86" spans="1:16" ht="21" customHeight="1">
      <c r="A86" s="2"/>
      <c r="B86" s="2"/>
      <c r="C86" s="2"/>
      <c r="D86" s="2"/>
      <c r="E86" s="2"/>
      <c r="F86" s="2"/>
      <c r="G86" s="2"/>
      <c r="H86" s="2"/>
      <c r="I86" s="2"/>
      <c r="J86" s="2"/>
      <c r="K86" s="2"/>
      <c r="L86" s="2"/>
      <c r="M86" s="2"/>
      <c r="N86" s="2"/>
      <c r="O86" s="2"/>
      <c r="P86" s="2"/>
    </row>
    <row r="87" spans="1:16" ht="21" customHeight="1">
      <c r="A87" s="2"/>
      <c r="B87" s="2"/>
      <c r="C87" s="2"/>
      <c r="D87" s="2"/>
      <c r="E87" s="2"/>
      <c r="F87" s="2"/>
      <c r="G87" s="2"/>
      <c r="H87" s="2"/>
      <c r="I87" s="2"/>
      <c r="J87" s="2"/>
      <c r="K87" s="2"/>
      <c r="L87" s="2"/>
      <c r="M87" s="2"/>
      <c r="N87" s="2"/>
      <c r="O87" s="2"/>
      <c r="P87" s="2"/>
    </row>
    <row r="88" spans="1:16" ht="21" customHeight="1">
      <c r="A88" s="2"/>
      <c r="B88" s="2"/>
      <c r="C88" s="2"/>
      <c r="D88" s="2"/>
      <c r="E88" s="2"/>
      <c r="F88" s="2"/>
      <c r="G88" s="2"/>
      <c r="H88" s="2"/>
      <c r="I88" s="2"/>
      <c r="J88" s="2"/>
      <c r="K88" s="2"/>
      <c r="L88" s="2"/>
      <c r="M88" s="2"/>
      <c r="N88" s="2"/>
      <c r="O88" s="2"/>
      <c r="P88" s="2"/>
    </row>
    <row r="89" spans="1:16" ht="21" customHeight="1">
      <c r="A89" s="2"/>
      <c r="B89" s="2"/>
      <c r="C89" s="2"/>
      <c r="D89" s="2"/>
      <c r="E89" s="2"/>
      <c r="F89" s="2"/>
      <c r="G89" s="2"/>
      <c r="H89" s="2"/>
      <c r="I89" s="2"/>
      <c r="J89" s="2"/>
      <c r="K89" s="2"/>
      <c r="L89" s="2"/>
      <c r="M89" s="2"/>
      <c r="N89" s="2"/>
      <c r="O89" s="2"/>
      <c r="P89" s="2"/>
    </row>
    <row r="90" spans="1:16" ht="21" customHeight="1">
      <c r="A90" s="2"/>
      <c r="B90" s="2"/>
      <c r="C90" s="2"/>
      <c r="D90" s="2"/>
      <c r="E90" s="2"/>
      <c r="F90" s="2"/>
      <c r="G90" s="2"/>
      <c r="H90" s="2"/>
      <c r="I90" s="2"/>
      <c r="J90" s="2"/>
      <c r="K90" s="2"/>
      <c r="L90" s="2"/>
      <c r="M90" s="2"/>
      <c r="N90" s="2"/>
      <c r="O90" s="2"/>
      <c r="P90" s="2"/>
    </row>
    <row r="91" spans="1:16" ht="21" customHeight="1">
      <c r="A91" s="2"/>
      <c r="B91" s="2"/>
      <c r="C91" s="2"/>
      <c r="D91" s="2"/>
      <c r="E91" s="2"/>
      <c r="F91" s="2"/>
      <c r="G91" s="2"/>
      <c r="H91" s="2"/>
      <c r="I91" s="2"/>
      <c r="J91" s="2"/>
      <c r="K91" s="2"/>
      <c r="L91" s="2"/>
      <c r="M91" s="2"/>
      <c r="N91" s="2"/>
      <c r="O91" s="2"/>
      <c r="P91" s="2"/>
    </row>
    <row r="92" spans="1:16" ht="21" customHeight="1">
      <c r="A92" s="2"/>
      <c r="B92" s="2"/>
      <c r="C92" s="2"/>
      <c r="D92" s="2"/>
      <c r="E92" s="2"/>
      <c r="F92" s="2"/>
      <c r="G92" s="2"/>
      <c r="H92" s="2"/>
      <c r="I92" s="2"/>
      <c r="J92" s="2"/>
      <c r="K92" s="2"/>
      <c r="L92" s="2"/>
      <c r="M92" s="2"/>
      <c r="N92" s="2"/>
      <c r="O92" s="2"/>
      <c r="P92" s="2"/>
    </row>
    <row r="93" spans="1:16" ht="21" customHeight="1">
      <c r="A93" s="2"/>
      <c r="B93" s="2"/>
      <c r="C93" s="2"/>
      <c r="D93" s="2"/>
      <c r="E93" s="2"/>
      <c r="F93" s="2"/>
      <c r="G93" s="2"/>
      <c r="H93" s="2"/>
      <c r="I93" s="2"/>
      <c r="J93" s="2"/>
      <c r="K93" s="2"/>
      <c r="L93" s="2"/>
      <c r="M93" s="2"/>
      <c r="N93" s="2"/>
      <c r="O93" s="2"/>
      <c r="P93" s="2"/>
    </row>
    <row r="94" spans="1:16" ht="21" customHeight="1">
      <c r="A94" s="2"/>
      <c r="B94" s="2"/>
      <c r="C94" s="2"/>
      <c r="D94" s="2"/>
      <c r="E94" s="2"/>
      <c r="F94" s="2"/>
      <c r="G94" s="2"/>
      <c r="H94" s="2"/>
      <c r="I94" s="2"/>
      <c r="J94" s="2"/>
      <c r="K94" s="2"/>
      <c r="L94" s="2"/>
      <c r="M94" s="2"/>
      <c r="N94" s="2"/>
      <c r="O94" s="2"/>
      <c r="P94" s="2"/>
    </row>
    <row r="95" spans="1:16" ht="21" customHeight="1">
      <c r="A95" s="2"/>
      <c r="B95" s="2"/>
      <c r="C95" s="2"/>
      <c r="D95" s="2"/>
      <c r="E95" s="2"/>
      <c r="F95" s="2"/>
      <c r="G95" s="2"/>
      <c r="H95" s="2"/>
      <c r="I95" s="2"/>
      <c r="J95" s="2"/>
      <c r="K95" s="2"/>
      <c r="L95" s="2"/>
      <c r="M95" s="2"/>
      <c r="N95" s="2"/>
      <c r="O95" s="2"/>
      <c r="P95" s="2"/>
    </row>
    <row r="96" spans="1:16" ht="21" customHeight="1">
      <c r="A96" s="2"/>
      <c r="B96" s="2"/>
      <c r="C96" s="2"/>
      <c r="D96" s="2"/>
      <c r="E96" s="2"/>
      <c r="F96" s="2"/>
      <c r="G96" s="2"/>
      <c r="H96" s="2"/>
      <c r="I96" s="2"/>
      <c r="J96" s="2"/>
      <c r="K96" s="2"/>
      <c r="L96" s="2"/>
      <c r="M96" s="2"/>
      <c r="N96" s="2"/>
      <c r="O96" s="2"/>
      <c r="P96" s="2"/>
    </row>
    <row r="97" spans="1:16" ht="21" customHeight="1">
      <c r="A97" s="2"/>
      <c r="B97" s="2"/>
      <c r="C97" s="2"/>
      <c r="D97" s="2"/>
      <c r="E97" s="2"/>
      <c r="F97" s="2"/>
      <c r="G97" s="2"/>
      <c r="H97" s="2"/>
      <c r="I97" s="2"/>
      <c r="J97" s="2"/>
      <c r="K97" s="2"/>
      <c r="L97" s="2"/>
      <c r="M97" s="2"/>
      <c r="N97" s="2"/>
      <c r="O97" s="2"/>
      <c r="P97" s="2"/>
    </row>
    <row r="98" spans="1:16" ht="21" customHeight="1">
      <c r="A98" s="2"/>
      <c r="B98" s="2"/>
      <c r="C98" s="2"/>
      <c r="D98" s="2"/>
      <c r="E98" s="2"/>
      <c r="F98" s="2"/>
      <c r="G98" s="2"/>
      <c r="H98" s="2"/>
      <c r="I98" s="2"/>
      <c r="J98" s="2"/>
      <c r="K98" s="2"/>
      <c r="L98" s="2"/>
      <c r="M98" s="2"/>
      <c r="N98" s="2"/>
      <c r="O98" s="2"/>
      <c r="P98" s="2"/>
    </row>
    <row r="99" spans="1:16" ht="21" customHeight="1">
      <c r="A99" s="2"/>
      <c r="B99" s="2"/>
      <c r="C99" s="2"/>
      <c r="D99" s="2"/>
      <c r="E99" s="2"/>
      <c r="F99" s="2"/>
      <c r="G99" s="2"/>
      <c r="H99" s="2"/>
      <c r="I99" s="2"/>
      <c r="J99" s="2"/>
      <c r="K99" s="2"/>
      <c r="L99" s="2"/>
      <c r="M99" s="2"/>
      <c r="N99" s="2"/>
      <c r="O99" s="2"/>
      <c r="P99" s="2"/>
    </row>
    <row r="100" spans="1:16" ht="21" customHeight="1">
      <c r="A100" s="2"/>
      <c r="B100" s="2"/>
      <c r="C100" s="2"/>
      <c r="D100" s="2"/>
      <c r="E100" s="2"/>
      <c r="F100" s="2"/>
      <c r="G100" s="2"/>
      <c r="H100" s="2"/>
      <c r="I100" s="2"/>
      <c r="J100" s="2"/>
      <c r="K100" s="2"/>
      <c r="L100" s="2"/>
      <c r="M100" s="2"/>
      <c r="N100" s="2"/>
      <c r="O100" s="2"/>
      <c r="P100" s="2"/>
    </row>
    <row r="101" spans="1:16" ht="21" customHeight="1">
      <c r="A101" s="2"/>
      <c r="B101" s="2"/>
      <c r="C101" s="2"/>
      <c r="D101" s="2"/>
      <c r="E101" s="2"/>
      <c r="F101" s="2"/>
      <c r="G101" s="2"/>
      <c r="H101" s="2"/>
      <c r="I101" s="2"/>
      <c r="J101" s="2"/>
      <c r="K101" s="2"/>
      <c r="L101" s="2"/>
      <c r="M101" s="2"/>
      <c r="N101" s="2"/>
      <c r="O101" s="2"/>
      <c r="P101" s="2"/>
    </row>
    <row r="102" spans="1:16" ht="21" customHeight="1">
      <c r="A102" s="2"/>
      <c r="B102" s="2"/>
      <c r="C102" s="2"/>
      <c r="D102" s="2"/>
      <c r="E102" s="2"/>
      <c r="F102" s="2"/>
      <c r="G102" s="2"/>
      <c r="H102" s="2"/>
      <c r="I102" s="2"/>
      <c r="J102" s="2"/>
      <c r="K102" s="2"/>
      <c r="L102" s="2"/>
      <c r="M102" s="2"/>
      <c r="N102" s="2"/>
      <c r="O102" s="2"/>
      <c r="P102" s="2"/>
    </row>
    <row r="103" spans="1:16" ht="21" customHeight="1">
      <c r="A103" s="2"/>
      <c r="B103" s="2"/>
      <c r="C103" s="2"/>
      <c r="D103" s="2"/>
      <c r="E103" s="2"/>
      <c r="F103" s="2"/>
      <c r="G103" s="2"/>
      <c r="H103" s="2"/>
      <c r="I103" s="2"/>
      <c r="J103" s="2"/>
      <c r="K103" s="2"/>
      <c r="L103" s="2"/>
      <c r="M103" s="2"/>
      <c r="N103" s="2"/>
      <c r="O103" s="2"/>
      <c r="P103" s="2"/>
    </row>
    <row r="104" spans="1:16" ht="21" customHeight="1">
      <c r="A104" s="2"/>
      <c r="B104" s="2"/>
      <c r="C104" s="2"/>
      <c r="D104" s="2"/>
      <c r="E104" s="2"/>
      <c r="F104" s="2"/>
      <c r="G104" s="2"/>
      <c r="H104" s="2"/>
      <c r="I104" s="2"/>
      <c r="J104" s="2"/>
      <c r="K104" s="2"/>
      <c r="L104" s="2"/>
      <c r="M104" s="2"/>
      <c r="N104" s="2"/>
      <c r="O104" s="2"/>
      <c r="P104" s="2"/>
    </row>
    <row r="105" spans="1:16" ht="21" customHeight="1">
      <c r="A105" s="2"/>
      <c r="B105" s="2"/>
      <c r="C105" s="2"/>
      <c r="D105" s="2"/>
      <c r="E105" s="2"/>
      <c r="F105" s="2"/>
      <c r="G105" s="2"/>
      <c r="H105" s="2"/>
      <c r="I105" s="2"/>
      <c r="J105" s="2"/>
      <c r="K105" s="2"/>
      <c r="L105" s="2"/>
      <c r="M105" s="2"/>
      <c r="N105" s="2"/>
      <c r="O105" s="2"/>
      <c r="P105" s="2"/>
    </row>
    <row r="106" spans="1:16" ht="21" customHeight="1">
      <c r="A106" s="2"/>
      <c r="B106" s="2"/>
      <c r="C106" s="2"/>
      <c r="D106" s="2"/>
      <c r="E106" s="2"/>
      <c r="F106" s="2"/>
      <c r="G106" s="2"/>
      <c r="H106" s="2"/>
      <c r="I106" s="2"/>
      <c r="J106" s="2"/>
      <c r="K106" s="2"/>
      <c r="L106" s="2"/>
      <c r="M106" s="2"/>
      <c r="N106" s="2"/>
      <c r="O106" s="2"/>
      <c r="P106" s="2"/>
    </row>
    <row r="107" spans="1:16" ht="21" customHeight="1">
      <c r="A107" s="2"/>
      <c r="B107" s="2"/>
      <c r="C107" s="2"/>
      <c r="D107" s="2"/>
      <c r="E107" s="2"/>
      <c r="F107" s="2"/>
      <c r="G107" s="2"/>
      <c r="H107" s="2"/>
      <c r="I107" s="2"/>
      <c r="J107" s="2"/>
      <c r="K107" s="2"/>
      <c r="L107" s="2"/>
      <c r="M107" s="2"/>
      <c r="N107" s="2"/>
      <c r="O107" s="2"/>
      <c r="P107" s="2"/>
    </row>
    <row r="108" spans="1:16" ht="21" customHeight="1">
      <c r="A108" s="2"/>
      <c r="B108" s="2"/>
      <c r="C108" s="2"/>
      <c r="D108" s="2"/>
      <c r="E108" s="2"/>
      <c r="F108" s="2"/>
      <c r="G108" s="2"/>
      <c r="H108" s="2"/>
      <c r="I108" s="2"/>
      <c r="J108" s="2"/>
      <c r="K108" s="2"/>
      <c r="L108" s="2"/>
      <c r="M108" s="2"/>
      <c r="N108" s="2"/>
      <c r="O108" s="2"/>
      <c r="P108" s="2"/>
    </row>
    <row r="109" spans="1:16" ht="21" customHeight="1">
      <c r="A109" s="2"/>
      <c r="B109" s="2"/>
      <c r="C109" s="2"/>
      <c r="D109" s="2"/>
      <c r="E109" s="2"/>
      <c r="F109" s="2"/>
      <c r="G109" s="2"/>
      <c r="H109" s="2"/>
      <c r="I109" s="2"/>
      <c r="J109" s="2"/>
      <c r="K109" s="2"/>
      <c r="L109" s="2"/>
      <c r="M109" s="2"/>
      <c r="N109" s="2"/>
      <c r="O109" s="2"/>
      <c r="P109" s="2"/>
    </row>
    <row r="110" spans="1:16" ht="21" customHeight="1">
      <c r="A110" s="2"/>
      <c r="B110" s="2"/>
      <c r="C110" s="2"/>
      <c r="D110" s="2"/>
      <c r="E110" s="2"/>
      <c r="F110" s="2"/>
      <c r="G110" s="2"/>
      <c r="H110" s="2"/>
      <c r="I110" s="2"/>
      <c r="J110" s="2"/>
      <c r="K110" s="2"/>
      <c r="L110" s="2"/>
      <c r="M110" s="2"/>
      <c r="N110" s="2"/>
      <c r="O110" s="2"/>
      <c r="P110" s="2"/>
    </row>
    <row r="111" spans="1:16" ht="21" customHeight="1">
      <c r="A111" s="2"/>
      <c r="B111" s="2"/>
      <c r="C111" s="2"/>
      <c r="D111" s="2"/>
      <c r="E111" s="2"/>
      <c r="F111" s="2"/>
      <c r="G111" s="2"/>
      <c r="H111" s="2"/>
      <c r="I111" s="2"/>
      <c r="J111" s="2"/>
      <c r="K111" s="2"/>
      <c r="L111" s="2"/>
      <c r="M111" s="2"/>
      <c r="N111" s="2"/>
      <c r="O111" s="2"/>
      <c r="P111" s="2"/>
    </row>
    <row r="112" spans="1:16" ht="21" customHeight="1">
      <c r="A112" s="2"/>
      <c r="B112" s="2"/>
      <c r="C112" s="2"/>
      <c r="D112" s="2"/>
      <c r="E112" s="2"/>
      <c r="F112" s="2"/>
      <c r="G112" s="2"/>
      <c r="H112" s="2"/>
      <c r="I112" s="2"/>
      <c r="J112" s="2"/>
      <c r="K112" s="2"/>
      <c r="L112" s="2"/>
      <c r="M112" s="2"/>
      <c r="N112" s="2"/>
      <c r="O112" s="2"/>
      <c r="P112" s="2"/>
    </row>
    <row r="113" spans="1:16" ht="21" customHeight="1">
      <c r="A113" s="2"/>
      <c r="B113" s="2"/>
      <c r="C113" s="2"/>
      <c r="D113" s="2"/>
      <c r="E113" s="2"/>
      <c r="F113" s="2"/>
      <c r="G113" s="2"/>
      <c r="H113" s="2"/>
      <c r="I113" s="2"/>
      <c r="J113" s="2"/>
      <c r="K113" s="2"/>
      <c r="L113" s="2"/>
      <c r="M113" s="2"/>
      <c r="N113" s="2"/>
      <c r="O113" s="2"/>
      <c r="P113" s="2"/>
    </row>
    <row r="114" spans="1:16" ht="21" customHeight="1">
      <c r="A114" s="2"/>
      <c r="B114" s="2"/>
      <c r="C114" s="2"/>
      <c r="D114" s="2"/>
      <c r="E114" s="2"/>
      <c r="F114" s="2"/>
      <c r="G114" s="2"/>
      <c r="H114" s="2"/>
      <c r="I114" s="2"/>
      <c r="J114" s="2"/>
      <c r="K114" s="2"/>
      <c r="L114" s="2"/>
      <c r="M114" s="2"/>
      <c r="N114" s="2"/>
      <c r="O114" s="2"/>
      <c r="P114" s="2"/>
    </row>
    <row r="115" spans="1:16" ht="21" customHeight="1">
      <c r="A115" s="2"/>
      <c r="B115" s="2"/>
      <c r="C115" s="2"/>
      <c r="D115" s="2"/>
      <c r="E115" s="2"/>
      <c r="F115" s="2"/>
      <c r="G115" s="2"/>
      <c r="H115" s="2"/>
      <c r="I115" s="2"/>
      <c r="J115" s="2"/>
      <c r="K115" s="2"/>
      <c r="L115" s="2"/>
      <c r="M115" s="2"/>
      <c r="N115" s="2"/>
      <c r="O115" s="2"/>
      <c r="P115" s="2"/>
    </row>
    <row r="116" spans="1:16" ht="21" customHeight="1">
      <c r="A116" s="2"/>
      <c r="B116" s="2"/>
      <c r="C116" s="2"/>
      <c r="D116" s="2"/>
      <c r="E116" s="2"/>
      <c r="F116" s="2"/>
      <c r="G116" s="2"/>
      <c r="H116" s="2"/>
      <c r="I116" s="2"/>
      <c r="J116" s="2"/>
      <c r="K116" s="2"/>
      <c r="L116" s="2"/>
      <c r="M116" s="2"/>
      <c r="N116" s="2"/>
      <c r="O116" s="2"/>
      <c r="P116" s="2"/>
    </row>
    <row r="117" spans="1:16" ht="21" customHeight="1">
      <c r="A117" s="2"/>
      <c r="B117" s="2"/>
      <c r="C117" s="2"/>
      <c r="D117" s="2"/>
      <c r="E117" s="2"/>
      <c r="F117" s="2"/>
      <c r="G117" s="2"/>
      <c r="H117" s="2"/>
      <c r="I117" s="2"/>
      <c r="J117" s="2"/>
      <c r="K117" s="2"/>
      <c r="L117" s="2"/>
      <c r="M117" s="2"/>
      <c r="N117" s="2"/>
      <c r="O117" s="2"/>
      <c r="P117" s="2"/>
    </row>
    <row r="118" spans="1:16" ht="21" customHeight="1">
      <c r="A118" s="2"/>
      <c r="B118" s="2"/>
      <c r="C118" s="2"/>
      <c r="D118" s="2"/>
      <c r="E118" s="2"/>
      <c r="F118" s="2"/>
      <c r="G118" s="2"/>
      <c r="H118" s="2"/>
      <c r="I118" s="2"/>
      <c r="J118" s="2"/>
      <c r="K118" s="2"/>
      <c r="L118" s="2"/>
      <c r="M118" s="2"/>
      <c r="N118" s="2"/>
      <c r="O118" s="2"/>
      <c r="P118" s="2"/>
    </row>
    <row r="119" spans="1:16" ht="21" customHeight="1">
      <c r="A119" s="2"/>
      <c r="B119" s="2"/>
      <c r="C119" s="2"/>
      <c r="D119" s="2"/>
      <c r="E119" s="2"/>
      <c r="F119" s="2"/>
      <c r="G119" s="2"/>
      <c r="H119" s="2"/>
      <c r="I119" s="2"/>
      <c r="J119" s="2"/>
      <c r="K119" s="2"/>
      <c r="L119" s="2"/>
      <c r="M119" s="2"/>
      <c r="N119" s="2"/>
      <c r="O119" s="2"/>
      <c r="P119" s="2"/>
    </row>
    <row r="120" spans="1:16" ht="21" customHeight="1">
      <c r="A120" s="2"/>
      <c r="B120" s="2"/>
      <c r="C120" s="2"/>
      <c r="D120" s="2"/>
      <c r="E120" s="2"/>
      <c r="F120" s="2"/>
      <c r="G120" s="2"/>
      <c r="H120" s="2"/>
      <c r="I120" s="2"/>
      <c r="J120" s="2"/>
      <c r="K120" s="2"/>
      <c r="L120" s="2"/>
      <c r="M120" s="2"/>
      <c r="N120" s="2"/>
      <c r="O120" s="2"/>
      <c r="P120" s="2"/>
    </row>
    <row r="121" spans="1:16" ht="21" customHeight="1"/>
    <row r="122" spans="1:16" ht="21" customHeight="1"/>
    <row r="123" spans="1:16" ht="21" customHeight="1"/>
    <row r="124" spans="1:16" ht="21" customHeight="1"/>
    <row r="125" spans="1:16" ht="21" customHeight="1"/>
    <row r="126" spans="1:16" ht="21" customHeight="1"/>
    <row r="127" spans="1:16" ht="21" customHeight="1"/>
    <row r="128" spans="1:16" ht="21" customHeight="1"/>
    <row r="129" ht="21" customHeight="1"/>
    <row r="130" ht="21" customHeight="1"/>
    <row r="131" ht="21" customHeight="1"/>
    <row r="132" ht="21" customHeight="1"/>
    <row r="133" ht="21" customHeight="1"/>
    <row r="134" ht="21" customHeight="1"/>
    <row r="135" ht="21" customHeight="1"/>
    <row r="136" ht="21" customHeight="1"/>
    <row r="137" ht="21" customHeight="1"/>
    <row r="138" ht="21" customHeight="1"/>
    <row r="139" ht="21" customHeight="1"/>
    <row r="140" ht="21" customHeight="1"/>
    <row r="141" ht="21" customHeight="1"/>
    <row r="142" ht="21" customHeight="1"/>
    <row r="143" ht="21" customHeight="1"/>
    <row r="144" ht="21" customHeight="1"/>
    <row r="145" ht="21" customHeight="1"/>
    <row r="146" ht="21" customHeight="1"/>
    <row r="147" ht="21" customHeight="1"/>
    <row r="148" ht="21" customHeight="1"/>
    <row r="149" ht="21" customHeight="1"/>
    <row r="150" ht="21" customHeight="1"/>
    <row r="151" ht="21" customHeight="1"/>
    <row r="152" ht="21" customHeight="1"/>
    <row r="153" ht="21" customHeight="1"/>
    <row r="154" ht="21" customHeight="1"/>
    <row r="155" ht="21" customHeight="1"/>
    <row r="156" ht="21" customHeight="1"/>
    <row r="157" ht="21" customHeight="1"/>
    <row r="158" ht="21" customHeight="1"/>
    <row r="159" ht="21" customHeight="1"/>
    <row r="160" ht="21" customHeight="1"/>
    <row r="161" ht="21" customHeight="1"/>
    <row r="162" ht="21" customHeight="1"/>
    <row r="163" ht="21" customHeight="1"/>
    <row r="164" ht="21" customHeight="1"/>
    <row r="165" ht="21" customHeight="1"/>
    <row r="166" ht="21" customHeight="1"/>
    <row r="167" ht="21" customHeight="1"/>
    <row r="168" ht="21" customHeight="1"/>
    <row r="169" ht="21" customHeight="1"/>
    <row r="170" ht="21" customHeight="1"/>
    <row r="171" ht="21" customHeight="1"/>
    <row r="172" ht="21" customHeight="1"/>
    <row r="173" ht="21" customHeight="1"/>
    <row r="174" ht="21" customHeight="1"/>
    <row r="175" ht="21" customHeight="1"/>
    <row r="176" ht="21" customHeight="1"/>
    <row r="177" ht="21" customHeight="1"/>
    <row r="178" ht="21" customHeight="1"/>
    <row r="179" ht="21" customHeight="1"/>
    <row r="180" ht="21" customHeight="1"/>
    <row r="181" ht="21" customHeight="1"/>
    <row r="182" ht="21" customHeight="1"/>
    <row r="183" ht="21" customHeight="1"/>
    <row r="184" ht="21" customHeight="1"/>
    <row r="185" ht="21" customHeight="1"/>
    <row r="186" ht="21" customHeight="1"/>
    <row r="187" ht="21" customHeight="1"/>
    <row r="188" ht="21" customHeight="1"/>
    <row r="189" ht="21" customHeight="1"/>
    <row r="190" ht="21" customHeight="1"/>
    <row r="191" ht="21" customHeight="1"/>
    <row r="192" ht="21" customHeight="1"/>
    <row r="193" ht="21" customHeight="1"/>
    <row r="194" ht="21" customHeight="1"/>
    <row r="195" ht="21" customHeight="1"/>
    <row r="196" ht="21" customHeight="1"/>
    <row r="197" ht="21" customHeight="1"/>
    <row r="198" ht="21" customHeight="1"/>
    <row r="199" ht="21" customHeight="1"/>
    <row r="200" ht="21" customHeight="1"/>
    <row r="201" ht="21" customHeight="1"/>
    <row r="202" ht="21" customHeight="1"/>
    <row r="203" ht="21" customHeight="1"/>
    <row r="204" ht="21" customHeight="1"/>
    <row r="205" ht="21" customHeight="1"/>
    <row r="206" ht="21" customHeight="1"/>
    <row r="207" ht="21" customHeight="1"/>
    <row r="208" ht="21" customHeight="1"/>
    <row r="209" ht="21" customHeight="1"/>
    <row r="210" ht="21" customHeight="1"/>
    <row r="211" ht="21" customHeight="1"/>
    <row r="212" ht="21" customHeight="1"/>
    <row r="213" ht="21" customHeight="1"/>
    <row r="214" ht="21" customHeight="1"/>
    <row r="215" ht="21" customHeight="1"/>
    <row r="216" ht="21" customHeight="1"/>
    <row r="217" ht="21" customHeight="1"/>
    <row r="218" ht="21" customHeight="1"/>
    <row r="219" ht="21" customHeight="1"/>
    <row r="220" ht="21" customHeight="1"/>
    <row r="221" ht="21" customHeight="1"/>
    <row r="222" ht="21" customHeight="1"/>
    <row r="223" ht="21" customHeight="1"/>
    <row r="224" ht="21" customHeight="1"/>
    <row r="225" ht="21" customHeight="1"/>
    <row r="226" ht="21" customHeight="1"/>
    <row r="227" ht="21" customHeight="1"/>
    <row r="228" ht="21" customHeight="1"/>
    <row r="229" ht="21" customHeight="1"/>
    <row r="230" ht="21" customHeight="1"/>
    <row r="231" ht="21" customHeight="1"/>
    <row r="232" ht="21" customHeight="1"/>
    <row r="233" ht="21" customHeight="1"/>
    <row r="234" ht="21" customHeight="1"/>
    <row r="235" ht="21" customHeight="1"/>
    <row r="236" ht="21" customHeight="1"/>
    <row r="237" ht="21" customHeight="1"/>
    <row r="238" ht="21" customHeight="1"/>
    <row r="239" ht="21" customHeight="1"/>
    <row r="240" ht="21" customHeight="1"/>
    <row r="241" ht="21" customHeight="1"/>
    <row r="242" ht="21" customHeight="1"/>
    <row r="243" ht="21" customHeight="1"/>
    <row r="244" ht="21" customHeight="1"/>
    <row r="245" ht="21" customHeight="1"/>
    <row r="246" ht="21" customHeight="1"/>
    <row r="247" ht="21" customHeight="1"/>
    <row r="248" ht="21" customHeight="1"/>
    <row r="249" ht="21" customHeight="1"/>
    <row r="250" ht="21" customHeight="1"/>
    <row r="251" ht="21" customHeight="1"/>
    <row r="252" ht="21" customHeight="1"/>
    <row r="253" ht="21" customHeight="1"/>
    <row r="254" ht="21" customHeight="1"/>
    <row r="255" ht="21" customHeight="1"/>
    <row r="256" ht="21" customHeight="1"/>
    <row r="257" ht="21" customHeight="1"/>
    <row r="258" ht="21" customHeight="1"/>
    <row r="259" ht="21" customHeight="1"/>
    <row r="260" ht="21" customHeight="1"/>
    <row r="261" ht="21" customHeight="1"/>
    <row r="262" ht="21" customHeight="1"/>
    <row r="263" ht="21" customHeight="1"/>
    <row r="264" ht="21" customHeight="1"/>
    <row r="265" ht="21" customHeight="1"/>
    <row r="266" ht="21" customHeight="1"/>
    <row r="267" ht="21" customHeight="1"/>
    <row r="268" ht="21" customHeight="1"/>
    <row r="269" ht="21" customHeight="1"/>
    <row r="270" ht="21" customHeight="1"/>
    <row r="271" ht="21" customHeight="1"/>
    <row r="272" ht="21" customHeight="1"/>
    <row r="273" ht="21" customHeight="1"/>
    <row r="274" ht="21" customHeight="1"/>
    <row r="275" ht="21" customHeight="1"/>
    <row r="276" ht="21" customHeight="1"/>
    <row r="277" ht="21" customHeight="1"/>
    <row r="278" ht="21" customHeight="1"/>
    <row r="279" ht="21" customHeight="1"/>
    <row r="280" ht="21" customHeight="1"/>
    <row r="281" ht="21" customHeight="1"/>
    <row r="282" ht="21" customHeight="1"/>
    <row r="283" ht="21" customHeight="1"/>
    <row r="284" ht="21" customHeight="1"/>
    <row r="285" ht="21" customHeight="1"/>
    <row r="286" ht="21" customHeight="1"/>
    <row r="287" ht="21" customHeight="1"/>
    <row r="288" ht="21" customHeight="1"/>
    <row r="289" ht="21" customHeight="1"/>
    <row r="290" ht="21" customHeight="1"/>
    <row r="291" ht="21" customHeight="1"/>
    <row r="292" ht="21" customHeight="1"/>
    <row r="293" ht="21" customHeight="1"/>
    <row r="294" ht="21" customHeight="1"/>
    <row r="295" ht="21" customHeight="1"/>
    <row r="296" ht="21" customHeight="1"/>
    <row r="297" ht="21" customHeight="1"/>
    <row r="298" ht="21" customHeight="1"/>
    <row r="299" ht="21" customHeight="1"/>
    <row r="300" ht="21" customHeight="1"/>
    <row r="301" ht="21" customHeight="1"/>
    <row r="302" ht="21" customHeight="1"/>
    <row r="303" ht="21" customHeight="1"/>
    <row r="304" ht="21" customHeight="1"/>
    <row r="305" ht="21" customHeight="1"/>
    <row r="306" ht="21" customHeight="1"/>
    <row r="307" ht="21" customHeight="1"/>
    <row r="308" ht="21" customHeight="1"/>
    <row r="309" ht="21" customHeight="1"/>
    <row r="310" ht="21" customHeight="1"/>
    <row r="311" ht="21" customHeight="1"/>
    <row r="312" ht="21" customHeight="1"/>
    <row r="313" ht="21" customHeight="1"/>
    <row r="314" ht="21" customHeight="1"/>
    <row r="315" ht="21" customHeight="1"/>
    <row r="316" ht="21" customHeight="1"/>
    <row r="317" ht="21" customHeight="1"/>
    <row r="318" ht="21" customHeight="1"/>
    <row r="319" ht="21" customHeight="1"/>
    <row r="320" ht="21" customHeight="1"/>
    <row r="321" ht="21" customHeight="1"/>
    <row r="322" ht="21" customHeight="1"/>
    <row r="323" ht="21" customHeight="1"/>
    <row r="324" ht="21" customHeight="1"/>
    <row r="325" ht="21" customHeight="1"/>
    <row r="326" ht="21" customHeight="1"/>
    <row r="327" ht="21" customHeight="1"/>
    <row r="328" ht="21" customHeight="1"/>
    <row r="329" ht="21" customHeight="1"/>
    <row r="330" ht="21" customHeight="1"/>
    <row r="331" ht="21" customHeight="1"/>
    <row r="332" ht="21" customHeight="1"/>
    <row r="333" ht="21" customHeight="1"/>
    <row r="334" ht="21" customHeight="1"/>
    <row r="335" ht="21" customHeight="1"/>
    <row r="336" ht="21" customHeight="1"/>
    <row r="337" ht="21" customHeight="1"/>
    <row r="338" ht="21" customHeight="1"/>
    <row r="339" ht="21" customHeight="1"/>
    <row r="340" ht="21" customHeight="1"/>
    <row r="341" ht="21" customHeight="1"/>
    <row r="342" ht="21" customHeight="1"/>
    <row r="343" ht="21" customHeight="1"/>
    <row r="344" ht="21" customHeight="1"/>
    <row r="345" ht="21" customHeight="1"/>
    <row r="346" ht="21" customHeight="1"/>
    <row r="347" ht="21" customHeight="1"/>
    <row r="348" ht="21" customHeight="1"/>
    <row r="349" ht="21" customHeight="1"/>
    <row r="350" ht="21" customHeight="1"/>
    <row r="351" ht="21" customHeight="1"/>
    <row r="352" ht="21" customHeight="1"/>
    <row r="353" ht="21" customHeight="1"/>
    <row r="354" ht="21" customHeight="1"/>
    <row r="355" ht="21" customHeight="1"/>
    <row r="356" ht="21" customHeight="1"/>
    <row r="357" ht="21" customHeight="1"/>
    <row r="358" ht="21" customHeight="1"/>
    <row r="359" ht="21" customHeight="1"/>
    <row r="360" ht="21" customHeight="1"/>
    <row r="361" ht="21" customHeight="1"/>
    <row r="362" ht="21" customHeight="1"/>
    <row r="363" ht="21" customHeight="1"/>
    <row r="364" ht="21" customHeight="1"/>
    <row r="365" ht="21" customHeight="1"/>
    <row r="366" ht="21" customHeight="1"/>
    <row r="367" ht="21" customHeight="1"/>
    <row r="368" ht="21" customHeight="1"/>
    <row r="369" ht="21" customHeight="1"/>
    <row r="370" ht="21" customHeight="1"/>
    <row r="371" ht="21" customHeight="1"/>
    <row r="372" ht="21" customHeight="1"/>
    <row r="373" ht="21" customHeight="1"/>
    <row r="374" ht="21" customHeight="1"/>
    <row r="375" ht="21" customHeight="1"/>
    <row r="376" ht="21" customHeight="1"/>
    <row r="377" ht="21" customHeight="1"/>
    <row r="378" ht="21" customHeight="1"/>
    <row r="379" ht="21" customHeight="1"/>
    <row r="380" ht="21" customHeight="1"/>
    <row r="381" ht="21" customHeight="1"/>
    <row r="382" ht="21" customHeight="1"/>
    <row r="383" ht="21" customHeight="1"/>
    <row r="384" ht="21" customHeight="1"/>
    <row r="385" ht="21" customHeight="1"/>
    <row r="386" ht="21" customHeight="1"/>
    <row r="387" ht="21" customHeight="1"/>
    <row r="388" ht="21" customHeight="1"/>
    <row r="389" ht="21" customHeight="1"/>
    <row r="390" ht="21" customHeight="1"/>
    <row r="391" ht="21" customHeight="1"/>
    <row r="392" ht="21" customHeight="1"/>
    <row r="393" ht="21" customHeight="1"/>
    <row r="394" ht="21" customHeight="1"/>
    <row r="395" ht="21" customHeight="1"/>
    <row r="396" ht="21" customHeight="1"/>
    <row r="397" ht="21" customHeight="1"/>
    <row r="398" ht="21" customHeight="1"/>
    <row r="399" ht="21" customHeight="1"/>
    <row r="400" ht="21" customHeight="1"/>
    <row r="401" ht="21" customHeight="1"/>
    <row r="402" ht="21" customHeight="1"/>
    <row r="403" ht="21" customHeight="1"/>
    <row r="404" ht="21" customHeight="1"/>
    <row r="405" ht="21" customHeight="1"/>
    <row r="406" ht="21" customHeight="1"/>
    <row r="407" ht="21" customHeight="1"/>
    <row r="408" ht="21" customHeight="1"/>
    <row r="409" ht="21" customHeight="1"/>
    <row r="410" ht="21" customHeight="1"/>
    <row r="411" ht="21" customHeight="1"/>
    <row r="412" ht="21" customHeight="1"/>
    <row r="413" ht="21" customHeight="1"/>
    <row r="414" ht="21" customHeight="1"/>
    <row r="415" ht="21" customHeight="1"/>
    <row r="416" ht="21" customHeight="1"/>
    <row r="417" ht="21" customHeight="1"/>
    <row r="418" ht="21" customHeight="1"/>
    <row r="419" ht="21" customHeight="1"/>
    <row r="420" ht="21" customHeight="1"/>
    <row r="421" ht="21" customHeight="1"/>
    <row r="422" ht="21" customHeight="1"/>
    <row r="423" ht="21" customHeight="1"/>
    <row r="424" ht="21" customHeight="1"/>
    <row r="425" ht="21" customHeight="1"/>
    <row r="426" ht="21" customHeight="1"/>
    <row r="427" ht="21" customHeight="1"/>
    <row r="428" ht="21" customHeight="1"/>
    <row r="429" ht="21" customHeight="1"/>
    <row r="430" ht="21" customHeight="1"/>
    <row r="431" ht="21" customHeight="1"/>
    <row r="432" ht="21" customHeight="1"/>
    <row r="433" ht="21" customHeight="1"/>
    <row r="434" ht="21" customHeight="1"/>
    <row r="435" ht="21" customHeight="1"/>
    <row r="436" ht="21" customHeight="1"/>
    <row r="437" ht="21" customHeight="1"/>
    <row r="438" ht="21" customHeight="1"/>
    <row r="439" ht="21" customHeight="1"/>
    <row r="440" ht="21" customHeight="1"/>
    <row r="441" ht="21" customHeight="1"/>
    <row r="442" ht="21" customHeight="1"/>
    <row r="443" ht="21" customHeight="1"/>
    <row r="444" ht="21" customHeight="1"/>
    <row r="445" ht="21" customHeight="1"/>
    <row r="446" ht="21" customHeight="1"/>
    <row r="447" ht="21" customHeight="1"/>
    <row r="448" ht="21" customHeight="1"/>
    <row r="449" ht="21" customHeight="1"/>
    <row r="450" ht="21" customHeight="1"/>
    <row r="451" ht="21" customHeight="1"/>
    <row r="452" ht="21" customHeight="1"/>
    <row r="453" ht="21" customHeight="1"/>
    <row r="454" ht="21" customHeight="1"/>
    <row r="455" ht="21" customHeight="1"/>
    <row r="456" ht="21" customHeight="1"/>
    <row r="457" ht="21" customHeight="1"/>
    <row r="458" ht="21" customHeight="1"/>
    <row r="459" ht="21" customHeight="1"/>
    <row r="460" ht="21" customHeight="1"/>
    <row r="461" ht="21" customHeight="1"/>
    <row r="462" ht="21" customHeight="1"/>
    <row r="463" ht="21" customHeight="1"/>
    <row r="464" ht="21" customHeight="1"/>
    <row r="465" ht="21" customHeight="1"/>
    <row r="466" ht="21" customHeight="1"/>
    <row r="467" ht="21" customHeight="1"/>
    <row r="468" ht="21" customHeight="1"/>
    <row r="469" ht="21" customHeight="1"/>
    <row r="470" ht="21" customHeight="1"/>
    <row r="471" ht="21" customHeight="1"/>
    <row r="472" ht="21" customHeight="1"/>
    <row r="473" ht="21" customHeight="1"/>
    <row r="474" ht="21" customHeight="1"/>
    <row r="475" ht="21" customHeight="1"/>
    <row r="476" ht="21" customHeight="1"/>
    <row r="477" ht="21" customHeight="1"/>
    <row r="478" ht="21" customHeight="1"/>
    <row r="479" ht="21" customHeight="1"/>
    <row r="480" ht="21" customHeight="1"/>
    <row r="481" ht="21" customHeight="1"/>
    <row r="482" ht="21" customHeight="1"/>
    <row r="483" ht="21" customHeight="1"/>
    <row r="484" ht="21" customHeight="1"/>
    <row r="485" ht="21" customHeight="1"/>
    <row r="486" ht="21" customHeight="1"/>
    <row r="487" ht="21" customHeight="1"/>
    <row r="488" ht="21" customHeight="1"/>
    <row r="489" ht="21" customHeight="1"/>
    <row r="490" ht="21" customHeight="1"/>
    <row r="491" ht="21" customHeight="1"/>
    <row r="492" ht="21" customHeight="1"/>
    <row r="493" ht="21" customHeight="1"/>
    <row r="494" ht="21" customHeight="1"/>
    <row r="495" ht="21" customHeight="1"/>
    <row r="496" ht="21" customHeight="1"/>
    <row r="497" ht="21" customHeight="1"/>
    <row r="498" ht="21" customHeight="1"/>
    <row r="499" ht="21" customHeight="1"/>
    <row r="500" ht="21" customHeight="1"/>
    <row r="501" ht="21" customHeight="1"/>
    <row r="502" ht="21" customHeight="1"/>
    <row r="503" ht="21" customHeight="1"/>
    <row r="504" ht="21" customHeight="1"/>
    <row r="505" ht="21" customHeight="1"/>
    <row r="506" ht="21" customHeight="1"/>
    <row r="507" ht="21" customHeight="1"/>
    <row r="508" ht="21" customHeight="1"/>
    <row r="509" ht="21" customHeight="1"/>
    <row r="510" ht="21" customHeight="1"/>
    <row r="511" ht="21" customHeight="1"/>
    <row r="512" ht="21" customHeight="1"/>
    <row r="513" ht="21" customHeight="1"/>
    <row r="514" ht="21" customHeight="1"/>
    <row r="515" ht="21" customHeight="1"/>
    <row r="516" ht="21" customHeight="1"/>
    <row r="517" ht="21" customHeight="1"/>
    <row r="518" ht="21" customHeight="1"/>
    <row r="519" ht="21" customHeight="1"/>
    <row r="520" ht="21" customHeight="1"/>
    <row r="521" ht="21" customHeight="1"/>
    <row r="522" ht="21" customHeight="1"/>
    <row r="523" ht="21" customHeight="1"/>
    <row r="524" ht="21" customHeight="1"/>
    <row r="525" ht="21" customHeight="1"/>
    <row r="526" ht="21" customHeight="1"/>
    <row r="527" ht="21" customHeight="1"/>
    <row r="528" ht="21" customHeight="1"/>
    <row r="529" ht="21" customHeight="1"/>
    <row r="530" ht="21" customHeight="1"/>
    <row r="531" ht="21" customHeight="1"/>
    <row r="532" ht="21" customHeight="1"/>
    <row r="533" ht="21" customHeight="1"/>
    <row r="534" ht="21" customHeight="1"/>
    <row r="535" ht="21" customHeight="1"/>
    <row r="536" ht="21" customHeight="1"/>
    <row r="537" ht="21" customHeight="1"/>
    <row r="538" ht="21" customHeight="1"/>
    <row r="539" ht="21" customHeight="1"/>
    <row r="540" ht="21" customHeight="1"/>
    <row r="541" ht="21" customHeight="1"/>
    <row r="542" ht="21" customHeight="1"/>
    <row r="543" ht="21" customHeight="1"/>
    <row r="544" ht="21" customHeight="1"/>
    <row r="545" ht="21" customHeight="1"/>
    <row r="546" ht="21" customHeight="1"/>
    <row r="547" ht="21" customHeight="1"/>
    <row r="548" ht="21" customHeight="1"/>
    <row r="549" ht="21" customHeight="1"/>
    <row r="550" ht="21" customHeight="1"/>
    <row r="551" ht="21" customHeight="1"/>
    <row r="552" ht="21" customHeight="1"/>
    <row r="553" ht="21" customHeight="1"/>
    <row r="554" ht="21" customHeight="1"/>
    <row r="555" ht="21" customHeight="1"/>
    <row r="556" ht="21" customHeight="1"/>
    <row r="557" ht="21" customHeight="1"/>
    <row r="558" ht="21" customHeight="1"/>
    <row r="559" ht="21" customHeight="1"/>
    <row r="560" ht="21" customHeight="1"/>
    <row r="561" ht="21" customHeight="1"/>
    <row r="562" ht="21" customHeight="1"/>
    <row r="563" ht="21" customHeight="1"/>
    <row r="564" ht="21" customHeight="1"/>
    <row r="565" ht="21" customHeight="1"/>
    <row r="566" ht="21" customHeight="1"/>
    <row r="567" ht="21" customHeight="1"/>
    <row r="568" ht="21" customHeight="1"/>
    <row r="569" ht="21" customHeight="1"/>
    <row r="570" ht="21" customHeight="1"/>
    <row r="571" ht="21" customHeight="1"/>
    <row r="572" ht="21" customHeight="1"/>
    <row r="573" ht="21" customHeight="1"/>
    <row r="574" ht="21" customHeight="1"/>
    <row r="575" ht="21" customHeight="1"/>
    <row r="576" ht="21" customHeight="1"/>
    <row r="577" ht="21" customHeight="1"/>
    <row r="578" ht="21" customHeight="1"/>
    <row r="579" ht="21" customHeight="1"/>
    <row r="580" ht="21" customHeight="1"/>
    <row r="581" ht="21" customHeight="1"/>
    <row r="582" ht="21" customHeight="1"/>
    <row r="583" ht="21" customHeight="1"/>
    <row r="584" ht="21" customHeight="1"/>
    <row r="585" ht="21" customHeight="1"/>
    <row r="586" ht="21" customHeight="1"/>
    <row r="587" ht="21" customHeight="1"/>
    <row r="588" ht="21" customHeight="1"/>
    <row r="589" ht="21" customHeight="1"/>
    <row r="590" ht="21" customHeight="1"/>
    <row r="591" ht="21" customHeight="1"/>
    <row r="592" ht="21" customHeight="1"/>
    <row r="593" ht="21" customHeight="1"/>
    <row r="594" ht="21" customHeight="1"/>
    <row r="595" ht="21" customHeight="1"/>
    <row r="596" ht="21" customHeight="1"/>
    <row r="597" ht="21" customHeight="1"/>
    <row r="598" ht="21" customHeight="1"/>
    <row r="599" ht="21" customHeight="1"/>
    <row r="600" ht="21" customHeight="1"/>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600"/>
  <sheetViews>
    <sheetView showGridLines="0" workbookViewId="0">
      <pane ySplit="1" topLeftCell="A2" activePane="bottomLeft" state="frozen"/>
      <selection pane="bottomLeft"/>
    </sheetView>
  </sheetViews>
  <sheetFormatPr defaultRowHeight="14.25"/>
  <cols>
    <col min="1" max="1" width="20" customWidth="1"/>
    <col min="2" max="2" width="62" customWidth="1"/>
    <col min="3" max="3" width="20" customWidth="1"/>
    <col min="4" max="4" width="75" customWidth="1"/>
    <col min="5" max="5" width="20" customWidth="1"/>
    <col min="6" max="6" width="27" customWidth="1"/>
    <col min="7" max="7" width="20" customWidth="1"/>
  </cols>
  <sheetData>
    <row r="1" spans="1:16" ht="21" customHeight="1">
      <c r="A1" s="6" t="s">
        <v>535</v>
      </c>
      <c r="B1" s="6" t="s">
        <v>40</v>
      </c>
      <c r="C1" s="6" t="s">
        <v>536</v>
      </c>
      <c r="D1" s="6" t="s">
        <v>537</v>
      </c>
      <c r="E1" s="6" t="s">
        <v>538</v>
      </c>
      <c r="F1" s="6" t="s">
        <v>539</v>
      </c>
      <c r="G1" s="2"/>
      <c r="H1" s="2"/>
      <c r="I1" s="2"/>
      <c r="J1" s="2"/>
      <c r="K1" s="2"/>
      <c r="L1" s="2"/>
      <c r="M1" s="2"/>
      <c r="N1" s="2"/>
      <c r="O1" s="2"/>
      <c r="P1" s="2"/>
    </row>
    <row r="2" spans="1:16" ht="21" customHeight="1">
      <c r="A2" s="2" t="s">
        <v>47</v>
      </c>
      <c r="B2" s="2" t="s">
        <v>51</v>
      </c>
      <c r="C2" s="2" t="s">
        <v>540</v>
      </c>
      <c r="D2" s="2" t="s">
        <v>457</v>
      </c>
      <c r="E2" s="2">
        <v>200</v>
      </c>
      <c r="F2" s="13">
        <v>46307.35292824074</v>
      </c>
      <c r="G2" s="2"/>
      <c r="H2" s="2"/>
      <c r="I2" s="2"/>
      <c r="J2" s="2"/>
      <c r="K2" s="2"/>
      <c r="L2" s="2"/>
      <c r="M2" s="2"/>
      <c r="N2" s="2"/>
      <c r="O2" s="2"/>
      <c r="P2" s="2"/>
    </row>
    <row r="3" spans="1:16" ht="21" customHeight="1">
      <c r="A3" s="2" t="s">
        <v>56</v>
      </c>
      <c r="B3" s="2" t="s">
        <v>59</v>
      </c>
      <c r="C3" s="2" t="s">
        <v>540</v>
      </c>
      <c r="D3" s="2"/>
      <c r="E3" s="2">
        <v>200</v>
      </c>
      <c r="F3" s="13">
        <v>46307.35292824074</v>
      </c>
      <c r="G3" s="2"/>
      <c r="H3" s="2"/>
      <c r="I3" s="2"/>
      <c r="J3" s="2"/>
      <c r="K3" s="2"/>
      <c r="L3" s="2"/>
      <c r="M3" s="2"/>
      <c r="N3" s="2"/>
      <c r="O3" s="2"/>
      <c r="P3" s="2"/>
    </row>
    <row r="4" spans="1:16" ht="21" customHeight="1">
      <c r="A4" s="2" t="s">
        <v>62</v>
      </c>
      <c r="B4" s="2" t="s">
        <v>65</v>
      </c>
      <c r="C4" s="2" t="s">
        <v>540</v>
      </c>
      <c r="D4" s="2" t="s">
        <v>543</v>
      </c>
      <c r="E4" s="2">
        <v>200</v>
      </c>
      <c r="F4" s="13">
        <v>46307.35292824074</v>
      </c>
      <c r="G4" s="2"/>
      <c r="H4" s="2"/>
      <c r="I4" s="2"/>
      <c r="J4" s="2"/>
      <c r="K4" s="2"/>
      <c r="L4" s="2"/>
      <c r="M4" s="2"/>
      <c r="N4" s="2"/>
      <c r="O4" s="2"/>
      <c r="P4" s="2"/>
    </row>
    <row r="5" spans="1:16" ht="21" customHeight="1">
      <c r="A5" s="2" t="s">
        <v>68</v>
      </c>
      <c r="B5" s="2" t="s">
        <v>71</v>
      </c>
      <c r="C5" s="2" t="s">
        <v>540</v>
      </c>
      <c r="D5" s="2"/>
      <c r="E5" s="2">
        <v>200</v>
      </c>
      <c r="F5" s="13">
        <v>46307.35292824074</v>
      </c>
      <c r="G5" s="2"/>
      <c r="H5" s="2"/>
      <c r="I5" s="2"/>
      <c r="J5" s="2"/>
      <c r="K5" s="2"/>
      <c r="L5" s="2"/>
      <c r="M5" s="2"/>
      <c r="N5" s="2"/>
      <c r="O5" s="2"/>
      <c r="P5" s="2"/>
    </row>
    <row r="6" spans="1:16" ht="21" customHeight="1">
      <c r="A6" s="2" t="s">
        <v>75</v>
      </c>
      <c r="B6" s="2" t="s">
        <v>78</v>
      </c>
      <c r="C6" s="2" t="s">
        <v>540</v>
      </c>
      <c r="D6" s="2"/>
      <c r="E6" s="2">
        <v>200</v>
      </c>
      <c r="F6" s="13">
        <v>46307.35292824074</v>
      </c>
      <c r="G6" s="2"/>
      <c r="H6" s="2"/>
      <c r="I6" s="2"/>
      <c r="J6" s="2"/>
      <c r="K6" s="2"/>
      <c r="L6" s="2"/>
      <c r="M6" s="2"/>
      <c r="N6" s="2"/>
      <c r="O6" s="2"/>
      <c r="P6" s="2"/>
    </row>
    <row r="7" spans="1:16" ht="21" customHeight="1">
      <c r="A7" s="2" t="s">
        <v>81</v>
      </c>
      <c r="B7" s="2" t="s">
        <v>84</v>
      </c>
      <c r="C7" s="2" t="s">
        <v>540</v>
      </c>
      <c r="D7" s="2" t="s">
        <v>541</v>
      </c>
      <c r="E7" s="2">
        <v>200</v>
      </c>
      <c r="F7" s="13">
        <v>46307.352939814817</v>
      </c>
      <c r="G7" s="2"/>
      <c r="H7" s="2"/>
      <c r="I7" s="2"/>
      <c r="J7" s="2"/>
      <c r="K7" s="2"/>
      <c r="L7" s="2"/>
      <c r="M7" s="2"/>
      <c r="N7" s="2"/>
      <c r="O7" s="2"/>
      <c r="P7" s="2"/>
    </row>
    <row r="8" spans="1:16" ht="21" customHeight="1">
      <c r="A8" s="2" t="s">
        <v>87</v>
      </c>
      <c r="B8" s="2" t="s">
        <v>90</v>
      </c>
      <c r="C8" s="2" t="s">
        <v>540</v>
      </c>
      <c r="D8" s="2"/>
      <c r="E8" s="2">
        <v>200</v>
      </c>
      <c r="F8" s="13">
        <v>46307.352939814817</v>
      </c>
      <c r="G8" s="2"/>
      <c r="H8" s="2"/>
      <c r="I8" s="2"/>
      <c r="J8" s="2"/>
      <c r="K8" s="2"/>
      <c r="L8" s="2"/>
      <c r="M8" s="2"/>
      <c r="N8" s="2"/>
      <c r="O8" s="2"/>
      <c r="P8" s="2"/>
    </row>
    <row r="9" spans="1:16" ht="21" customHeight="1">
      <c r="A9" s="2" t="s">
        <v>94</v>
      </c>
      <c r="B9" s="2" t="s">
        <v>97</v>
      </c>
      <c r="C9" s="2" t="s">
        <v>540</v>
      </c>
      <c r="D9" s="2"/>
      <c r="E9" s="2">
        <v>200</v>
      </c>
      <c r="F9" s="13">
        <v>46307.352939814817</v>
      </c>
      <c r="G9" s="2"/>
      <c r="H9" s="2"/>
      <c r="I9" s="2"/>
      <c r="J9" s="2"/>
      <c r="K9" s="2"/>
      <c r="L9" s="2"/>
      <c r="M9" s="2"/>
      <c r="N9" s="2"/>
      <c r="O9" s="2"/>
      <c r="P9" s="2"/>
    </row>
    <row r="10" spans="1:16" ht="21" customHeight="1">
      <c r="A10" s="2" t="s">
        <v>99</v>
      </c>
      <c r="B10" s="2" t="s">
        <v>101</v>
      </c>
      <c r="C10" s="2" t="s">
        <v>540</v>
      </c>
      <c r="D10" s="2"/>
      <c r="E10" s="2">
        <v>200</v>
      </c>
      <c r="F10" s="13">
        <v>46307.352939814817</v>
      </c>
      <c r="G10" s="2"/>
      <c r="H10" s="2"/>
      <c r="I10" s="2"/>
      <c r="J10" s="2"/>
      <c r="K10" s="2"/>
      <c r="L10" s="2"/>
      <c r="M10" s="2"/>
      <c r="N10" s="2"/>
      <c r="O10" s="2"/>
      <c r="P10" s="2"/>
    </row>
    <row r="11" spans="1:16" ht="21" customHeight="1">
      <c r="A11" s="2" t="s">
        <v>104</v>
      </c>
      <c r="B11" s="2" t="s">
        <v>107</v>
      </c>
      <c r="C11" s="2" t="s">
        <v>540</v>
      </c>
      <c r="D11" s="2"/>
      <c r="E11" s="2">
        <v>200</v>
      </c>
      <c r="F11" s="13">
        <v>46307.352939814817</v>
      </c>
      <c r="G11" s="2"/>
      <c r="H11" s="2"/>
      <c r="I11" s="2"/>
      <c r="J11" s="2"/>
      <c r="K11" s="2"/>
      <c r="L11" s="2"/>
      <c r="M11" s="2"/>
      <c r="N11" s="2"/>
      <c r="O11" s="2"/>
      <c r="P11" s="2"/>
    </row>
    <row r="12" spans="1:16" ht="21" customHeight="1">
      <c r="A12" s="2" t="s">
        <v>110</v>
      </c>
      <c r="B12" s="2" t="s">
        <v>114</v>
      </c>
      <c r="C12" s="2" t="s">
        <v>540</v>
      </c>
      <c r="D12" s="2"/>
      <c r="E12" s="2">
        <v>200</v>
      </c>
      <c r="F12" s="13">
        <v>46307.352939814817</v>
      </c>
      <c r="G12" s="2"/>
      <c r="H12" s="2"/>
      <c r="I12" s="2"/>
      <c r="J12" s="2"/>
      <c r="K12" s="2"/>
      <c r="L12" s="2"/>
      <c r="M12" s="2"/>
      <c r="N12" s="2"/>
      <c r="O12" s="2"/>
      <c r="P12" s="2"/>
    </row>
    <row r="13" spans="1:16" ht="21" customHeight="1">
      <c r="A13" s="2"/>
      <c r="B13" s="2"/>
      <c r="C13" s="2"/>
      <c r="D13" s="2"/>
      <c r="E13" s="2"/>
      <c r="F13" s="13"/>
      <c r="G13" s="2"/>
      <c r="H13" s="2"/>
      <c r="I13" s="2"/>
      <c r="J13" s="2"/>
      <c r="K13" s="2"/>
      <c r="L13" s="2"/>
      <c r="M13" s="2"/>
      <c r="N13" s="2"/>
      <c r="O13" s="2"/>
      <c r="P13" s="2"/>
    </row>
    <row r="14" spans="1:16" ht="21" customHeight="1">
      <c r="A14" s="2"/>
      <c r="B14" s="2"/>
      <c r="C14" s="2"/>
      <c r="D14" s="2"/>
      <c r="E14" s="2"/>
      <c r="F14" s="13"/>
      <c r="G14" s="2"/>
      <c r="H14" s="2"/>
      <c r="I14" s="2"/>
      <c r="J14" s="2"/>
      <c r="K14" s="2"/>
      <c r="L14" s="2"/>
      <c r="M14" s="2"/>
      <c r="N14" s="2"/>
      <c r="O14" s="2"/>
      <c r="P14" s="2"/>
    </row>
    <row r="15" spans="1:16" ht="21" customHeight="1">
      <c r="A15" s="2"/>
      <c r="B15" s="2"/>
      <c r="C15" s="2"/>
      <c r="D15" s="2"/>
      <c r="E15" s="2"/>
      <c r="F15" s="13"/>
      <c r="G15" s="2"/>
      <c r="H15" s="2"/>
      <c r="I15" s="2"/>
      <c r="J15" s="2"/>
      <c r="K15" s="2"/>
      <c r="L15" s="2"/>
      <c r="M15" s="2"/>
      <c r="N15" s="2"/>
      <c r="O15" s="2"/>
      <c r="P15" s="2"/>
    </row>
    <row r="16" spans="1:16" ht="21" customHeight="1">
      <c r="A16" s="2"/>
      <c r="B16" s="2"/>
      <c r="C16" s="2"/>
      <c r="D16" s="2"/>
      <c r="E16" s="2"/>
      <c r="F16" s="13"/>
      <c r="G16" s="2"/>
      <c r="H16" s="2"/>
      <c r="I16" s="2"/>
      <c r="J16" s="2"/>
      <c r="K16" s="2"/>
      <c r="L16" s="2"/>
      <c r="M16" s="2"/>
      <c r="N16" s="2"/>
      <c r="O16" s="2"/>
      <c r="P16" s="2"/>
    </row>
    <row r="17" spans="1:16" ht="21" customHeight="1">
      <c r="A17" s="2"/>
      <c r="B17" s="2"/>
      <c r="C17" s="2"/>
      <c r="D17" s="2"/>
      <c r="E17" s="2"/>
      <c r="F17" s="13"/>
      <c r="G17" s="2"/>
      <c r="H17" s="2"/>
      <c r="I17" s="2"/>
      <c r="J17" s="2"/>
      <c r="K17" s="2"/>
      <c r="L17" s="2"/>
      <c r="M17" s="2"/>
      <c r="N17" s="2"/>
      <c r="O17" s="2"/>
      <c r="P17" s="2"/>
    </row>
    <row r="18" spans="1:16" ht="21" customHeight="1">
      <c r="A18" s="2"/>
      <c r="B18" s="2"/>
      <c r="C18" s="2"/>
      <c r="D18" s="2"/>
      <c r="E18" s="2"/>
      <c r="F18" s="13"/>
      <c r="G18" s="2"/>
      <c r="H18" s="2"/>
      <c r="I18" s="2"/>
      <c r="J18" s="2"/>
      <c r="K18" s="2"/>
      <c r="L18" s="2"/>
      <c r="M18" s="2"/>
      <c r="N18" s="2"/>
      <c r="O18" s="2"/>
      <c r="P18" s="2"/>
    </row>
    <row r="19" spans="1:16" ht="21" customHeight="1">
      <c r="A19" s="2"/>
      <c r="B19" s="2"/>
      <c r="C19" s="2"/>
      <c r="D19" s="2"/>
      <c r="E19" s="2"/>
      <c r="F19" s="13"/>
      <c r="G19" s="2"/>
      <c r="H19" s="2"/>
      <c r="I19" s="2"/>
      <c r="J19" s="2"/>
      <c r="K19" s="2"/>
      <c r="L19" s="2"/>
      <c r="M19" s="2"/>
      <c r="N19" s="2"/>
      <c r="O19" s="2"/>
      <c r="P19" s="2"/>
    </row>
    <row r="20" spans="1:16" ht="21" customHeight="1">
      <c r="A20" s="2"/>
      <c r="B20" s="2"/>
      <c r="C20" s="2"/>
      <c r="D20" s="2"/>
      <c r="E20" s="2"/>
      <c r="F20" s="13"/>
      <c r="G20" s="2"/>
      <c r="H20" s="2"/>
      <c r="I20" s="2"/>
      <c r="J20" s="2"/>
      <c r="K20" s="2"/>
      <c r="L20" s="2"/>
      <c r="M20" s="2"/>
      <c r="N20" s="2"/>
      <c r="O20" s="2"/>
      <c r="P20" s="2"/>
    </row>
    <row r="21" spans="1:16" ht="21" customHeight="1">
      <c r="A21" s="2"/>
      <c r="B21" s="2"/>
      <c r="C21" s="2"/>
      <c r="D21" s="2"/>
      <c r="E21" s="2"/>
      <c r="F21" s="13"/>
      <c r="G21" s="2"/>
      <c r="H21" s="2"/>
      <c r="I21" s="2"/>
      <c r="J21" s="2"/>
      <c r="K21" s="2"/>
      <c r="L21" s="2"/>
      <c r="M21" s="2"/>
      <c r="N21" s="2"/>
      <c r="O21" s="2"/>
      <c r="P21" s="2"/>
    </row>
    <row r="22" spans="1:16" ht="21" customHeight="1">
      <c r="A22" s="2"/>
      <c r="B22" s="2"/>
      <c r="C22" s="2"/>
      <c r="D22" s="2"/>
      <c r="E22" s="2"/>
      <c r="F22" s="13"/>
      <c r="G22" s="2"/>
      <c r="H22" s="2"/>
      <c r="I22" s="2"/>
      <c r="J22" s="2"/>
      <c r="K22" s="2"/>
      <c r="L22" s="2"/>
      <c r="M22" s="2"/>
      <c r="N22" s="2"/>
      <c r="O22" s="2"/>
      <c r="P22" s="2"/>
    </row>
    <row r="23" spans="1:16" ht="21" customHeight="1">
      <c r="A23" s="2"/>
      <c r="B23" s="2"/>
      <c r="C23" s="2"/>
      <c r="D23" s="2"/>
      <c r="E23" s="2"/>
      <c r="F23" s="13"/>
      <c r="G23" s="2"/>
      <c r="H23" s="2"/>
      <c r="I23" s="2"/>
      <c r="J23" s="2"/>
      <c r="K23" s="2"/>
      <c r="L23" s="2"/>
      <c r="M23" s="2"/>
      <c r="N23" s="2"/>
      <c r="O23" s="2"/>
      <c r="P23" s="2"/>
    </row>
    <row r="24" spans="1:16" ht="21" customHeight="1">
      <c r="A24" s="2"/>
      <c r="B24" s="2"/>
      <c r="C24" s="2"/>
      <c r="D24" s="2"/>
      <c r="E24" s="2"/>
      <c r="F24" s="13"/>
      <c r="G24" s="2"/>
      <c r="H24" s="2"/>
      <c r="I24" s="2"/>
      <c r="J24" s="2"/>
      <c r="K24" s="2"/>
      <c r="L24" s="2"/>
      <c r="M24" s="2"/>
      <c r="N24" s="2"/>
      <c r="O24" s="2"/>
      <c r="P24" s="2"/>
    </row>
    <row r="25" spans="1:16" ht="21" customHeight="1">
      <c r="A25" s="2"/>
      <c r="B25" s="2"/>
      <c r="C25" s="2"/>
      <c r="D25" s="2"/>
      <c r="E25" s="2"/>
      <c r="F25" s="13"/>
      <c r="G25" s="2"/>
      <c r="H25" s="2"/>
      <c r="I25" s="2"/>
      <c r="J25" s="2"/>
      <c r="K25" s="2"/>
      <c r="L25" s="2"/>
      <c r="M25" s="2"/>
      <c r="N25" s="2"/>
      <c r="O25" s="2"/>
      <c r="P25" s="2"/>
    </row>
    <row r="26" spans="1:16" ht="21" customHeight="1">
      <c r="A26" s="2"/>
      <c r="B26" s="2"/>
      <c r="C26" s="2"/>
      <c r="D26" s="2"/>
      <c r="E26" s="2"/>
      <c r="F26" s="13"/>
      <c r="G26" s="2"/>
      <c r="H26" s="2"/>
      <c r="I26" s="2"/>
      <c r="J26" s="2"/>
      <c r="K26" s="2"/>
      <c r="L26" s="2"/>
      <c r="M26" s="2"/>
      <c r="N26" s="2"/>
      <c r="O26" s="2"/>
      <c r="P26" s="2"/>
    </row>
    <row r="27" spans="1:16" ht="21" customHeight="1">
      <c r="A27" s="2"/>
      <c r="B27" s="2"/>
      <c r="C27" s="2"/>
      <c r="D27" s="2"/>
      <c r="E27" s="2"/>
      <c r="F27" s="13"/>
      <c r="G27" s="2"/>
      <c r="H27" s="2"/>
      <c r="I27" s="2"/>
      <c r="J27" s="2"/>
      <c r="K27" s="2"/>
      <c r="L27" s="2"/>
      <c r="M27" s="2"/>
      <c r="N27" s="2"/>
      <c r="O27" s="2"/>
      <c r="P27" s="2"/>
    </row>
    <row r="28" spans="1:16" ht="21" customHeight="1">
      <c r="A28" s="2"/>
      <c r="B28" s="2"/>
      <c r="C28" s="2"/>
      <c r="D28" s="2"/>
      <c r="E28" s="2"/>
      <c r="F28" s="13"/>
      <c r="G28" s="2"/>
      <c r="H28" s="2"/>
      <c r="I28" s="2"/>
      <c r="J28" s="2"/>
      <c r="K28" s="2"/>
      <c r="L28" s="2"/>
      <c r="M28" s="2"/>
      <c r="N28" s="2"/>
      <c r="O28" s="2"/>
      <c r="P28" s="2"/>
    </row>
    <row r="29" spans="1:16" ht="21" customHeight="1">
      <c r="A29" s="2"/>
      <c r="B29" s="2"/>
      <c r="C29" s="2"/>
      <c r="D29" s="2"/>
      <c r="E29" s="2"/>
      <c r="F29" s="13"/>
      <c r="G29" s="2"/>
      <c r="H29" s="2"/>
      <c r="I29" s="2"/>
      <c r="J29" s="2"/>
      <c r="K29" s="2"/>
      <c r="L29" s="2"/>
      <c r="M29" s="2"/>
      <c r="N29" s="2"/>
      <c r="O29" s="2"/>
      <c r="P29" s="2"/>
    </row>
    <row r="30" spans="1:16" ht="21" customHeight="1">
      <c r="A30" s="2"/>
      <c r="B30" s="2"/>
      <c r="C30" s="2"/>
      <c r="D30" s="2"/>
      <c r="E30" s="2"/>
      <c r="F30" s="13"/>
      <c r="G30" s="2"/>
      <c r="H30" s="2"/>
      <c r="I30" s="2"/>
      <c r="J30" s="2"/>
      <c r="K30" s="2"/>
      <c r="L30" s="2"/>
      <c r="M30" s="2"/>
      <c r="N30" s="2"/>
      <c r="O30" s="2"/>
      <c r="P30" s="2"/>
    </row>
    <row r="31" spans="1:16" ht="21" customHeight="1">
      <c r="A31" s="2"/>
      <c r="B31" s="2"/>
      <c r="C31" s="2"/>
      <c r="D31" s="2"/>
      <c r="E31" s="2"/>
      <c r="F31" s="13"/>
      <c r="G31" s="2"/>
      <c r="H31" s="2"/>
      <c r="I31" s="2"/>
      <c r="J31" s="2"/>
      <c r="K31" s="2"/>
      <c r="L31" s="2"/>
      <c r="M31" s="2"/>
      <c r="N31" s="2"/>
      <c r="O31" s="2"/>
      <c r="P31" s="2"/>
    </row>
    <row r="32" spans="1:16" ht="21" customHeight="1">
      <c r="A32" s="2"/>
      <c r="B32" s="2"/>
      <c r="C32" s="2"/>
      <c r="D32" s="2"/>
      <c r="E32" s="2"/>
      <c r="F32" s="13"/>
      <c r="G32" s="2"/>
      <c r="H32" s="2"/>
      <c r="I32" s="2"/>
      <c r="J32" s="2"/>
      <c r="K32" s="2"/>
      <c r="L32" s="2"/>
      <c r="M32" s="2"/>
      <c r="N32" s="2"/>
      <c r="O32" s="2"/>
      <c r="P32" s="2"/>
    </row>
    <row r="33" spans="1:16" ht="21" customHeight="1">
      <c r="A33" s="2"/>
      <c r="B33" s="2"/>
      <c r="C33" s="2"/>
      <c r="D33" s="2"/>
      <c r="E33" s="2"/>
      <c r="F33" s="13"/>
      <c r="G33" s="2"/>
      <c r="H33" s="2"/>
      <c r="I33" s="2"/>
      <c r="J33" s="2"/>
      <c r="K33" s="2"/>
      <c r="L33" s="2"/>
      <c r="M33" s="2"/>
      <c r="N33" s="2"/>
      <c r="O33" s="2"/>
      <c r="P33" s="2"/>
    </row>
    <row r="34" spans="1:16" ht="21" customHeight="1">
      <c r="A34" s="2"/>
      <c r="B34" s="2"/>
      <c r="C34" s="2"/>
      <c r="D34" s="2"/>
      <c r="E34" s="2"/>
      <c r="F34" s="13"/>
      <c r="G34" s="2"/>
      <c r="H34" s="2"/>
      <c r="I34" s="2"/>
      <c r="J34" s="2"/>
      <c r="K34" s="2"/>
      <c r="L34" s="2"/>
      <c r="M34" s="2"/>
      <c r="N34" s="2"/>
      <c r="O34" s="2"/>
      <c r="P34" s="2"/>
    </row>
    <row r="35" spans="1:16" ht="21" customHeight="1">
      <c r="A35" s="2"/>
      <c r="B35" s="2"/>
      <c r="C35" s="2"/>
      <c r="D35" s="2"/>
      <c r="E35" s="2"/>
      <c r="F35" s="13"/>
      <c r="G35" s="2"/>
      <c r="H35" s="2"/>
      <c r="I35" s="2"/>
      <c r="J35" s="2"/>
      <c r="K35" s="2"/>
      <c r="L35" s="2"/>
      <c r="M35" s="2"/>
      <c r="N35" s="2"/>
      <c r="O35" s="2"/>
      <c r="P35" s="2"/>
    </row>
    <row r="36" spans="1:16" ht="21" customHeight="1">
      <c r="A36" s="2"/>
      <c r="B36" s="2"/>
      <c r="C36" s="2"/>
      <c r="D36" s="2"/>
      <c r="E36" s="2"/>
      <c r="F36" s="13"/>
      <c r="G36" s="2"/>
      <c r="H36" s="2"/>
      <c r="I36" s="2"/>
      <c r="J36" s="2"/>
      <c r="K36" s="2"/>
      <c r="L36" s="2"/>
      <c r="M36" s="2"/>
      <c r="N36" s="2"/>
      <c r="O36" s="2"/>
      <c r="P36" s="2"/>
    </row>
    <row r="37" spans="1:16" ht="21" customHeight="1">
      <c r="A37" s="2"/>
      <c r="B37" s="2"/>
      <c r="C37" s="2"/>
      <c r="D37" s="2"/>
      <c r="E37" s="2"/>
      <c r="F37" s="13"/>
      <c r="G37" s="2"/>
      <c r="H37" s="2"/>
      <c r="I37" s="2"/>
      <c r="J37" s="2"/>
      <c r="K37" s="2"/>
      <c r="L37" s="2"/>
      <c r="M37" s="2"/>
      <c r="N37" s="2"/>
      <c r="O37" s="2"/>
      <c r="P37" s="2"/>
    </row>
    <row r="38" spans="1:16" ht="21" customHeight="1">
      <c r="A38" s="2"/>
      <c r="B38" s="2"/>
      <c r="C38" s="2"/>
      <c r="D38" s="2"/>
      <c r="E38" s="2"/>
      <c r="F38" s="13"/>
      <c r="G38" s="2"/>
      <c r="H38" s="2"/>
      <c r="I38" s="2"/>
      <c r="J38" s="2"/>
      <c r="K38" s="2"/>
      <c r="L38" s="2"/>
      <c r="M38" s="2"/>
      <c r="N38" s="2"/>
      <c r="O38" s="2"/>
      <c r="P38" s="2"/>
    </row>
    <row r="39" spans="1:16" ht="21" customHeight="1">
      <c r="A39" s="2"/>
      <c r="B39" s="2"/>
      <c r="C39" s="2"/>
      <c r="D39" s="2"/>
      <c r="E39" s="2"/>
      <c r="F39" s="13"/>
      <c r="G39" s="2"/>
      <c r="H39" s="2"/>
      <c r="I39" s="2"/>
      <c r="J39" s="2"/>
      <c r="K39" s="2"/>
      <c r="L39" s="2"/>
      <c r="M39" s="2"/>
      <c r="N39" s="2"/>
      <c r="O39" s="2"/>
      <c r="P39" s="2"/>
    </row>
    <row r="40" spans="1:16" ht="21" customHeight="1">
      <c r="A40" s="2"/>
      <c r="B40" s="2"/>
      <c r="C40" s="2"/>
      <c r="D40" s="2"/>
      <c r="E40" s="2"/>
      <c r="F40" s="13"/>
      <c r="G40" s="2"/>
      <c r="H40" s="2"/>
      <c r="I40" s="2"/>
      <c r="J40" s="2"/>
      <c r="K40" s="2"/>
      <c r="L40" s="2"/>
      <c r="M40" s="2"/>
      <c r="N40" s="2"/>
      <c r="O40" s="2"/>
      <c r="P40" s="2"/>
    </row>
    <row r="41" spans="1:16" ht="21" customHeight="1">
      <c r="A41" s="2"/>
      <c r="B41" s="2"/>
      <c r="C41" s="2"/>
      <c r="D41" s="2"/>
      <c r="E41" s="2"/>
      <c r="F41" s="13"/>
      <c r="G41" s="2"/>
      <c r="H41" s="2"/>
      <c r="I41" s="2"/>
      <c r="J41" s="2"/>
      <c r="K41" s="2"/>
      <c r="L41" s="2"/>
      <c r="M41" s="2"/>
      <c r="N41" s="2"/>
      <c r="O41" s="2"/>
      <c r="P41" s="2"/>
    </row>
    <row r="42" spans="1:16" ht="21" customHeight="1">
      <c r="A42" s="2"/>
      <c r="B42" s="2"/>
      <c r="C42" s="2"/>
      <c r="D42" s="2"/>
      <c r="E42" s="2"/>
      <c r="F42" s="13"/>
      <c r="G42" s="2"/>
      <c r="H42" s="2"/>
      <c r="I42" s="2"/>
      <c r="J42" s="2"/>
      <c r="K42" s="2"/>
      <c r="L42" s="2"/>
      <c r="M42" s="2"/>
      <c r="N42" s="2"/>
      <c r="O42" s="2"/>
      <c r="P42" s="2"/>
    </row>
    <row r="43" spans="1:16" ht="21" customHeight="1">
      <c r="A43" s="2"/>
      <c r="B43" s="2"/>
      <c r="C43" s="2"/>
      <c r="D43" s="2"/>
      <c r="E43" s="2"/>
      <c r="F43" s="13"/>
      <c r="G43" s="2"/>
      <c r="H43" s="2"/>
      <c r="I43" s="2"/>
      <c r="J43" s="2"/>
      <c r="K43" s="2"/>
      <c r="L43" s="2"/>
      <c r="M43" s="2"/>
      <c r="N43" s="2"/>
      <c r="O43" s="2"/>
      <c r="P43" s="2"/>
    </row>
    <row r="44" spans="1:16" ht="21" customHeight="1">
      <c r="A44" s="2"/>
      <c r="B44" s="2"/>
      <c r="C44" s="2"/>
      <c r="D44" s="2"/>
      <c r="E44" s="2"/>
      <c r="F44" s="13"/>
      <c r="G44" s="2"/>
      <c r="H44" s="2"/>
      <c r="I44" s="2"/>
      <c r="J44" s="2"/>
      <c r="K44" s="2"/>
      <c r="L44" s="2"/>
      <c r="M44" s="2"/>
      <c r="N44" s="2"/>
      <c r="O44" s="2"/>
      <c r="P44" s="2"/>
    </row>
    <row r="45" spans="1:16" ht="21" customHeight="1">
      <c r="A45" s="2"/>
      <c r="B45" s="2"/>
      <c r="C45" s="2"/>
      <c r="D45" s="2"/>
      <c r="E45" s="2"/>
      <c r="F45" s="13"/>
      <c r="G45" s="2"/>
      <c r="H45" s="2"/>
      <c r="I45" s="2"/>
      <c r="J45" s="2"/>
      <c r="K45" s="2"/>
      <c r="L45" s="2"/>
      <c r="M45" s="2"/>
      <c r="N45" s="2"/>
      <c r="O45" s="2"/>
      <c r="P45" s="2"/>
    </row>
    <row r="46" spans="1:16" ht="21" customHeight="1">
      <c r="A46" s="2"/>
      <c r="B46" s="2"/>
      <c r="C46" s="2"/>
      <c r="D46" s="2"/>
      <c r="E46" s="2"/>
      <c r="F46" s="13"/>
      <c r="G46" s="2"/>
      <c r="H46" s="2"/>
      <c r="I46" s="2"/>
      <c r="J46" s="2"/>
      <c r="K46" s="2"/>
      <c r="L46" s="2"/>
      <c r="M46" s="2"/>
      <c r="N46" s="2"/>
      <c r="O46" s="2"/>
      <c r="P46" s="2"/>
    </row>
    <row r="47" spans="1:16" ht="21" customHeight="1">
      <c r="A47" s="2"/>
      <c r="B47" s="2"/>
      <c r="C47" s="2"/>
      <c r="D47" s="2"/>
      <c r="E47" s="2"/>
      <c r="F47" s="13"/>
      <c r="G47" s="2"/>
      <c r="H47" s="2"/>
      <c r="I47" s="2"/>
      <c r="J47" s="2"/>
      <c r="K47" s="2"/>
      <c r="L47" s="2"/>
      <c r="M47" s="2"/>
      <c r="N47" s="2"/>
      <c r="O47" s="2"/>
      <c r="P47" s="2"/>
    </row>
    <row r="48" spans="1:16" ht="21" customHeight="1">
      <c r="A48" s="2"/>
      <c r="B48" s="2"/>
      <c r="C48" s="2"/>
      <c r="D48" s="2"/>
      <c r="E48" s="2"/>
      <c r="F48" s="13"/>
      <c r="G48" s="2"/>
      <c r="H48" s="2"/>
      <c r="I48" s="2"/>
      <c r="J48" s="2"/>
      <c r="K48" s="2"/>
      <c r="L48" s="2"/>
      <c r="M48" s="2"/>
      <c r="N48" s="2"/>
      <c r="O48" s="2"/>
      <c r="P48" s="2"/>
    </row>
    <row r="49" spans="1:16" ht="21" customHeight="1">
      <c r="A49" s="2"/>
      <c r="B49" s="2"/>
      <c r="C49" s="2"/>
      <c r="D49" s="2"/>
      <c r="E49" s="2"/>
      <c r="F49" s="13"/>
      <c r="G49" s="2"/>
      <c r="H49" s="2"/>
      <c r="I49" s="2"/>
      <c r="J49" s="2"/>
      <c r="K49" s="2"/>
      <c r="L49" s="2"/>
      <c r="M49" s="2"/>
      <c r="N49" s="2"/>
      <c r="O49" s="2"/>
      <c r="P49" s="2"/>
    </row>
    <row r="50" spans="1:16" ht="21" customHeight="1">
      <c r="A50" s="2"/>
      <c r="B50" s="2"/>
      <c r="C50" s="2"/>
      <c r="D50" s="2"/>
      <c r="E50" s="2"/>
      <c r="F50" s="13"/>
      <c r="G50" s="2"/>
      <c r="H50" s="2"/>
      <c r="I50" s="2"/>
      <c r="J50" s="2"/>
      <c r="K50" s="2"/>
      <c r="L50" s="2"/>
      <c r="M50" s="2"/>
      <c r="N50" s="2"/>
      <c r="O50" s="2"/>
      <c r="P50" s="2"/>
    </row>
    <row r="51" spans="1:16" ht="21" customHeight="1">
      <c r="A51" s="2"/>
      <c r="B51" s="2"/>
      <c r="C51" s="2"/>
      <c r="D51" s="2"/>
      <c r="E51" s="2"/>
      <c r="F51" s="13"/>
      <c r="G51" s="2"/>
      <c r="H51" s="2"/>
      <c r="I51" s="2"/>
      <c r="J51" s="2"/>
      <c r="K51" s="2"/>
      <c r="L51" s="2"/>
      <c r="M51" s="2"/>
      <c r="N51" s="2"/>
      <c r="O51" s="2"/>
      <c r="P51" s="2"/>
    </row>
    <row r="52" spans="1:16" ht="21" customHeight="1">
      <c r="A52" s="2"/>
      <c r="B52" s="2"/>
      <c r="C52" s="2"/>
      <c r="D52" s="2"/>
      <c r="E52" s="2"/>
      <c r="F52" s="13"/>
      <c r="G52" s="2"/>
      <c r="H52" s="2"/>
      <c r="I52" s="2"/>
      <c r="J52" s="2"/>
      <c r="K52" s="2"/>
      <c r="L52" s="2"/>
      <c r="M52" s="2"/>
      <c r="N52" s="2"/>
      <c r="O52" s="2"/>
      <c r="P52" s="2"/>
    </row>
    <row r="53" spans="1:16" ht="21" customHeight="1">
      <c r="A53" s="2"/>
      <c r="B53" s="2"/>
      <c r="C53" s="2"/>
      <c r="D53" s="2"/>
      <c r="E53" s="2"/>
      <c r="F53" s="13"/>
      <c r="G53" s="2"/>
      <c r="H53" s="2"/>
      <c r="I53" s="2"/>
      <c r="J53" s="2"/>
      <c r="K53" s="2"/>
      <c r="L53" s="2"/>
      <c r="M53" s="2"/>
      <c r="N53" s="2"/>
      <c r="O53" s="2"/>
      <c r="P53" s="2"/>
    </row>
    <row r="54" spans="1:16" ht="21" customHeight="1">
      <c r="A54" s="2"/>
      <c r="B54" s="2"/>
      <c r="C54" s="2"/>
      <c r="D54" s="2"/>
      <c r="E54" s="2"/>
      <c r="F54" s="13"/>
      <c r="G54" s="2"/>
      <c r="H54" s="2"/>
      <c r="I54" s="2"/>
      <c r="J54" s="2"/>
      <c r="K54" s="2"/>
      <c r="L54" s="2"/>
      <c r="M54" s="2"/>
      <c r="N54" s="2"/>
      <c r="O54" s="2"/>
      <c r="P54" s="2"/>
    </row>
    <row r="55" spans="1:16" ht="21" customHeight="1">
      <c r="A55" s="2"/>
      <c r="B55" s="2"/>
      <c r="C55" s="2"/>
      <c r="D55" s="2"/>
      <c r="E55" s="2"/>
      <c r="F55" s="13"/>
      <c r="G55" s="2"/>
      <c r="H55" s="2"/>
      <c r="I55" s="2"/>
      <c r="J55" s="2"/>
      <c r="K55" s="2"/>
      <c r="L55" s="2"/>
      <c r="M55" s="2"/>
      <c r="N55" s="2"/>
      <c r="O55" s="2"/>
      <c r="P55" s="2"/>
    </row>
    <row r="56" spans="1:16" ht="21" customHeight="1">
      <c r="A56" s="2"/>
      <c r="B56" s="2"/>
      <c r="C56" s="2"/>
      <c r="D56" s="2"/>
      <c r="E56" s="2"/>
      <c r="F56" s="13"/>
      <c r="G56" s="2"/>
      <c r="H56" s="2"/>
      <c r="I56" s="2"/>
      <c r="J56" s="2"/>
      <c r="K56" s="2"/>
      <c r="L56" s="2"/>
      <c r="M56" s="2"/>
      <c r="N56" s="2"/>
      <c r="O56" s="2"/>
      <c r="P56" s="2"/>
    </row>
    <row r="57" spans="1:16" ht="21" customHeight="1">
      <c r="A57" s="2"/>
      <c r="B57" s="2"/>
      <c r="C57" s="2"/>
      <c r="D57" s="2"/>
      <c r="E57" s="2"/>
      <c r="F57" s="13"/>
      <c r="G57" s="2"/>
      <c r="H57" s="2"/>
      <c r="I57" s="2"/>
      <c r="J57" s="2"/>
      <c r="K57" s="2"/>
      <c r="L57" s="2"/>
      <c r="M57" s="2"/>
      <c r="N57" s="2"/>
      <c r="O57" s="2"/>
      <c r="P57" s="2"/>
    </row>
    <row r="58" spans="1:16" ht="21" customHeight="1">
      <c r="A58" s="2"/>
      <c r="B58" s="2"/>
      <c r="C58" s="2"/>
      <c r="D58" s="2"/>
      <c r="E58" s="2"/>
      <c r="F58" s="13"/>
      <c r="G58" s="2"/>
      <c r="H58" s="2"/>
      <c r="I58" s="2"/>
      <c r="J58" s="2"/>
      <c r="K58" s="2"/>
      <c r="L58" s="2"/>
      <c r="M58" s="2"/>
      <c r="N58" s="2"/>
      <c r="O58" s="2"/>
      <c r="P58" s="2"/>
    </row>
    <row r="59" spans="1:16" ht="21" customHeight="1">
      <c r="A59" s="2"/>
      <c r="B59" s="2"/>
      <c r="C59" s="2"/>
      <c r="D59" s="2"/>
      <c r="E59" s="2"/>
      <c r="F59" s="13"/>
      <c r="G59" s="2"/>
      <c r="H59" s="2"/>
      <c r="I59" s="2"/>
      <c r="J59" s="2"/>
      <c r="K59" s="2"/>
      <c r="L59" s="2"/>
      <c r="M59" s="2"/>
      <c r="N59" s="2"/>
      <c r="O59" s="2"/>
      <c r="P59" s="2"/>
    </row>
    <row r="60" spans="1:16" ht="21" customHeight="1">
      <c r="A60" s="2"/>
      <c r="B60" s="2"/>
      <c r="C60" s="2"/>
      <c r="D60" s="2"/>
      <c r="E60" s="2"/>
      <c r="F60" s="13"/>
      <c r="G60" s="2"/>
      <c r="H60" s="2"/>
      <c r="I60" s="2"/>
      <c r="J60" s="2"/>
      <c r="K60" s="2"/>
      <c r="L60" s="2"/>
      <c r="M60" s="2"/>
      <c r="N60" s="2"/>
      <c r="O60" s="2"/>
      <c r="P60" s="2"/>
    </row>
    <row r="61" spans="1:16" ht="21" customHeight="1">
      <c r="A61" s="2"/>
      <c r="B61" s="2"/>
      <c r="C61" s="2"/>
      <c r="D61" s="2"/>
      <c r="E61" s="2"/>
      <c r="F61" s="13"/>
      <c r="G61" s="2"/>
      <c r="H61" s="2"/>
      <c r="I61" s="2"/>
      <c r="J61" s="2"/>
      <c r="K61" s="2"/>
      <c r="L61" s="2"/>
      <c r="M61" s="2"/>
      <c r="N61" s="2"/>
      <c r="O61" s="2"/>
      <c r="P61" s="2"/>
    </row>
    <row r="62" spans="1:16" ht="21" customHeight="1">
      <c r="A62" s="2"/>
      <c r="B62" s="2"/>
      <c r="C62" s="2"/>
      <c r="D62" s="2"/>
      <c r="E62" s="2"/>
      <c r="F62" s="13"/>
      <c r="G62" s="2"/>
      <c r="H62" s="2"/>
      <c r="I62" s="2"/>
      <c r="J62" s="2"/>
      <c r="K62" s="2"/>
      <c r="L62" s="2"/>
      <c r="M62" s="2"/>
      <c r="N62" s="2"/>
      <c r="O62" s="2"/>
      <c r="P62" s="2"/>
    </row>
    <row r="63" spans="1:16" ht="21" customHeight="1">
      <c r="A63" s="2"/>
      <c r="B63" s="2"/>
      <c r="C63" s="2"/>
      <c r="D63" s="2"/>
      <c r="E63" s="2"/>
      <c r="F63" s="13"/>
      <c r="G63" s="2"/>
      <c r="H63" s="2"/>
      <c r="I63" s="2"/>
      <c r="J63" s="2"/>
      <c r="K63" s="2"/>
      <c r="L63" s="2"/>
      <c r="M63" s="2"/>
      <c r="N63" s="2"/>
      <c r="O63" s="2"/>
      <c r="P63" s="2"/>
    </row>
    <row r="64" spans="1:16" ht="21" customHeight="1">
      <c r="A64" s="2"/>
      <c r="B64" s="2"/>
      <c r="C64" s="2"/>
      <c r="D64" s="2"/>
      <c r="E64" s="2"/>
      <c r="F64" s="13"/>
      <c r="G64" s="2"/>
      <c r="H64" s="2"/>
      <c r="I64" s="2"/>
      <c r="J64" s="2"/>
      <c r="K64" s="2"/>
      <c r="L64" s="2"/>
      <c r="M64" s="2"/>
      <c r="N64" s="2"/>
      <c r="O64" s="2"/>
      <c r="P64" s="2"/>
    </row>
    <row r="65" spans="1:16" ht="21" customHeight="1">
      <c r="A65" s="2"/>
      <c r="B65" s="2"/>
      <c r="C65" s="2"/>
      <c r="D65" s="2"/>
      <c r="E65" s="2"/>
      <c r="F65" s="13"/>
      <c r="G65" s="2"/>
      <c r="H65" s="2"/>
      <c r="I65" s="2"/>
      <c r="J65" s="2"/>
      <c r="K65" s="2"/>
      <c r="L65" s="2"/>
      <c r="M65" s="2"/>
      <c r="N65" s="2"/>
      <c r="O65" s="2"/>
      <c r="P65" s="2"/>
    </row>
    <row r="66" spans="1:16" ht="21" customHeight="1">
      <c r="A66" s="2"/>
      <c r="B66" s="2"/>
      <c r="C66" s="2"/>
      <c r="D66" s="2"/>
      <c r="E66" s="2"/>
      <c r="F66" s="13"/>
      <c r="G66" s="2"/>
      <c r="H66" s="2"/>
      <c r="I66" s="2"/>
      <c r="J66" s="2"/>
      <c r="K66" s="2"/>
      <c r="L66" s="2"/>
      <c r="M66" s="2"/>
      <c r="N66" s="2"/>
      <c r="O66" s="2"/>
      <c r="P66" s="2"/>
    </row>
    <row r="67" spans="1:16" ht="21" customHeight="1">
      <c r="A67" s="2"/>
      <c r="B67" s="2"/>
      <c r="C67" s="2"/>
      <c r="D67" s="2"/>
      <c r="E67" s="2"/>
      <c r="F67" s="13"/>
      <c r="G67" s="2"/>
      <c r="H67" s="2"/>
      <c r="I67" s="2"/>
      <c r="J67" s="2"/>
      <c r="K67" s="2"/>
      <c r="L67" s="2"/>
      <c r="M67" s="2"/>
      <c r="N67" s="2"/>
      <c r="O67" s="2"/>
      <c r="P67" s="2"/>
    </row>
    <row r="68" spans="1:16" ht="21" customHeight="1">
      <c r="A68" s="2"/>
      <c r="B68" s="2"/>
      <c r="C68" s="2"/>
      <c r="D68" s="2"/>
      <c r="E68" s="2"/>
      <c r="F68" s="13"/>
      <c r="G68" s="2"/>
      <c r="H68" s="2"/>
      <c r="I68" s="2"/>
      <c r="J68" s="2"/>
      <c r="K68" s="2"/>
      <c r="L68" s="2"/>
      <c r="M68" s="2"/>
      <c r="N68" s="2"/>
      <c r="O68" s="2"/>
      <c r="P68" s="2"/>
    </row>
    <row r="69" spans="1:16" ht="21" customHeight="1">
      <c r="A69" s="2"/>
      <c r="B69" s="2"/>
      <c r="C69" s="2"/>
      <c r="D69" s="2"/>
      <c r="E69" s="2"/>
      <c r="F69" s="13"/>
      <c r="G69" s="2"/>
      <c r="H69" s="2"/>
      <c r="I69" s="2"/>
      <c r="J69" s="2"/>
      <c r="K69" s="2"/>
      <c r="L69" s="2"/>
      <c r="M69" s="2"/>
      <c r="N69" s="2"/>
      <c r="O69" s="2"/>
      <c r="P69" s="2"/>
    </row>
    <row r="70" spans="1:16" ht="21" customHeight="1">
      <c r="A70" s="2"/>
      <c r="B70" s="2"/>
      <c r="C70" s="2"/>
      <c r="D70" s="2"/>
      <c r="E70" s="2"/>
      <c r="F70" s="13"/>
      <c r="G70" s="2"/>
      <c r="H70" s="2"/>
      <c r="I70" s="2"/>
      <c r="J70" s="2"/>
      <c r="K70" s="2"/>
      <c r="L70" s="2"/>
      <c r="M70" s="2"/>
      <c r="N70" s="2"/>
      <c r="O70" s="2"/>
      <c r="P70" s="2"/>
    </row>
    <row r="71" spans="1:16" ht="21" customHeight="1">
      <c r="A71" s="2"/>
      <c r="B71" s="2"/>
      <c r="C71" s="2"/>
      <c r="D71" s="2"/>
      <c r="E71" s="2"/>
      <c r="F71" s="13"/>
      <c r="G71" s="2"/>
      <c r="H71" s="2"/>
      <c r="I71" s="2"/>
      <c r="J71" s="2"/>
      <c r="K71" s="2"/>
      <c r="L71" s="2"/>
      <c r="M71" s="2"/>
      <c r="N71" s="2"/>
      <c r="O71" s="2"/>
      <c r="P71" s="2"/>
    </row>
    <row r="72" spans="1:16" ht="21" customHeight="1">
      <c r="A72" s="2"/>
      <c r="B72" s="2"/>
      <c r="C72" s="2"/>
      <c r="D72" s="2"/>
      <c r="E72" s="2"/>
      <c r="F72" s="13"/>
      <c r="G72" s="2"/>
      <c r="H72" s="2"/>
      <c r="I72" s="2"/>
      <c r="J72" s="2"/>
      <c r="K72" s="2"/>
      <c r="L72" s="2"/>
      <c r="M72" s="2"/>
      <c r="N72" s="2"/>
      <c r="O72" s="2"/>
      <c r="P72" s="2"/>
    </row>
    <row r="73" spans="1:16" ht="21" customHeight="1">
      <c r="A73" s="2"/>
      <c r="B73" s="2"/>
      <c r="C73" s="2"/>
      <c r="D73" s="2"/>
      <c r="E73" s="2"/>
      <c r="F73" s="13"/>
      <c r="G73" s="2"/>
      <c r="H73" s="2"/>
      <c r="I73" s="2"/>
      <c r="J73" s="2"/>
      <c r="K73" s="2"/>
      <c r="L73" s="2"/>
      <c r="M73" s="2"/>
      <c r="N73" s="2"/>
      <c r="O73" s="2"/>
      <c r="P73" s="2"/>
    </row>
    <row r="74" spans="1:16" ht="21" customHeight="1">
      <c r="A74" s="2"/>
      <c r="B74" s="2"/>
      <c r="C74" s="2"/>
      <c r="D74" s="2"/>
      <c r="E74" s="2"/>
      <c r="F74" s="13"/>
      <c r="G74" s="2"/>
      <c r="H74" s="2"/>
      <c r="I74" s="2"/>
      <c r="J74" s="2"/>
      <c r="K74" s="2"/>
      <c r="L74" s="2"/>
      <c r="M74" s="2"/>
      <c r="N74" s="2"/>
      <c r="O74" s="2"/>
      <c r="P74" s="2"/>
    </row>
    <row r="75" spans="1:16" ht="21" customHeight="1">
      <c r="A75" s="2"/>
      <c r="B75" s="2"/>
      <c r="C75" s="2"/>
      <c r="D75" s="2"/>
      <c r="E75" s="2"/>
      <c r="F75" s="13"/>
      <c r="G75" s="2"/>
      <c r="H75" s="2"/>
      <c r="I75" s="2"/>
      <c r="J75" s="2"/>
      <c r="K75" s="2"/>
      <c r="L75" s="2"/>
      <c r="M75" s="2"/>
      <c r="N75" s="2"/>
      <c r="O75" s="2"/>
      <c r="P75" s="2"/>
    </row>
    <row r="76" spans="1:16" ht="21" customHeight="1">
      <c r="A76" s="2"/>
      <c r="B76" s="2"/>
      <c r="C76" s="2"/>
      <c r="D76" s="2"/>
      <c r="E76" s="2"/>
      <c r="F76" s="13"/>
      <c r="G76" s="2"/>
      <c r="H76" s="2"/>
      <c r="I76" s="2"/>
      <c r="J76" s="2"/>
      <c r="K76" s="2"/>
      <c r="L76" s="2"/>
      <c r="M76" s="2"/>
      <c r="N76" s="2"/>
      <c r="O76" s="2"/>
      <c r="P76" s="2"/>
    </row>
    <row r="77" spans="1:16" ht="21" customHeight="1">
      <c r="A77" s="2"/>
      <c r="B77" s="2"/>
      <c r="C77" s="2"/>
      <c r="D77" s="2"/>
      <c r="E77" s="2"/>
      <c r="F77" s="13"/>
      <c r="G77" s="2"/>
      <c r="H77" s="2"/>
      <c r="I77" s="2"/>
      <c r="J77" s="2"/>
      <c r="K77" s="2"/>
      <c r="L77" s="2"/>
      <c r="M77" s="2"/>
      <c r="N77" s="2"/>
      <c r="O77" s="2"/>
      <c r="P77" s="2"/>
    </row>
    <row r="78" spans="1:16" ht="21" customHeight="1">
      <c r="A78" s="2"/>
      <c r="B78" s="2"/>
      <c r="C78" s="2"/>
      <c r="D78" s="2"/>
      <c r="E78" s="2"/>
      <c r="F78" s="13"/>
      <c r="G78" s="2"/>
      <c r="H78" s="2"/>
      <c r="I78" s="2"/>
      <c r="J78" s="2"/>
      <c r="K78" s="2"/>
      <c r="L78" s="2"/>
      <c r="M78" s="2"/>
      <c r="N78" s="2"/>
      <c r="O78" s="2"/>
      <c r="P78" s="2"/>
    </row>
    <row r="79" spans="1:16" ht="21" customHeight="1">
      <c r="A79" s="2"/>
      <c r="B79" s="2"/>
      <c r="C79" s="2"/>
      <c r="D79" s="2"/>
      <c r="E79" s="2"/>
      <c r="F79" s="13"/>
      <c r="G79" s="2"/>
      <c r="H79" s="2"/>
      <c r="I79" s="2"/>
      <c r="J79" s="2"/>
      <c r="K79" s="2"/>
      <c r="L79" s="2"/>
      <c r="M79" s="2"/>
      <c r="N79" s="2"/>
      <c r="O79" s="2"/>
      <c r="P79" s="2"/>
    </row>
    <row r="80" spans="1:16" ht="21" customHeight="1">
      <c r="A80" s="2"/>
      <c r="B80" s="2"/>
      <c r="C80" s="2"/>
      <c r="D80" s="2"/>
      <c r="E80" s="2"/>
      <c r="F80" s="13"/>
      <c r="G80" s="2"/>
      <c r="H80" s="2"/>
      <c r="I80" s="2"/>
      <c r="J80" s="2"/>
      <c r="K80" s="2"/>
      <c r="L80" s="2"/>
      <c r="M80" s="2"/>
      <c r="N80" s="2"/>
      <c r="O80" s="2"/>
      <c r="P80" s="2"/>
    </row>
    <row r="81" spans="1:16" ht="21" customHeight="1">
      <c r="A81" s="2"/>
      <c r="B81" s="2"/>
      <c r="C81" s="2"/>
      <c r="D81" s="2"/>
      <c r="E81" s="2"/>
      <c r="F81" s="13"/>
      <c r="G81" s="2"/>
      <c r="H81" s="2"/>
      <c r="I81" s="2"/>
      <c r="J81" s="2"/>
      <c r="K81" s="2"/>
      <c r="L81" s="2"/>
      <c r="M81" s="2"/>
      <c r="N81" s="2"/>
      <c r="O81" s="2"/>
      <c r="P81" s="2"/>
    </row>
    <row r="82" spans="1:16" ht="21" customHeight="1">
      <c r="A82" s="2"/>
      <c r="B82" s="2"/>
      <c r="C82" s="2"/>
      <c r="D82" s="2"/>
      <c r="E82" s="2"/>
      <c r="F82" s="13"/>
      <c r="G82" s="2"/>
      <c r="H82" s="2"/>
      <c r="I82" s="2"/>
      <c r="J82" s="2"/>
      <c r="K82" s="2"/>
      <c r="L82" s="2"/>
      <c r="M82" s="2"/>
      <c r="N82" s="2"/>
      <c r="O82" s="2"/>
      <c r="P82" s="2"/>
    </row>
    <row r="83" spans="1:16" ht="21" customHeight="1">
      <c r="A83" s="2"/>
      <c r="B83" s="2"/>
      <c r="C83" s="2"/>
      <c r="D83" s="2"/>
      <c r="E83" s="2"/>
      <c r="F83" s="13"/>
      <c r="G83" s="2"/>
      <c r="H83" s="2"/>
      <c r="I83" s="2"/>
      <c r="J83" s="2"/>
      <c r="K83" s="2"/>
      <c r="L83" s="2"/>
      <c r="M83" s="2"/>
      <c r="N83" s="2"/>
      <c r="O83" s="2"/>
      <c r="P83" s="2"/>
    </row>
    <row r="84" spans="1:16" ht="21" customHeight="1">
      <c r="A84" s="2"/>
      <c r="B84" s="2"/>
      <c r="C84" s="2"/>
      <c r="D84" s="2"/>
      <c r="E84" s="2"/>
      <c r="F84" s="13"/>
      <c r="G84" s="2"/>
      <c r="H84" s="2"/>
      <c r="I84" s="2"/>
      <c r="J84" s="2"/>
      <c r="K84" s="2"/>
      <c r="L84" s="2"/>
      <c r="M84" s="2"/>
      <c r="N84" s="2"/>
      <c r="O84" s="2"/>
      <c r="P84" s="2"/>
    </row>
    <row r="85" spans="1:16" ht="21" customHeight="1">
      <c r="A85" s="2"/>
      <c r="B85" s="2"/>
      <c r="C85" s="2"/>
      <c r="D85" s="2"/>
      <c r="E85" s="2"/>
      <c r="F85" s="13"/>
      <c r="G85" s="2"/>
      <c r="H85" s="2"/>
      <c r="I85" s="2"/>
      <c r="J85" s="2"/>
      <c r="K85" s="2"/>
      <c r="L85" s="2"/>
      <c r="M85" s="2"/>
      <c r="N85" s="2"/>
      <c r="O85" s="2"/>
      <c r="P85" s="2"/>
    </row>
    <row r="86" spans="1:16" ht="21" customHeight="1">
      <c r="A86" s="2"/>
      <c r="B86" s="2"/>
      <c r="C86" s="2"/>
      <c r="D86" s="2"/>
      <c r="E86" s="2"/>
      <c r="F86" s="13"/>
      <c r="G86" s="2"/>
      <c r="H86" s="2"/>
      <c r="I86" s="2"/>
      <c r="J86" s="2"/>
      <c r="K86" s="2"/>
      <c r="L86" s="2"/>
      <c r="M86" s="2"/>
      <c r="N86" s="2"/>
      <c r="O86" s="2"/>
      <c r="P86" s="2"/>
    </row>
    <row r="87" spans="1:16" ht="21" customHeight="1">
      <c r="A87" s="2"/>
      <c r="B87" s="2"/>
      <c r="C87" s="2"/>
      <c r="D87" s="2"/>
      <c r="E87" s="2"/>
      <c r="F87" s="13"/>
      <c r="G87" s="2"/>
      <c r="H87" s="2"/>
      <c r="I87" s="2"/>
      <c r="J87" s="2"/>
      <c r="K87" s="2"/>
      <c r="L87" s="2"/>
      <c r="M87" s="2"/>
      <c r="N87" s="2"/>
      <c r="O87" s="2"/>
      <c r="P87" s="2"/>
    </row>
    <row r="88" spans="1:16" ht="21" customHeight="1">
      <c r="A88" s="2"/>
      <c r="B88" s="2"/>
      <c r="C88" s="2"/>
      <c r="D88" s="2"/>
      <c r="E88" s="2"/>
      <c r="F88" s="13"/>
      <c r="G88" s="2"/>
      <c r="H88" s="2"/>
      <c r="I88" s="2"/>
      <c r="J88" s="2"/>
      <c r="K88" s="2"/>
      <c r="L88" s="2"/>
      <c r="M88" s="2"/>
      <c r="N88" s="2"/>
      <c r="O88" s="2"/>
      <c r="P88" s="2"/>
    </row>
    <row r="89" spans="1:16" ht="21" customHeight="1">
      <c r="A89" s="2"/>
      <c r="B89" s="2"/>
      <c r="C89" s="2"/>
      <c r="D89" s="2"/>
      <c r="E89" s="2"/>
      <c r="F89" s="13"/>
      <c r="G89" s="2"/>
      <c r="H89" s="2"/>
      <c r="I89" s="2"/>
      <c r="J89" s="2"/>
      <c r="K89" s="2"/>
      <c r="L89" s="2"/>
      <c r="M89" s="2"/>
      <c r="N89" s="2"/>
      <c r="O89" s="2"/>
      <c r="P89" s="2"/>
    </row>
    <row r="90" spans="1:16" ht="21" customHeight="1">
      <c r="A90" s="2"/>
      <c r="B90" s="2"/>
      <c r="C90" s="2"/>
      <c r="D90" s="2"/>
      <c r="E90" s="2"/>
      <c r="F90" s="13"/>
      <c r="G90" s="2"/>
      <c r="H90" s="2"/>
      <c r="I90" s="2"/>
      <c r="J90" s="2"/>
      <c r="K90" s="2"/>
      <c r="L90" s="2"/>
      <c r="M90" s="2"/>
      <c r="N90" s="2"/>
      <c r="O90" s="2"/>
      <c r="P90" s="2"/>
    </row>
    <row r="91" spans="1:16" ht="21" customHeight="1">
      <c r="A91" s="2"/>
      <c r="B91" s="2"/>
      <c r="C91" s="2"/>
      <c r="D91" s="2"/>
      <c r="E91" s="2"/>
      <c r="F91" s="13"/>
      <c r="G91" s="2"/>
      <c r="H91" s="2"/>
      <c r="I91" s="2"/>
      <c r="J91" s="2"/>
      <c r="K91" s="2"/>
      <c r="L91" s="2"/>
      <c r="M91" s="2"/>
      <c r="N91" s="2"/>
      <c r="O91" s="2"/>
      <c r="P91" s="2"/>
    </row>
    <row r="92" spans="1:16" ht="21" customHeight="1">
      <c r="A92" s="2"/>
      <c r="B92" s="2"/>
      <c r="C92" s="2"/>
      <c r="D92" s="2"/>
      <c r="E92" s="2"/>
      <c r="F92" s="13"/>
      <c r="G92" s="2"/>
      <c r="H92" s="2"/>
      <c r="I92" s="2"/>
      <c r="J92" s="2"/>
      <c r="K92" s="2"/>
      <c r="L92" s="2"/>
      <c r="M92" s="2"/>
      <c r="N92" s="2"/>
      <c r="O92" s="2"/>
      <c r="P92" s="2"/>
    </row>
    <row r="93" spans="1:16" ht="21" customHeight="1">
      <c r="A93" s="2"/>
      <c r="B93" s="2"/>
      <c r="C93" s="2"/>
      <c r="D93" s="2"/>
      <c r="E93" s="2"/>
      <c r="F93" s="13"/>
      <c r="G93" s="2"/>
      <c r="H93" s="2"/>
      <c r="I93" s="2"/>
      <c r="J93" s="2"/>
      <c r="K93" s="2"/>
      <c r="L93" s="2"/>
      <c r="M93" s="2"/>
      <c r="N93" s="2"/>
      <c r="O93" s="2"/>
      <c r="P93" s="2"/>
    </row>
    <row r="94" spans="1:16" ht="21" customHeight="1">
      <c r="A94" s="2"/>
      <c r="B94" s="2"/>
      <c r="C94" s="2"/>
      <c r="D94" s="2"/>
      <c r="E94" s="2"/>
      <c r="F94" s="13"/>
      <c r="G94" s="2"/>
      <c r="H94" s="2"/>
      <c r="I94" s="2"/>
      <c r="J94" s="2"/>
      <c r="K94" s="2"/>
      <c r="L94" s="2"/>
      <c r="M94" s="2"/>
      <c r="N94" s="2"/>
      <c r="O94" s="2"/>
      <c r="P94" s="2"/>
    </row>
    <row r="95" spans="1:16" ht="21" customHeight="1">
      <c r="A95" s="2"/>
      <c r="B95" s="2"/>
      <c r="C95" s="2"/>
      <c r="D95" s="2"/>
      <c r="E95" s="2"/>
      <c r="F95" s="13"/>
      <c r="G95" s="2"/>
      <c r="H95" s="2"/>
      <c r="I95" s="2"/>
      <c r="J95" s="2"/>
      <c r="K95" s="2"/>
      <c r="L95" s="2"/>
      <c r="M95" s="2"/>
      <c r="N95" s="2"/>
      <c r="O95" s="2"/>
      <c r="P95" s="2"/>
    </row>
    <row r="96" spans="1:16" ht="21" customHeight="1">
      <c r="A96" s="2"/>
      <c r="B96" s="2"/>
      <c r="C96" s="2"/>
      <c r="D96" s="2"/>
      <c r="E96" s="2"/>
      <c r="F96" s="13"/>
      <c r="G96" s="2"/>
      <c r="H96" s="2"/>
      <c r="I96" s="2"/>
      <c r="J96" s="2"/>
      <c r="K96" s="2"/>
      <c r="L96" s="2"/>
      <c r="M96" s="2"/>
      <c r="N96" s="2"/>
      <c r="O96" s="2"/>
      <c r="P96" s="2"/>
    </row>
    <row r="97" spans="1:16" ht="21" customHeight="1">
      <c r="A97" s="2"/>
      <c r="B97" s="2"/>
      <c r="C97" s="2"/>
      <c r="D97" s="2"/>
      <c r="E97" s="2"/>
      <c r="F97" s="13"/>
      <c r="G97" s="2"/>
      <c r="H97" s="2"/>
      <c r="I97" s="2"/>
      <c r="J97" s="2"/>
      <c r="K97" s="2"/>
      <c r="L97" s="2"/>
      <c r="M97" s="2"/>
      <c r="N97" s="2"/>
      <c r="O97" s="2"/>
      <c r="P97" s="2"/>
    </row>
    <row r="98" spans="1:16" ht="21" customHeight="1">
      <c r="A98" s="2"/>
      <c r="B98" s="2"/>
      <c r="C98" s="2"/>
      <c r="D98" s="2"/>
      <c r="E98" s="2"/>
      <c r="F98" s="13"/>
      <c r="G98" s="2"/>
      <c r="H98" s="2"/>
      <c r="I98" s="2"/>
      <c r="J98" s="2"/>
      <c r="K98" s="2"/>
      <c r="L98" s="2"/>
      <c r="M98" s="2"/>
      <c r="N98" s="2"/>
      <c r="O98" s="2"/>
      <c r="P98" s="2"/>
    </row>
    <row r="99" spans="1:16" ht="21" customHeight="1">
      <c r="A99" s="2"/>
      <c r="B99" s="2"/>
      <c r="C99" s="2"/>
      <c r="D99" s="2"/>
      <c r="E99" s="2"/>
      <c r="F99" s="13"/>
      <c r="G99" s="2"/>
      <c r="H99" s="2"/>
      <c r="I99" s="2"/>
      <c r="J99" s="2"/>
      <c r="K99" s="2"/>
      <c r="L99" s="2"/>
      <c r="M99" s="2"/>
      <c r="N99" s="2"/>
      <c r="O99" s="2"/>
      <c r="P99" s="2"/>
    </row>
    <row r="100" spans="1:16" ht="21" customHeight="1">
      <c r="A100" s="2"/>
      <c r="B100" s="2"/>
      <c r="C100" s="2"/>
      <c r="D100" s="2"/>
      <c r="E100" s="2"/>
      <c r="F100" s="13"/>
      <c r="G100" s="2"/>
      <c r="H100" s="2"/>
      <c r="I100" s="2"/>
      <c r="J100" s="2"/>
      <c r="K100" s="2"/>
      <c r="L100" s="2"/>
      <c r="M100" s="2"/>
      <c r="N100" s="2"/>
      <c r="O100" s="2"/>
      <c r="P100" s="2"/>
    </row>
    <row r="101" spans="1:16" ht="21" customHeight="1">
      <c r="A101" s="2"/>
      <c r="B101" s="2"/>
      <c r="C101" s="2"/>
      <c r="D101" s="2"/>
      <c r="E101" s="2"/>
      <c r="F101" s="2"/>
      <c r="G101" s="2"/>
      <c r="H101" s="2"/>
      <c r="I101" s="2"/>
      <c r="J101" s="2"/>
      <c r="K101" s="2"/>
      <c r="L101" s="2"/>
      <c r="M101" s="2"/>
      <c r="N101" s="2"/>
      <c r="O101" s="2"/>
      <c r="P101" s="2"/>
    </row>
    <row r="102" spans="1:16" ht="21" customHeight="1">
      <c r="A102" s="2"/>
      <c r="B102" s="2"/>
      <c r="C102" s="2"/>
      <c r="D102" s="2"/>
      <c r="E102" s="2"/>
      <c r="F102" s="2"/>
      <c r="G102" s="2"/>
      <c r="H102" s="2"/>
      <c r="I102" s="2"/>
      <c r="J102" s="2"/>
      <c r="K102" s="2"/>
      <c r="L102" s="2"/>
      <c r="M102" s="2"/>
      <c r="N102" s="2"/>
      <c r="O102" s="2"/>
      <c r="P102" s="2"/>
    </row>
    <row r="103" spans="1:16" ht="21" customHeight="1">
      <c r="A103" s="2"/>
      <c r="B103" s="2"/>
      <c r="C103" s="2"/>
      <c r="D103" s="2"/>
      <c r="E103" s="2"/>
      <c r="F103" s="2"/>
      <c r="G103" s="2"/>
      <c r="H103" s="2"/>
      <c r="I103" s="2"/>
      <c r="J103" s="2"/>
      <c r="K103" s="2"/>
      <c r="L103" s="2"/>
      <c r="M103" s="2"/>
      <c r="N103" s="2"/>
      <c r="O103" s="2"/>
      <c r="P103" s="2"/>
    </row>
    <row r="104" spans="1:16" ht="21" customHeight="1">
      <c r="A104" s="2"/>
      <c r="B104" s="2"/>
      <c r="C104" s="2"/>
      <c r="D104" s="2"/>
      <c r="E104" s="2"/>
      <c r="F104" s="2"/>
      <c r="G104" s="2"/>
      <c r="H104" s="2"/>
      <c r="I104" s="2"/>
      <c r="J104" s="2"/>
      <c r="K104" s="2"/>
      <c r="L104" s="2"/>
      <c r="M104" s="2"/>
      <c r="N104" s="2"/>
      <c r="O104" s="2"/>
      <c r="P104" s="2"/>
    </row>
    <row r="105" spans="1:16" ht="21" customHeight="1">
      <c r="A105" s="2"/>
      <c r="B105" s="2"/>
      <c r="C105" s="2"/>
      <c r="D105" s="2"/>
      <c r="E105" s="2"/>
      <c r="F105" s="2"/>
      <c r="G105" s="2"/>
      <c r="H105" s="2"/>
      <c r="I105" s="2"/>
      <c r="J105" s="2"/>
      <c r="K105" s="2"/>
      <c r="L105" s="2"/>
      <c r="M105" s="2"/>
      <c r="N105" s="2"/>
      <c r="O105" s="2"/>
      <c r="P105" s="2"/>
    </row>
    <row r="106" spans="1:16" ht="21" customHeight="1">
      <c r="A106" s="2"/>
      <c r="B106" s="2"/>
      <c r="C106" s="2"/>
      <c r="D106" s="2"/>
      <c r="E106" s="2"/>
      <c r="F106" s="2"/>
      <c r="G106" s="2"/>
      <c r="H106" s="2"/>
      <c r="I106" s="2"/>
      <c r="J106" s="2"/>
      <c r="K106" s="2"/>
      <c r="L106" s="2"/>
      <c r="M106" s="2"/>
      <c r="N106" s="2"/>
      <c r="O106" s="2"/>
      <c r="P106" s="2"/>
    </row>
    <row r="107" spans="1:16" ht="21" customHeight="1">
      <c r="A107" s="2"/>
      <c r="B107" s="2"/>
      <c r="C107" s="2"/>
      <c r="D107" s="2"/>
      <c r="E107" s="2"/>
      <c r="F107" s="2"/>
      <c r="G107" s="2"/>
      <c r="H107" s="2"/>
      <c r="I107" s="2"/>
      <c r="J107" s="2"/>
      <c r="K107" s="2"/>
      <c r="L107" s="2"/>
      <c r="M107" s="2"/>
      <c r="N107" s="2"/>
      <c r="O107" s="2"/>
      <c r="P107" s="2"/>
    </row>
    <row r="108" spans="1:16" ht="21" customHeight="1">
      <c r="A108" s="2"/>
      <c r="B108" s="2"/>
      <c r="C108" s="2"/>
      <c r="D108" s="2"/>
      <c r="E108" s="2"/>
      <c r="F108" s="2"/>
      <c r="G108" s="2"/>
      <c r="H108" s="2"/>
      <c r="I108" s="2"/>
      <c r="J108" s="2"/>
      <c r="K108" s="2"/>
      <c r="L108" s="2"/>
      <c r="M108" s="2"/>
      <c r="N108" s="2"/>
      <c r="O108" s="2"/>
      <c r="P108" s="2"/>
    </row>
    <row r="109" spans="1:16" ht="21" customHeight="1">
      <c r="A109" s="2"/>
      <c r="B109" s="2"/>
      <c r="C109" s="2"/>
      <c r="D109" s="2"/>
      <c r="E109" s="2"/>
      <c r="F109" s="2"/>
      <c r="G109" s="2"/>
      <c r="H109" s="2"/>
      <c r="I109" s="2"/>
      <c r="J109" s="2"/>
      <c r="K109" s="2"/>
      <c r="L109" s="2"/>
      <c r="M109" s="2"/>
      <c r="N109" s="2"/>
      <c r="O109" s="2"/>
      <c r="P109" s="2"/>
    </row>
    <row r="110" spans="1:16" ht="21" customHeight="1">
      <c r="A110" s="2"/>
      <c r="B110" s="2"/>
      <c r="C110" s="2"/>
      <c r="D110" s="2"/>
      <c r="E110" s="2"/>
      <c r="F110" s="2"/>
      <c r="G110" s="2"/>
      <c r="H110" s="2"/>
      <c r="I110" s="2"/>
      <c r="J110" s="2"/>
      <c r="K110" s="2"/>
      <c r="L110" s="2"/>
      <c r="M110" s="2"/>
      <c r="N110" s="2"/>
      <c r="O110" s="2"/>
      <c r="P110" s="2"/>
    </row>
    <row r="111" spans="1:16" ht="21" customHeight="1">
      <c r="A111" s="2"/>
      <c r="B111" s="2"/>
      <c r="C111" s="2"/>
      <c r="D111" s="2"/>
      <c r="E111" s="2"/>
      <c r="F111" s="2"/>
      <c r="G111" s="2"/>
      <c r="H111" s="2"/>
      <c r="I111" s="2"/>
      <c r="J111" s="2"/>
      <c r="K111" s="2"/>
      <c r="L111" s="2"/>
      <c r="M111" s="2"/>
      <c r="N111" s="2"/>
      <c r="O111" s="2"/>
      <c r="P111" s="2"/>
    </row>
    <row r="112" spans="1:16" ht="21" customHeight="1">
      <c r="A112" s="2"/>
      <c r="B112" s="2"/>
      <c r="C112" s="2"/>
      <c r="D112" s="2"/>
      <c r="E112" s="2"/>
      <c r="F112" s="2"/>
      <c r="G112" s="2"/>
      <c r="H112" s="2"/>
      <c r="I112" s="2"/>
      <c r="J112" s="2"/>
      <c r="K112" s="2"/>
      <c r="L112" s="2"/>
      <c r="M112" s="2"/>
      <c r="N112" s="2"/>
      <c r="O112" s="2"/>
      <c r="P112" s="2"/>
    </row>
    <row r="113" spans="1:16" ht="21" customHeight="1">
      <c r="A113" s="2"/>
      <c r="B113" s="2"/>
      <c r="C113" s="2"/>
      <c r="D113" s="2"/>
      <c r="E113" s="2"/>
      <c r="F113" s="2"/>
      <c r="G113" s="2"/>
      <c r="H113" s="2"/>
      <c r="I113" s="2"/>
      <c r="J113" s="2"/>
      <c r="K113" s="2"/>
      <c r="L113" s="2"/>
      <c r="M113" s="2"/>
      <c r="N113" s="2"/>
      <c r="O113" s="2"/>
      <c r="P113" s="2"/>
    </row>
    <row r="114" spans="1:16" ht="21" customHeight="1">
      <c r="A114" s="2"/>
      <c r="B114" s="2"/>
      <c r="C114" s="2"/>
      <c r="D114" s="2"/>
      <c r="E114" s="2"/>
      <c r="F114" s="2"/>
      <c r="G114" s="2"/>
      <c r="H114" s="2"/>
      <c r="I114" s="2"/>
      <c r="J114" s="2"/>
      <c r="K114" s="2"/>
      <c r="L114" s="2"/>
      <c r="M114" s="2"/>
      <c r="N114" s="2"/>
      <c r="O114" s="2"/>
      <c r="P114" s="2"/>
    </row>
    <row r="115" spans="1:16" ht="21" customHeight="1">
      <c r="A115" s="2"/>
      <c r="B115" s="2"/>
      <c r="C115" s="2"/>
      <c r="D115" s="2"/>
      <c r="E115" s="2"/>
      <c r="F115" s="2"/>
      <c r="G115" s="2"/>
      <c r="H115" s="2"/>
      <c r="I115" s="2"/>
      <c r="J115" s="2"/>
      <c r="K115" s="2"/>
      <c r="L115" s="2"/>
      <c r="M115" s="2"/>
      <c r="N115" s="2"/>
      <c r="O115" s="2"/>
      <c r="P115" s="2"/>
    </row>
    <row r="116" spans="1:16" ht="21" customHeight="1">
      <c r="A116" s="2"/>
      <c r="B116" s="2"/>
      <c r="C116" s="2"/>
      <c r="D116" s="2"/>
      <c r="E116" s="2"/>
      <c r="F116" s="2"/>
      <c r="G116" s="2"/>
      <c r="H116" s="2"/>
      <c r="I116" s="2"/>
      <c r="J116" s="2"/>
      <c r="K116" s="2"/>
      <c r="L116" s="2"/>
      <c r="M116" s="2"/>
      <c r="N116" s="2"/>
      <c r="O116" s="2"/>
      <c r="P116" s="2"/>
    </row>
    <row r="117" spans="1:16" ht="21" customHeight="1">
      <c r="A117" s="2"/>
      <c r="B117" s="2"/>
      <c r="C117" s="2"/>
      <c r="D117" s="2"/>
      <c r="E117" s="2"/>
      <c r="F117" s="2"/>
      <c r="G117" s="2"/>
      <c r="H117" s="2"/>
      <c r="I117" s="2"/>
      <c r="J117" s="2"/>
      <c r="K117" s="2"/>
      <c r="L117" s="2"/>
      <c r="M117" s="2"/>
      <c r="N117" s="2"/>
      <c r="O117" s="2"/>
      <c r="P117" s="2"/>
    </row>
    <row r="118" spans="1:16" ht="21" customHeight="1">
      <c r="A118" s="2"/>
      <c r="B118" s="2"/>
      <c r="C118" s="2"/>
      <c r="D118" s="2"/>
      <c r="E118" s="2"/>
      <c r="F118" s="2"/>
      <c r="G118" s="2"/>
      <c r="H118" s="2"/>
      <c r="I118" s="2"/>
      <c r="J118" s="2"/>
      <c r="K118" s="2"/>
      <c r="L118" s="2"/>
      <c r="M118" s="2"/>
      <c r="N118" s="2"/>
      <c r="O118" s="2"/>
      <c r="P118" s="2"/>
    </row>
    <row r="119" spans="1:16" ht="21" customHeight="1">
      <c r="A119" s="2"/>
      <c r="B119" s="2"/>
      <c r="C119" s="2"/>
      <c r="D119" s="2"/>
      <c r="E119" s="2"/>
      <c r="F119" s="2"/>
      <c r="G119" s="2"/>
      <c r="H119" s="2"/>
      <c r="I119" s="2"/>
      <c r="J119" s="2"/>
      <c r="K119" s="2"/>
      <c r="L119" s="2"/>
      <c r="M119" s="2"/>
      <c r="N119" s="2"/>
      <c r="O119" s="2"/>
      <c r="P119" s="2"/>
    </row>
    <row r="120" spans="1:16" ht="21" customHeight="1">
      <c r="A120" s="2"/>
      <c r="B120" s="2"/>
      <c r="C120" s="2"/>
      <c r="D120" s="2"/>
      <c r="E120" s="2"/>
      <c r="F120" s="2"/>
      <c r="G120" s="2"/>
      <c r="H120" s="2"/>
      <c r="I120" s="2"/>
      <c r="J120" s="2"/>
      <c r="K120" s="2"/>
      <c r="L120" s="2"/>
      <c r="M120" s="2"/>
      <c r="N120" s="2"/>
      <c r="O120" s="2"/>
      <c r="P120" s="2"/>
    </row>
    <row r="121" spans="1:16" ht="21" customHeight="1"/>
    <row r="122" spans="1:16" ht="21" customHeight="1"/>
    <row r="123" spans="1:16" ht="21" customHeight="1"/>
    <row r="124" spans="1:16" ht="21" customHeight="1"/>
    <row r="125" spans="1:16" ht="21" customHeight="1"/>
    <row r="126" spans="1:16" ht="21" customHeight="1"/>
    <row r="127" spans="1:16" ht="21" customHeight="1"/>
    <row r="128" spans="1:16" ht="21" customHeight="1"/>
    <row r="129" ht="21" customHeight="1"/>
    <row r="130" ht="21" customHeight="1"/>
    <row r="131" ht="21" customHeight="1"/>
    <row r="132" ht="21" customHeight="1"/>
    <row r="133" ht="21" customHeight="1"/>
    <row r="134" ht="21" customHeight="1"/>
    <row r="135" ht="21" customHeight="1"/>
    <row r="136" ht="21" customHeight="1"/>
    <row r="137" ht="21" customHeight="1"/>
    <row r="138" ht="21" customHeight="1"/>
    <row r="139" ht="21" customHeight="1"/>
    <row r="140" ht="21" customHeight="1"/>
    <row r="141" ht="21" customHeight="1"/>
    <row r="142" ht="21" customHeight="1"/>
    <row r="143" ht="21" customHeight="1"/>
    <row r="144" ht="21" customHeight="1"/>
    <row r="145" ht="21" customHeight="1"/>
    <row r="146" ht="21" customHeight="1"/>
    <row r="147" ht="21" customHeight="1"/>
    <row r="148" ht="21" customHeight="1"/>
    <row r="149" ht="21" customHeight="1"/>
    <row r="150" ht="21" customHeight="1"/>
    <row r="151" ht="21" customHeight="1"/>
    <row r="152" ht="21" customHeight="1"/>
    <row r="153" ht="21" customHeight="1"/>
    <row r="154" ht="21" customHeight="1"/>
    <row r="155" ht="21" customHeight="1"/>
    <row r="156" ht="21" customHeight="1"/>
    <row r="157" ht="21" customHeight="1"/>
    <row r="158" ht="21" customHeight="1"/>
    <row r="159" ht="21" customHeight="1"/>
    <row r="160" ht="21" customHeight="1"/>
    <row r="161" ht="21" customHeight="1"/>
    <row r="162" ht="21" customHeight="1"/>
    <row r="163" ht="21" customHeight="1"/>
    <row r="164" ht="21" customHeight="1"/>
    <row r="165" ht="21" customHeight="1"/>
    <row r="166" ht="21" customHeight="1"/>
    <row r="167" ht="21" customHeight="1"/>
    <row r="168" ht="21" customHeight="1"/>
    <row r="169" ht="21" customHeight="1"/>
    <row r="170" ht="21" customHeight="1"/>
    <row r="171" ht="21" customHeight="1"/>
    <row r="172" ht="21" customHeight="1"/>
    <row r="173" ht="21" customHeight="1"/>
    <row r="174" ht="21" customHeight="1"/>
    <row r="175" ht="21" customHeight="1"/>
    <row r="176" ht="21" customHeight="1"/>
    <row r="177" ht="21" customHeight="1"/>
    <row r="178" ht="21" customHeight="1"/>
    <row r="179" ht="21" customHeight="1"/>
    <row r="180" ht="21" customHeight="1"/>
    <row r="181" ht="21" customHeight="1"/>
    <row r="182" ht="21" customHeight="1"/>
    <row r="183" ht="21" customHeight="1"/>
    <row r="184" ht="21" customHeight="1"/>
    <row r="185" ht="21" customHeight="1"/>
    <row r="186" ht="21" customHeight="1"/>
    <row r="187" ht="21" customHeight="1"/>
    <row r="188" ht="21" customHeight="1"/>
    <row r="189" ht="21" customHeight="1"/>
    <row r="190" ht="21" customHeight="1"/>
    <row r="191" ht="21" customHeight="1"/>
    <row r="192" ht="21" customHeight="1"/>
    <row r="193" ht="21" customHeight="1"/>
    <row r="194" ht="21" customHeight="1"/>
    <row r="195" ht="21" customHeight="1"/>
    <row r="196" ht="21" customHeight="1"/>
    <row r="197" ht="21" customHeight="1"/>
    <row r="198" ht="21" customHeight="1"/>
    <row r="199" ht="21" customHeight="1"/>
    <row r="200" ht="21" customHeight="1"/>
    <row r="201" ht="21" customHeight="1"/>
    <row r="202" ht="21" customHeight="1"/>
    <row r="203" ht="21" customHeight="1"/>
    <row r="204" ht="21" customHeight="1"/>
    <row r="205" ht="21" customHeight="1"/>
    <row r="206" ht="21" customHeight="1"/>
    <row r="207" ht="21" customHeight="1"/>
    <row r="208" ht="21" customHeight="1"/>
    <row r="209" ht="21" customHeight="1"/>
    <row r="210" ht="21" customHeight="1"/>
    <row r="211" ht="21" customHeight="1"/>
    <row r="212" ht="21" customHeight="1"/>
    <row r="213" ht="21" customHeight="1"/>
    <row r="214" ht="21" customHeight="1"/>
    <row r="215" ht="21" customHeight="1"/>
    <row r="216" ht="21" customHeight="1"/>
    <row r="217" ht="21" customHeight="1"/>
    <row r="218" ht="21" customHeight="1"/>
    <row r="219" ht="21" customHeight="1"/>
    <row r="220" ht="21" customHeight="1"/>
    <row r="221" ht="21" customHeight="1"/>
    <row r="222" ht="21" customHeight="1"/>
    <row r="223" ht="21" customHeight="1"/>
    <row r="224" ht="21" customHeight="1"/>
    <row r="225" ht="21" customHeight="1"/>
    <row r="226" ht="21" customHeight="1"/>
    <row r="227" ht="21" customHeight="1"/>
    <row r="228" ht="21" customHeight="1"/>
    <row r="229" ht="21" customHeight="1"/>
    <row r="230" ht="21" customHeight="1"/>
    <row r="231" ht="21" customHeight="1"/>
    <row r="232" ht="21" customHeight="1"/>
    <row r="233" ht="21" customHeight="1"/>
    <row r="234" ht="21" customHeight="1"/>
    <row r="235" ht="21" customHeight="1"/>
    <row r="236" ht="21" customHeight="1"/>
    <row r="237" ht="21" customHeight="1"/>
    <row r="238" ht="21" customHeight="1"/>
    <row r="239" ht="21" customHeight="1"/>
    <row r="240" ht="21" customHeight="1"/>
    <row r="241" ht="21" customHeight="1"/>
    <row r="242" ht="21" customHeight="1"/>
    <row r="243" ht="21" customHeight="1"/>
    <row r="244" ht="21" customHeight="1"/>
    <row r="245" ht="21" customHeight="1"/>
    <row r="246" ht="21" customHeight="1"/>
    <row r="247" ht="21" customHeight="1"/>
    <row r="248" ht="21" customHeight="1"/>
    <row r="249" ht="21" customHeight="1"/>
    <row r="250" ht="21" customHeight="1"/>
    <row r="251" ht="21" customHeight="1"/>
    <row r="252" ht="21" customHeight="1"/>
    <row r="253" ht="21" customHeight="1"/>
    <row r="254" ht="21" customHeight="1"/>
    <row r="255" ht="21" customHeight="1"/>
    <row r="256" ht="21" customHeight="1"/>
    <row r="257" ht="21" customHeight="1"/>
    <row r="258" ht="21" customHeight="1"/>
    <row r="259" ht="21" customHeight="1"/>
    <row r="260" ht="21" customHeight="1"/>
    <row r="261" ht="21" customHeight="1"/>
    <row r="262" ht="21" customHeight="1"/>
    <row r="263" ht="21" customHeight="1"/>
    <row r="264" ht="21" customHeight="1"/>
    <row r="265" ht="21" customHeight="1"/>
    <row r="266" ht="21" customHeight="1"/>
    <row r="267" ht="21" customHeight="1"/>
    <row r="268" ht="21" customHeight="1"/>
    <row r="269" ht="21" customHeight="1"/>
    <row r="270" ht="21" customHeight="1"/>
    <row r="271" ht="21" customHeight="1"/>
    <row r="272" ht="21" customHeight="1"/>
    <row r="273" ht="21" customHeight="1"/>
    <row r="274" ht="21" customHeight="1"/>
    <row r="275" ht="21" customHeight="1"/>
    <row r="276" ht="21" customHeight="1"/>
    <row r="277" ht="21" customHeight="1"/>
    <row r="278" ht="21" customHeight="1"/>
    <row r="279" ht="21" customHeight="1"/>
    <row r="280" ht="21" customHeight="1"/>
    <row r="281" ht="21" customHeight="1"/>
    <row r="282" ht="21" customHeight="1"/>
    <row r="283" ht="21" customHeight="1"/>
    <row r="284" ht="21" customHeight="1"/>
    <row r="285" ht="21" customHeight="1"/>
    <row r="286" ht="21" customHeight="1"/>
    <row r="287" ht="21" customHeight="1"/>
    <row r="288" ht="21" customHeight="1"/>
    <row r="289" ht="21" customHeight="1"/>
    <row r="290" ht="21" customHeight="1"/>
    <row r="291" ht="21" customHeight="1"/>
    <row r="292" ht="21" customHeight="1"/>
    <row r="293" ht="21" customHeight="1"/>
    <row r="294" ht="21" customHeight="1"/>
    <row r="295" ht="21" customHeight="1"/>
    <row r="296" ht="21" customHeight="1"/>
    <row r="297" ht="21" customHeight="1"/>
    <row r="298" ht="21" customHeight="1"/>
    <row r="299" ht="21" customHeight="1"/>
    <row r="300" ht="21" customHeight="1"/>
    <row r="301" ht="21" customHeight="1"/>
    <row r="302" ht="21" customHeight="1"/>
    <row r="303" ht="21" customHeight="1"/>
    <row r="304" ht="21" customHeight="1"/>
    <row r="305" ht="21" customHeight="1"/>
    <row r="306" ht="21" customHeight="1"/>
    <row r="307" ht="21" customHeight="1"/>
    <row r="308" ht="21" customHeight="1"/>
    <row r="309" ht="21" customHeight="1"/>
    <row r="310" ht="21" customHeight="1"/>
    <row r="311" ht="21" customHeight="1"/>
    <row r="312" ht="21" customHeight="1"/>
    <row r="313" ht="21" customHeight="1"/>
    <row r="314" ht="21" customHeight="1"/>
    <row r="315" ht="21" customHeight="1"/>
    <row r="316" ht="21" customHeight="1"/>
    <row r="317" ht="21" customHeight="1"/>
    <row r="318" ht="21" customHeight="1"/>
    <row r="319" ht="21" customHeight="1"/>
    <row r="320" ht="21" customHeight="1"/>
    <row r="321" ht="21" customHeight="1"/>
    <row r="322" ht="21" customHeight="1"/>
    <row r="323" ht="21" customHeight="1"/>
    <row r="324" ht="21" customHeight="1"/>
    <row r="325" ht="21" customHeight="1"/>
    <row r="326" ht="21" customHeight="1"/>
    <row r="327" ht="21" customHeight="1"/>
    <row r="328" ht="21" customHeight="1"/>
    <row r="329" ht="21" customHeight="1"/>
    <row r="330" ht="21" customHeight="1"/>
    <row r="331" ht="21" customHeight="1"/>
    <row r="332" ht="21" customHeight="1"/>
    <row r="333" ht="21" customHeight="1"/>
    <row r="334" ht="21" customHeight="1"/>
    <row r="335" ht="21" customHeight="1"/>
    <row r="336" ht="21" customHeight="1"/>
    <row r="337" ht="21" customHeight="1"/>
    <row r="338" ht="21" customHeight="1"/>
    <row r="339" ht="21" customHeight="1"/>
    <row r="340" ht="21" customHeight="1"/>
    <row r="341" ht="21" customHeight="1"/>
    <row r="342" ht="21" customHeight="1"/>
    <row r="343" ht="21" customHeight="1"/>
    <row r="344" ht="21" customHeight="1"/>
    <row r="345" ht="21" customHeight="1"/>
    <row r="346" ht="21" customHeight="1"/>
    <row r="347" ht="21" customHeight="1"/>
    <row r="348" ht="21" customHeight="1"/>
    <row r="349" ht="21" customHeight="1"/>
    <row r="350" ht="21" customHeight="1"/>
    <row r="351" ht="21" customHeight="1"/>
    <row r="352" ht="21" customHeight="1"/>
    <row r="353" ht="21" customHeight="1"/>
    <row r="354" ht="21" customHeight="1"/>
    <row r="355" ht="21" customHeight="1"/>
    <row r="356" ht="21" customHeight="1"/>
    <row r="357" ht="21" customHeight="1"/>
    <row r="358" ht="21" customHeight="1"/>
    <row r="359" ht="21" customHeight="1"/>
    <row r="360" ht="21" customHeight="1"/>
    <row r="361" ht="21" customHeight="1"/>
    <row r="362" ht="21" customHeight="1"/>
    <row r="363" ht="21" customHeight="1"/>
    <row r="364" ht="21" customHeight="1"/>
    <row r="365" ht="21" customHeight="1"/>
    <row r="366" ht="21" customHeight="1"/>
    <row r="367" ht="21" customHeight="1"/>
    <row r="368" ht="21" customHeight="1"/>
    <row r="369" ht="21" customHeight="1"/>
    <row r="370" ht="21" customHeight="1"/>
    <row r="371" ht="21" customHeight="1"/>
    <row r="372" ht="21" customHeight="1"/>
    <row r="373" ht="21" customHeight="1"/>
    <row r="374" ht="21" customHeight="1"/>
    <row r="375" ht="21" customHeight="1"/>
    <row r="376" ht="21" customHeight="1"/>
    <row r="377" ht="21" customHeight="1"/>
    <row r="378" ht="21" customHeight="1"/>
    <row r="379" ht="21" customHeight="1"/>
    <row r="380" ht="21" customHeight="1"/>
    <row r="381" ht="21" customHeight="1"/>
    <row r="382" ht="21" customHeight="1"/>
    <row r="383" ht="21" customHeight="1"/>
    <row r="384" ht="21" customHeight="1"/>
    <row r="385" ht="21" customHeight="1"/>
    <row r="386" ht="21" customHeight="1"/>
    <row r="387" ht="21" customHeight="1"/>
    <row r="388" ht="21" customHeight="1"/>
    <row r="389" ht="21" customHeight="1"/>
    <row r="390" ht="21" customHeight="1"/>
    <row r="391" ht="21" customHeight="1"/>
    <row r="392" ht="21" customHeight="1"/>
    <row r="393" ht="21" customHeight="1"/>
    <row r="394" ht="21" customHeight="1"/>
    <row r="395" ht="21" customHeight="1"/>
    <row r="396" ht="21" customHeight="1"/>
    <row r="397" ht="21" customHeight="1"/>
    <row r="398" ht="21" customHeight="1"/>
    <row r="399" ht="21" customHeight="1"/>
    <row r="400" ht="21" customHeight="1"/>
    <row r="401" ht="21" customHeight="1"/>
    <row r="402" ht="21" customHeight="1"/>
    <row r="403" ht="21" customHeight="1"/>
    <row r="404" ht="21" customHeight="1"/>
    <row r="405" ht="21" customHeight="1"/>
    <row r="406" ht="21" customHeight="1"/>
    <row r="407" ht="21" customHeight="1"/>
    <row r="408" ht="21" customHeight="1"/>
    <row r="409" ht="21" customHeight="1"/>
    <row r="410" ht="21" customHeight="1"/>
    <row r="411" ht="21" customHeight="1"/>
    <row r="412" ht="21" customHeight="1"/>
    <row r="413" ht="21" customHeight="1"/>
    <row r="414" ht="21" customHeight="1"/>
    <row r="415" ht="21" customHeight="1"/>
    <row r="416" ht="21" customHeight="1"/>
    <row r="417" ht="21" customHeight="1"/>
    <row r="418" ht="21" customHeight="1"/>
    <row r="419" ht="21" customHeight="1"/>
    <row r="420" ht="21" customHeight="1"/>
    <row r="421" ht="21" customHeight="1"/>
    <row r="422" ht="21" customHeight="1"/>
    <row r="423" ht="21" customHeight="1"/>
    <row r="424" ht="21" customHeight="1"/>
    <row r="425" ht="21" customHeight="1"/>
    <row r="426" ht="21" customHeight="1"/>
    <row r="427" ht="21" customHeight="1"/>
    <row r="428" ht="21" customHeight="1"/>
    <row r="429" ht="21" customHeight="1"/>
    <row r="430" ht="21" customHeight="1"/>
    <row r="431" ht="21" customHeight="1"/>
    <row r="432" ht="21" customHeight="1"/>
    <row r="433" ht="21" customHeight="1"/>
    <row r="434" ht="21" customHeight="1"/>
    <row r="435" ht="21" customHeight="1"/>
    <row r="436" ht="21" customHeight="1"/>
    <row r="437" ht="21" customHeight="1"/>
    <row r="438" ht="21" customHeight="1"/>
    <row r="439" ht="21" customHeight="1"/>
    <row r="440" ht="21" customHeight="1"/>
    <row r="441" ht="21" customHeight="1"/>
    <row r="442" ht="21" customHeight="1"/>
    <row r="443" ht="21" customHeight="1"/>
    <row r="444" ht="21" customHeight="1"/>
    <row r="445" ht="21" customHeight="1"/>
    <row r="446" ht="21" customHeight="1"/>
    <row r="447" ht="21" customHeight="1"/>
    <row r="448" ht="21" customHeight="1"/>
    <row r="449" ht="21" customHeight="1"/>
    <row r="450" ht="21" customHeight="1"/>
    <row r="451" ht="21" customHeight="1"/>
    <row r="452" ht="21" customHeight="1"/>
    <row r="453" ht="21" customHeight="1"/>
    <row r="454" ht="21" customHeight="1"/>
    <row r="455" ht="21" customHeight="1"/>
    <row r="456" ht="21" customHeight="1"/>
    <row r="457" ht="21" customHeight="1"/>
    <row r="458" ht="21" customHeight="1"/>
    <row r="459" ht="21" customHeight="1"/>
    <row r="460" ht="21" customHeight="1"/>
    <row r="461" ht="21" customHeight="1"/>
    <row r="462" ht="21" customHeight="1"/>
    <row r="463" ht="21" customHeight="1"/>
    <row r="464" ht="21" customHeight="1"/>
    <row r="465" ht="21" customHeight="1"/>
    <row r="466" ht="21" customHeight="1"/>
    <row r="467" ht="21" customHeight="1"/>
    <row r="468" ht="21" customHeight="1"/>
    <row r="469" ht="21" customHeight="1"/>
    <row r="470" ht="21" customHeight="1"/>
    <row r="471" ht="21" customHeight="1"/>
    <row r="472" ht="21" customHeight="1"/>
    <row r="473" ht="21" customHeight="1"/>
    <row r="474" ht="21" customHeight="1"/>
    <row r="475" ht="21" customHeight="1"/>
    <row r="476" ht="21" customHeight="1"/>
    <row r="477" ht="21" customHeight="1"/>
    <row r="478" ht="21" customHeight="1"/>
    <row r="479" ht="21" customHeight="1"/>
    <row r="480" ht="21" customHeight="1"/>
    <row r="481" ht="21" customHeight="1"/>
    <row r="482" ht="21" customHeight="1"/>
    <row r="483" ht="21" customHeight="1"/>
    <row r="484" ht="21" customHeight="1"/>
    <row r="485" ht="21" customHeight="1"/>
    <row r="486" ht="21" customHeight="1"/>
    <row r="487" ht="21" customHeight="1"/>
    <row r="488" ht="21" customHeight="1"/>
    <row r="489" ht="21" customHeight="1"/>
    <row r="490" ht="21" customHeight="1"/>
    <row r="491" ht="21" customHeight="1"/>
    <row r="492" ht="21" customHeight="1"/>
    <row r="493" ht="21" customHeight="1"/>
    <row r="494" ht="21" customHeight="1"/>
    <row r="495" ht="21" customHeight="1"/>
    <row r="496" ht="21" customHeight="1"/>
    <row r="497" ht="21" customHeight="1"/>
    <row r="498" ht="21" customHeight="1"/>
    <row r="499" ht="21" customHeight="1"/>
    <row r="500" ht="21" customHeight="1"/>
    <row r="501" ht="21" customHeight="1"/>
    <row r="502" ht="21" customHeight="1"/>
    <row r="503" ht="21" customHeight="1"/>
    <row r="504" ht="21" customHeight="1"/>
    <row r="505" ht="21" customHeight="1"/>
    <row r="506" ht="21" customHeight="1"/>
    <row r="507" ht="21" customHeight="1"/>
    <row r="508" ht="21" customHeight="1"/>
    <row r="509" ht="21" customHeight="1"/>
    <row r="510" ht="21" customHeight="1"/>
    <row r="511" ht="21" customHeight="1"/>
    <row r="512" ht="21" customHeight="1"/>
    <row r="513" ht="21" customHeight="1"/>
    <row r="514" ht="21" customHeight="1"/>
    <row r="515" ht="21" customHeight="1"/>
    <row r="516" ht="21" customHeight="1"/>
    <row r="517" ht="21" customHeight="1"/>
    <row r="518" ht="21" customHeight="1"/>
    <row r="519" ht="21" customHeight="1"/>
    <row r="520" ht="21" customHeight="1"/>
    <row r="521" ht="21" customHeight="1"/>
    <row r="522" ht="21" customHeight="1"/>
    <row r="523" ht="21" customHeight="1"/>
    <row r="524" ht="21" customHeight="1"/>
    <row r="525" ht="21" customHeight="1"/>
    <row r="526" ht="21" customHeight="1"/>
    <row r="527" ht="21" customHeight="1"/>
    <row r="528" ht="21" customHeight="1"/>
    <row r="529" ht="21" customHeight="1"/>
    <row r="530" ht="21" customHeight="1"/>
    <row r="531" ht="21" customHeight="1"/>
    <row r="532" ht="21" customHeight="1"/>
    <row r="533" ht="21" customHeight="1"/>
    <row r="534" ht="21" customHeight="1"/>
    <row r="535" ht="21" customHeight="1"/>
    <row r="536" ht="21" customHeight="1"/>
    <row r="537" ht="21" customHeight="1"/>
    <row r="538" ht="21" customHeight="1"/>
    <row r="539" ht="21" customHeight="1"/>
    <row r="540" ht="21" customHeight="1"/>
    <row r="541" ht="21" customHeight="1"/>
    <row r="542" ht="21" customHeight="1"/>
    <row r="543" ht="21" customHeight="1"/>
    <row r="544" ht="21" customHeight="1"/>
    <row r="545" ht="21" customHeight="1"/>
    <row r="546" ht="21" customHeight="1"/>
    <row r="547" ht="21" customHeight="1"/>
    <row r="548" ht="21" customHeight="1"/>
    <row r="549" ht="21" customHeight="1"/>
    <row r="550" ht="21" customHeight="1"/>
    <row r="551" ht="21" customHeight="1"/>
    <row r="552" ht="21" customHeight="1"/>
    <row r="553" ht="21" customHeight="1"/>
    <row r="554" ht="21" customHeight="1"/>
    <row r="555" ht="21" customHeight="1"/>
    <row r="556" ht="21" customHeight="1"/>
    <row r="557" ht="21" customHeight="1"/>
    <row r="558" ht="21" customHeight="1"/>
    <row r="559" ht="21" customHeight="1"/>
    <row r="560" ht="21" customHeight="1"/>
    <row r="561" ht="21" customHeight="1"/>
    <row r="562" ht="21" customHeight="1"/>
    <row r="563" ht="21" customHeight="1"/>
    <row r="564" ht="21" customHeight="1"/>
    <row r="565" ht="21" customHeight="1"/>
    <row r="566" ht="21" customHeight="1"/>
    <row r="567" ht="21" customHeight="1"/>
    <row r="568" ht="21" customHeight="1"/>
    <row r="569" ht="21" customHeight="1"/>
    <row r="570" ht="21" customHeight="1"/>
    <row r="571" ht="21" customHeight="1"/>
    <row r="572" ht="21" customHeight="1"/>
    <row r="573" ht="21" customHeight="1"/>
    <row r="574" ht="21" customHeight="1"/>
    <row r="575" ht="21" customHeight="1"/>
    <row r="576" ht="21" customHeight="1"/>
    <row r="577" ht="21" customHeight="1"/>
    <row r="578" ht="21" customHeight="1"/>
    <row r="579" ht="21" customHeight="1"/>
    <row r="580" ht="21" customHeight="1"/>
    <row r="581" ht="21" customHeight="1"/>
    <row r="582" ht="21" customHeight="1"/>
    <row r="583" ht="21" customHeight="1"/>
    <row r="584" ht="21" customHeight="1"/>
    <row r="585" ht="21" customHeight="1"/>
    <row r="586" ht="21" customHeight="1"/>
    <row r="587" ht="21" customHeight="1"/>
    <row r="588" ht="21" customHeight="1"/>
    <row r="589" ht="21" customHeight="1"/>
    <row r="590" ht="21" customHeight="1"/>
    <row r="591" ht="21" customHeight="1"/>
    <row r="592" ht="21" customHeight="1"/>
    <row r="593" ht="21" customHeight="1"/>
    <row r="594" ht="21" customHeight="1"/>
    <row r="595" ht="21" customHeight="1"/>
    <row r="596" ht="21" customHeight="1"/>
    <row r="597" ht="21" customHeight="1"/>
    <row r="598" ht="21" customHeight="1"/>
    <row r="599" ht="21" customHeight="1"/>
    <row r="600" ht="21" customHeight="1"/>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READ ME</vt:lpstr>
      <vt:lpstr>Research Dashboard</vt:lpstr>
      <vt:lpstr>Notes</vt:lpstr>
      <vt:lpstr>Settings</vt:lpstr>
      <vt:lpstr>Data</vt:lpstr>
      <vt:lpstr>Holdings</vt:lpstr>
      <vt:lpstr>Performance</vt:lpstr>
      <vt:lpstr>Income</vt:lpstr>
      <vt:lpstr>Management</vt:lpstr>
      <vt:lpstr>History</vt:lpstr>
      <vt:lpstr>Earnings</vt:lpstr>
      <vt:lpstr>News</vt:lpstr>
      <vt:lpstr>Requests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Brent Threadgill</cp:lastModifiedBy>
  <dcterms:created xsi:type="dcterms:W3CDTF">2026-10-12T15:34:53Z</dcterms:created>
  <dcterms:modified xsi:type="dcterms:W3CDTF">2026-10-12T15:34:54Z</dcterms:modified>
</cp:coreProperties>
</file>