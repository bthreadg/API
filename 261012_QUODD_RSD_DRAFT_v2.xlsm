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threadgillcompanyllc-my.sharepoint.com/personal/brentthreadgill_threadgillcompanyllc_onmicrosoft_com/Documents/Snowball/0001 GPT MDs/Prototypes/"/>
    </mc:Choice>
  </mc:AlternateContent>
  <xr:revisionPtr revIDLastSave="0" documentId="8_{698C703D-7DEC-4480-8D25-2DB4E4D257B8}" xr6:coauthVersionLast="47" xr6:coauthVersionMax="47" xr10:uidLastSave="{00000000-0000-0000-0000-000000000000}"/>
  <bookViews>
    <workbookView xWindow="-120" yWindow="-120" windowWidth="29040" windowHeight="17520" activeTab="1" xr2:uid="{00000000-000D-0000-FFFF-FFFF00000000}"/>
  </bookViews>
  <sheets>
    <sheet name="Stock" sheetId="12" r:id="rId1"/>
    <sheet name="ETF" sheetId="14" r:id="rId2"/>
    <sheet name="Mutual Fund" sheetId="16" r:id="rId3"/>
    <sheet name="Settings" sheetId="2" r:id="rId4"/>
    <sheet name="Stock Data" sheetId="13" r:id="rId5"/>
    <sheet name="ETF Data" sheetId="15" r:id="rId6"/>
    <sheet name="Fund Data" sheetId="17" r:id="rId7"/>
    <sheet name="Research Dashboard" sheetId="1" state="veryHidden" r:id="rId8"/>
    <sheet name="Data" sheetId="3" state="veryHidden" r:id="rId9"/>
    <sheet name="Holdings" sheetId="4" state="veryHidden" r:id="rId10"/>
    <sheet name="Performance" sheetId="5" state="veryHidden" r:id="rId11"/>
    <sheet name="Income" sheetId="6" state="veryHidden" r:id="rId12"/>
    <sheet name="Management" sheetId="7" state="veryHidden" r:id="rId13"/>
    <sheet name="History" sheetId="8" state="veryHidden" r:id="rId14"/>
    <sheet name="Earnings" sheetId="9" state="veryHidden" r:id="rId15"/>
    <sheet name="News" sheetId="10" state="veryHidden" r:id="rId16"/>
    <sheet name="Requests" sheetId="11" state="veryHidden" r:id="rId17"/>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3" l="1"/>
  <c r="B72" i="1"/>
  <c r="B60" i="1"/>
  <c r="J51" i="1"/>
  <c r="J50" i="1"/>
  <c r="J49" i="1"/>
  <c r="J48" i="1"/>
  <c r="J47" i="1"/>
  <c r="J46" i="1"/>
  <c r="J44" i="1"/>
  <c r="B43" i="1"/>
  <c r="B42" i="1"/>
  <c r="J41" i="1"/>
  <c r="B41" i="1"/>
  <c r="B40" i="1"/>
  <c r="B39" i="1"/>
  <c r="B38" i="1"/>
  <c r="B37" i="1"/>
  <c r="B36" i="1"/>
  <c r="B35" i="1"/>
  <c r="B34" i="1"/>
  <c r="B33" i="1"/>
  <c r="H2" i="17"/>
  <c r="H2" i="15"/>
  <c r="H2" i="13"/>
  <c r="Q139" i="16"/>
  <c r="Q41" i="16"/>
  <c r="Q37" i="16"/>
  <c r="Q41" i="14"/>
  <c r="Q37" i="14"/>
  <c r="Q77" i="12"/>
  <c r="D70" i="1" l="1"/>
  <c r="F70" i="1"/>
  <c r="B46" i="1"/>
  <c r="F40" i="1"/>
  <c r="B81" i="1"/>
  <c r="N73" i="1"/>
  <c r="B88" i="1"/>
  <c r="N76" i="1"/>
  <c r="F42" i="1"/>
  <c r="B70" i="1"/>
  <c r="F69" i="1"/>
  <c r="D69" i="1"/>
  <c r="B69" i="1"/>
  <c r="F68" i="1"/>
  <c r="B51" i="1"/>
  <c r="N50" i="1"/>
  <c r="G50" i="1"/>
  <c r="D50" i="1"/>
  <c r="B50" i="1"/>
  <c r="F41" i="1"/>
  <c r="F38" i="1"/>
  <c r="O37" i="1"/>
  <c r="M37" i="1"/>
  <c r="J37" i="1"/>
  <c r="F37" i="1"/>
  <c r="O36" i="1"/>
  <c r="M36" i="1"/>
  <c r="D68" i="1"/>
  <c r="B68" i="1"/>
  <c r="J67" i="1"/>
  <c r="F67" i="1"/>
  <c r="F43" i="1"/>
  <c r="O39" i="1"/>
  <c r="M39" i="1"/>
  <c r="J39" i="1"/>
  <c r="J36" i="1"/>
  <c r="B168" i="12"/>
  <c r="B151" i="12"/>
  <c r="Q133" i="12"/>
  <c r="B132" i="12"/>
  <c r="U131" i="12"/>
  <c r="Q131" i="12"/>
  <c r="D67" i="1"/>
  <c r="B67" i="1"/>
  <c r="M65" i="1"/>
  <c r="J65" i="1"/>
  <c r="G53" i="1"/>
  <c r="D53" i="1"/>
  <c r="B53" i="1"/>
  <c r="G52" i="1"/>
  <c r="F39" i="1"/>
  <c r="O38" i="1"/>
  <c r="M38" i="1"/>
  <c r="J38" i="1"/>
  <c r="B8" i="1"/>
  <c r="B130" i="12"/>
  <c r="Q129" i="12"/>
  <c r="B128" i="12"/>
  <c r="U127" i="12"/>
  <c r="Q127" i="12"/>
  <c r="B126" i="12"/>
  <c r="Q125" i="12"/>
  <c r="B124" i="12"/>
  <c r="U123" i="12"/>
  <c r="Q123" i="12"/>
  <c r="B122" i="12"/>
  <c r="Q121" i="12"/>
  <c r="B120" i="12"/>
  <c r="U119" i="12"/>
  <c r="Q119" i="12"/>
  <c r="B118" i="12"/>
  <c r="Q117" i="12"/>
  <c r="F415" i="8"/>
  <c r="F414" i="8"/>
  <c r="F413" i="8"/>
  <c r="F412" i="8"/>
  <c r="F411" i="8"/>
  <c r="F410" i="8"/>
  <c r="F409" i="8"/>
  <c r="F408" i="8"/>
  <c r="F407" i="8"/>
  <c r="F406" i="8"/>
  <c r="F405" i="8"/>
  <c r="F404" i="8"/>
  <c r="F403" i="8"/>
  <c r="F402" i="8"/>
  <c r="F401" i="8"/>
  <c r="F400" i="8"/>
  <c r="F399" i="8"/>
  <c r="F398" i="8"/>
  <c r="F397" i="8"/>
  <c r="F396" i="8"/>
  <c r="F395" i="8"/>
  <c r="F394" i="8"/>
  <c r="F393" i="8"/>
  <c r="F392" i="8"/>
  <c r="F391" i="8"/>
  <c r="F390" i="8"/>
  <c r="F389" i="8"/>
  <c r="F291" i="8"/>
  <c r="F290" i="8"/>
  <c r="F289" i="8"/>
  <c r="F288" i="8"/>
  <c r="F287" i="8"/>
  <c r="F286" i="8"/>
  <c r="F285" i="8"/>
  <c r="F284" i="8"/>
  <c r="F283" i="8"/>
  <c r="F282" i="8"/>
  <c r="F281" i="8"/>
  <c r="F280" i="8"/>
  <c r="F279" i="8"/>
  <c r="F278" i="8"/>
  <c r="F277" i="8"/>
  <c r="B111" i="1"/>
  <c r="B106" i="1"/>
  <c r="B101" i="1"/>
  <c r="B99" i="1"/>
  <c r="B97" i="1"/>
  <c r="B95" i="1"/>
  <c r="B93" i="1"/>
  <c r="F276" i="8"/>
  <c r="F275" i="8"/>
  <c r="F274" i="8"/>
  <c r="F273" i="8"/>
  <c r="F272" i="8"/>
  <c r="F271" i="8"/>
  <c r="F270" i="8"/>
  <c r="F269" i="8"/>
  <c r="F268" i="8"/>
  <c r="F267" i="8"/>
  <c r="F266" i="8"/>
  <c r="F265" i="8"/>
  <c r="F264" i="8"/>
  <c r="F263" i="8"/>
  <c r="F262" i="8"/>
  <c r="M64" i="1"/>
  <c r="J64" i="1"/>
  <c r="M63" i="1"/>
  <c r="J63" i="1"/>
  <c r="M62" i="1"/>
  <c r="J62" i="1"/>
  <c r="M61" i="1"/>
  <c r="J61" i="1"/>
  <c r="M60" i="1"/>
  <c r="J60" i="1"/>
  <c r="M59" i="1"/>
  <c r="J59" i="1"/>
  <c r="M58" i="1"/>
  <c r="J58" i="1"/>
  <c r="G58" i="1"/>
  <c r="D58" i="1"/>
  <c r="B58" i="1"/>
  <c r="G57" i="1"/>
  <c r="D57" i="1"/>
  <c r="B57" i="1"/>
  <c r="G56" i="1"/>
  <c r="D56" i="1"/>
  <c r="B56" i="1"/>
  <c r="J55" i="1"/>
  <c r="G55" i="1"/>
  <c r="D55" i="1"/>
  <c r="B55" i="1"/>
  <c r="G54" i="1"/>
  <c r="D54" i="1"/>
  <c r="B54" i="1"/>
  <c r="N49" i="1"/>
  <c r="G49" i="1"/>
  <c r="D49" i="1"/>
  <c r="B49" i="1"/>
  <c r="N48" i="1"/>
  <c r="N47" i="1"/>
  <c r="N46" i="1"/>
  <c r="B28" i="1"/>
  <c r="B26" i="1"/>
  <c r="B23" i="1"/>
  <c r="B22" i="1"/>
  <c r="B19" i="1"/>
  <c r="B18" i="1"/>
  <c r="B16" i="1"/>
  <c r="B13" i="1"/>
  <c r="B12" i="1"/>
  <c r="B10" i="1"/>
  <c r="AN575" i="13"/>
  <c r="AN574" i="13"/>
  <c r="AN573" i="13"/>
  <c r="AN572" i="13"/>
  <c r="AN571" i="13"/>
  <c r="AN570" i="13"/>
  <c r="AN569" i="13"/>
  <c r="AN568" i="13"/>
  <c r="AN567" i="13"/>
  <c r="AN566" i="13"/>
  <c r="AN565" i="13"/>
  <c r="AN564" i="13"/>
  <c r="AN563" i="13"/>
  <c r="AN562" i="13"/>
  <c r="AN561" i="13"/>
  <c r="AN560" i="13"/>
  <c r="AN559" i="13"/>
  <c r="AN558" i="13"/>
  <c r="AN557" i="13"/>
  <c r="AN556" i="13"/>
  <c r="AN555" i="13"/>
  <c r="AN554" i="13"/>
  <c r="AN553" i="13"/>
  <c r="AN552" i="13"/>
  <c r="AN551" i="13"/>
  <c r="AN550" i="13"/>
  <c r="AN549" i="13"/>
  <c r="AN548" i="13"/>
  <c r="AN546" i="13"/>
  <c r="AN545" i="13"/>
  <c r="AN544" i="13"/>
  <c r="AN543" i="13"/>
  <c r="AN542" i="13"/>
  <c r="AN540" i="13"/>
  <c r="AN539" i="13"/>
  <c r="AN537" i="13"/>
  <c r="AN535" i="13"/>
  <c r="AN547" i="13"/>
  <c r="AN541" i="13"/>
  <c r="AN538" i="13"/>
  <c r="AN536" i="13"/>
  <c r="AN534" i="13"/>
  <c r="U115" i="12"/>
  <c r="Q115" i="12"/>
  <c r="K108" i="12"/>
  <c r="G108" i="12"/>
  <c r="B108" i="12"/>
  <c r="F81" i="12"/>
  <c r="B81" i="12"/>
  <c r="M79" i="12"/>
  <c r="J79" i="12"/>
  <c r="F79" i="12"/>
  <c r="B79" i="12"/>
  <c r="M77" i="12"/>
  <c r="J77" i="12"/>
  <c r="F77" i="12"/>
  <c r="B77" i="12"/>
  <c r="M75" i="12"/>
  <c r="J75" i="12"/>
  <c r="F75" i="12"/>
  <c r="B75" i="12"/>
  <c r="U74" i="12"/>
  <c r="U71" i="12"/>
  <c r="B69" i="12"/>
  <c r="U68" i="12"/>
  <c r="G66" i="12"/>
  <c r="B66" i="12"/>
  <c r="U65" i="12"/>
  <c r="Q58" i="12"/>
  <c r="U57" i="12"/>
  <c r="U55" i="12"/>
  <c r="U53" i="12"/>
  <c r="U51" i="12"/>
  <c r="U49" i="12"/>
  <c r="U47" i="12"/>
  <c r="U45" i="12"/>
  <c r="U43" i="12"/>
  <c r="U41" i="12"/>
  <c r="U39" i="12"/>
  <c r="U37" i="12"/>
  <c r="L36" i="12"/>
  <c r="G36" i="12"/>
  <c r="B36" i="12"/>
  <c r="U35" i="12"/>
  <c r="B23" i="12"/>
  <c r="B21" i="12"/>
  <c r="B20" i="12"/>
  <c r="G17" i="12"/>
  <c r="B16" i="12"/>
  <c r="D10" i="12"/>
  <c r="D8" i="12"/>
  <c r="B8" i="12"/>
  <c r="F456" i="8"/>
  <c r="F455" i="8"/>
  <c r="F454" i="8"/>
  <c r="F453" i="8"/>
  <c r="F452" i="8"/>
  <c r="F451" i="8"/>
  <c r="F450" i="8"/>
  <c r="F449" i="8"/>
  <c r="F448" i="8"/>
  <c r="F447" i="8"/>
  <c r="F446" i="8"/>
  <c r="F445" i="8"/>
  <c r="F444" i="8"/>
  <c r="F443" i="8"/>
  <c r="F442" i="8"/>
  <c r="F441" i="8"/>
  <c r="F440" i="8"/>
  <c r="F439" i="8"/>
  <c r="F438" i="8"/>
  <c r="F437" i="8"/>
  <c r="F436" i="8"/>
  <c r="F435" i="8"/>
  <c r="F434" i="8"/>
  <c r="F433" i="8"/>
  <c r="F432" i="8"/>
  <c r="F431" i="8"/>
  <c r="F430" i="8"/>
  <c r="F429" i="8"/>
  <c r="F428" i="8"/>
  <c r="F427" i="8"/>
  <c r="F426" i="8"/>
  <c r="F425" i="8"/>
  <c r="F424" i="8"/>
  <c r="F423" i="8"/>
  <c r="F422" i="8"/>
  <c r="F421" i="8"/>
  <c r="F420" i="8"/>
  <c r="F419" i="8"/>
  <c r="F418" i="8"/>
  <c r="F417" i="8"/>
  <c r="F416" i="8"/>
  <c r="F388" i="8"/>
  <c r="F387" i="8"/>
  <c r="F386" i="8"/>
  <c r="F326" i="8"/>
  <c r="F325" i="8"/>
  <c r="F324" i="8"/>
  <c r="F323" i="8"/>
  <c r="F322" i="8"/>
  <c r="F321" i="8"/>
  <c r="F320" i="8"/>
  <c r="F319" i="8"/>
  <c r="F318" i="8"/>
  <c r="F317" i="8"/>
  <c r="F316" i="8"/>
  <c r="F315" i="8"/>
  <c r="F314" i="8"/>
  <c r="F313" i="8"/>
  <c r="F312" i="8"/>
  <c r="F311" i="8"/>
  <c r="F310" i="8"/>
  <c r="F309" i="8"/>
  <c r="F308" i="8"/>
  <c r="F307" i="8"/>
  <c r="F306" i="8"/>
  <c r="F305" i="8"/>
  <c r="F304" i="8"/>
  <c r="F303" i="8"/>
  <c r="F302" i="8"/>
  <c r="F301" i="8"/>
  <c r="F300" i="8"/>
  <c r="F299" i="8"/>
  <c r="F298" i="8"/>
  <c r="F297" i="8"/>
  <c r="F296" i="8"/>
  <c r="F295" i="8"/>
  <c r="F294" i="8"/>
  <c r="F293" i="8"/>
  <c r="F292" i="8"/>
  <c r="F261" i="8"/>
  <c r="F260" i="8"/>
  <c r="F259" i="8"/>
  <c r="F258" i="8"/>
  <c r="F257" i="8"/>
  <c r="F256" i="8"/>
  <c r="D52" i="1"/>
  <c r="B52" i="1"/>
  <c r="N51" i="1"/>
  <c r="G51" i="1"/>
  <c r="D51" i="1"/>
  <c r="AN600" i="13"/>
  <c r="AN599" i="13"/>
  <c r="AN598" i="13"/>
  <c r="AN597" i="13"/>
  <c r="AN596" i="13"/>
  <c r="AN595" i="13"/>
  <c r="AN594" i="13"/>
  <c r="AN593" i="13"/>
  <c r="AN592" i="13"/>
  <c r="AN591" i="13"/>
  <c r="AN590" i="13"/>
  <c r="AN589" i="13"/>
  <c r="AN588" i="13"/>
  <c r="AN587" i="13"/>
  <c r="AN586" i="13"/>
  <c r="AN585" i="13"/>
  <c r="AN584" i="13"/>
  <c r="AN583" i="13"/>
  <c r="AN582" i="13"/>
  <c r="AN581" i="13"/>
  <c r="AN580" i="13"/>
  <c r="AN579" i="13"/>
  <c r="AN578" i="13"/>
  <c r="AN577" i="13"/>
  <c r="AN576" i="13"/>
  <c r="AN533" i="13"/>
  <c r="AN532" i="13"/>
  <c r="AN531" i="13"/>
  <c r="AN530" i="13"/>
  <c r="AN529" i="13"/>
  <c r="AN528" i="13"/>
  <c r="AN527" i="13"/>
  <c r="AN526" i="13"/>
  <c r="AN525" i="13"/>
  <c r="AN524" i="13"/>
  <c r="AN523" i="13"/>
  <c r="AN522" i="13"/>
  <c r="AN521" i="13"/>
  <c r="AN520" i="13"/>
  <c r="AN519" i="13"/>
  <c r="AN518" i="13"/>
  <c r="AN517" i="13"/>
  <c r="AN516" i="13"/>
  <c r="AN515" i="13"/>
  <c r="AN514" i="13"/>
  <c r="AN513" i="13"/>
  <c r="AN512" i="13"/>
  <c r="AN511" i="13"/>
  <c r="AN510" i="13"/>
  <c r="AN509" i="13"/>
  <c r="AN508" i="13"/>
  <c r="AN507" i="13"/>
  <c r="AN506" i="13"/>
  <c r="AN505" i="13"/>
  <c r="AN504" i="13"/>
  <c r="AN503" i="13"/>
  <c r="AN502" i="13"/>
  <c r="AN501" i="13"/>
  <c r="AN500" i="13"/>
  <c r="AN499" i="13"/>
  <c r="U106" i="12"/>
  <c r="K106" i="12"/>
  <c r="G106" i="12"/>
  <c r="B106" i="12"/>
  <c r="K104" i="12"/>
  <c r="G104" i="12"/>
  <c r="B104" i="12"/>
  <c r="U103" i="12"/>
  <c r="K102" i="12"/>
  <c r="G102" i="12"/>
  <c r="B102" i="12"/>
  <c r="U100" i="12"/>
  <c r="H98" i="12"/>
  <c r="B98" i="12"/>
  <c r="U97" i="12"/>
  <c r="U94" i="12"/>
  <c r="M89" i="12"/>
  <c r="J89" i="12"/>
  <c r="F89" i="12"/>
  <c r="B89" i="12"/>
  <c r="M87" i="12"/>
  <c r="J87" i="12"/>
  <c r="F87" i="12"/>
  <c r="B87" i="12"/>
  <c r="Q86" i="12"/>
  <c r="M85" i="12"/>
  <c r="J85" i="12"/>
  <c r="F85" i="12"/>
  <c r="B85" i="12"/>
  <c r="M83" i="12"/>
  <c r="J83" i="12"/>
  <c r="F83" i="12"/>
  <c r="B83" i="12"/>
  <c r="M81" i="12"/>
  <c r="J81" i="12"/>
  <c r="F515" i="8"/>
  <c r="F514" i="8"/>
  <c r="F513" i="8"/>
  <c r="F512" i="8"/>
  <c r="F511" i="8"/>
  <c r="F510" i="8"/>
  <c r="F509" i="8"/>
  <c r="F508" i="8"/>
  <c r="F507" i="8"/>
  <c r="F506" i="8"/>
  <c r="F505" i="8"/>
  <c r="F504" i="8"/>
  <c r="F503" i="8"/>
  <c r="F502" i="8"/>
  <c r="F501" i="8"/>
  <c r="F500" i="8"/>
  <c r="F499" i="8"/>
  <c r="F498" i="8"/>
  <c r="F497" i="8"/>
  <c r="F496" i="8"/>
  <c r="F495" i="8"/>
  <c r="F494" i="8"/>
  <c r="F493" i="8"/>
  <c r="F492" i="8"/>
  <c r="F491" i="8"/>
  <c r="F490" i="8"/>
  <c r="F489" i="8"/>
  <c r="F488" i="8"/>
  <c r="F487" i="8"/>
  <c r="F486" i="8"/>
  <c r="F485" i="8"/>
  <c r="F484" i="8"/>
  <c r="F483" i="8"/>
  <c r="F482" i="8"/>
  <c r="F481" i="8"/>
  <c r="F480" i="8"/>
  <c r="F479" i="8"/>
  <c r="F478" i="8"/>
  <c r="F477" i="8"/>
  <c r="F476" i="8"/>
  <c r="F475" i="8"/>
  <c r="F474" i="8"/>
  <c r="F473" i="8"/>
  <c r="F472" i="8"/>
  <c r="F471" i="8"/>
  <c r="F470" i="8"/>
  <c r="F469" i="8"/>
  <c r="F468" i="8"/>
  <c r="F467" i="8"/>
  <c r="F466" i="8"/>
  <c r="F465" i="8"/>
  <c r="F464" i="8"/>
  <c r="F463" i="8"/>
  <c r="F462" i="8"/>
  <c r="F461" i="8"/>
  <c r="F460" i="8"/>
  <c r="F459" i="8"/>
  <c r="F458" i="8"/>
  <c r="F457" i="8"/>
  <c r="F385" i="8"/>
  <c r="F384" i="8"/>
  <c r="F383" i="8"/>
  <c r="F382" i="8"/>
  <c r="F381" i="8"/>
  <c r="F380" i="8"/>
  <c r="F379" i="8"/>
  <c r="F378" i="8"/>
  <c r="F377" i="8"/>
  <c r="F376" i="8"/>
  <c r="F375" i="8"/>
  <c r="F374" i="8"/>
  <c r="F373" i="8"/>
  <c r="F372" i="8"/>
  <c r="F371" i="8"/>
  <c r="F370" i="8"/>
  <c r="F369" i="8"/>
  <c r="F368" i="8"/>
  <c r="F367" i="8"/>
  <c r="F366" i="8"/>
  <c r="F365" i="8"/>
  <c r="F364" i="8"/>
  <c r="F363" i="8"/>
  <c r="F362" i="8"/>
  <c r="F361" i="8"/>
  <c r="F360" i="8"/>
  <c r="F359" i="8"/>
  <c r="F358" i="8"/>
  <c r="F357" i="8"/>
  <c r="F356" i="8"/>
  <c r="F355" i="8"/>
  <c r="F354" i="8"/>
  <c r="F353" i="8"/>
  <c r="F352" i="8"/>
  <c r="F351" i="8"/>
  <c r="F350" i="8"/>
  <c r="F349" i="8"/>
  <c r="F348" i="8"/>
  <c r="F347" i="8"/>
  <c r="F346" i="8"/>
  <c r="F345" i="8"/>
  <c r="F344" i="8"/>
  <c r="F343" i="8"/>
  <c r="F342" i="8"/>
  <c r="F341" i="8"/>
  <c r="F340" i="8"/>
  <c r="F339" i="8"/>
  <c r="F338" i="8"/>
  <c r="F337" i="8"/>
  <c r="F336" i="8"/>
  <c r="F335" i="8"/>
  <c r="F334" i="8"/>
  <c r="F333" i="8"/>
  <c r="F332" i="8"/>
  <c r="F331" i="8"/>
  <c r="F330" i="8"/>
  <c r="F329" i="8"/>
  <c r="F328" i="8"/>
  <c r="F327" i="8"/>
  <c r="F255" i="8"/>
  <c r="F254" i="8"/>
  <c r="F253" i="8"/>
  <c r="F252" i="8"/>
  <c r="F251" i="8"/>
  <c r="F250" i="8"/>
  <c r="F249" i="8"/>
  <c r="F248" i="8"/>
  <c r="F247" i="8"/>
  <c r="F246" i="8"/>
  <c r="F245" i="8"/>
  <c r="F244" i="8"/>
  <c r="F243" i="8"/>
  <c r="F242" i="8"/>
  <c r="F241" i="8"/>
  <c r="F240" i="8"/>
  <c r="F36" i="1"/>
  <c r="O35" i="1"/>
  <c r="M35" i="1"/>
  <c r="J35" i="1"/>
  <c r="F35" i="1"/>
  <c r="O34" i="1"/>
  <c r="J34" i="1"/>
  <c r="F34" i="1"/>
  <c r="F33" i="1"/>
  <c r="AN410" i="15"/>
  <c r="AN49" i="15"/>
  <c r="AN498" i="13"/>
  <c r="AN497" i="13"/>
  <c r="AN496" i="13"/>
  <c r="AN495" i="13"/>
  <c r="AN494" i="13"/>
  <c r="AN493" i="13"/>
  <c r="AN492" i="13"/>
  <c r="AN491" i="13"/>
  <c r="AN490" i="13"/>
  <c r="AN489" i="13"/>
  <c r="AN488" i="13"/>
  <c r="AN487" i="13"/>
  <c r="AN486" i="13"/>
  <c r="AN485" i="13"/>
  <c r="AN484" i="13"/>
  <c r="AN483" i="13"/>
  <c r="AN482" i="13"/>
  <c r="AN481" i="13"/>
  <c r="AN480" i="13"/>
  <c r="AN479" i="13"/>
  <c r="AN478" i="13"/>
  <c r="AN477" i="13"/>
  <c r="AN476" i="13"/>
  <c r="AN475" i="13"/>
  <c r="AN474" i="13"/>
  <c r="AN473" i="13"/>
  <c r="AN472" i="13"/>
  <c r="AN471" i="13"/>
  <c r="AN470" i="13"/>
  <c r="AN469" i="13"/>
  <c r="AN468" i="13"/>
  <c r="AN467" i="13"/>
  <c r="AN466" i="13"/>
  <c r="AN465" i="13"/>
  <c r="AN464" i="13"/>
  <c r="AN463" i="13"/>
  <c r="AN462" i="13"/>
  <c r="AN461" i="13"/>
  <c r="AN460" i="13"/>
  <c r="AN459" i="13"/>
  <c r="AN458" i="13"/>
  <c r="AN457" i="13"/>
  <c r="AN456" i="13"/>
  <c r="AN455" i="13"/>
  <c r="AN454" i="13"/>
  <c r="AN453" i="13"/>
  <c r="AN452" i="13"/>
  <c r="AN451" i="13"/>
  <c r="AN450" i="13"/>
  <c r="AN449" i="13"/>
  <c r="AN448" i="13"/>
  <c r="AN447" i="13"/>
  <c r="AN446" i="13"/>
  <c r="AN445" i="13"/>
  <c r="AN444" i="13"/>
  <c r="AN443" i="13"/>
  <c r="AN442" i="13"/>
  <c r="AN441" i="13"/>
  <c r="AN440" i="13"/>
  <c r="AN439" i="13"/>
  <c r="AN438" i="13"/>
  <c r="AN437" i="13"/>
  <c r="AN436" i="13"/>
  <c r="AN435" i="13"/>
  <c r="AN434" i="13"/>
  <c r="AN433" i="13"/>
  <c r="AN432" i="13"/>
  <c r="AN431" i="13"/>
  <c r="AN430" i="13"/>
  <c r="AN429" i="13"/>
  <c r="AN428" i="13"/>
  <c r="AN427" i="13"/>
  <c r="AN426" i="13"/>
  <c r="AN425" i="13"/>
  <c r="AN424" i="13"/>
  <c r="AN423" i="13"/>
  <c r="AN422" i="13"/>
  <c r="AN421" i="13"/>
  <c r="AN420" i="13"/>
  <c r="AN419" i="13"/>
  <c r="AN418" i="13"/>
  <c r="AN417" i="13"/>
  <c r="AN416" i="13"/>
  <c r="AN415" i="13"/>
  <c r="AN414" i="13"/>
  <c r="AN413" i="13"/>
  <c r="AN412" i="13"/>
  <c r="AN411" i="13"/>
  <c r="AN410" i="13"/>
  <c r="AN409" i="13"/>
  <c r="AN408" i="13"/>
  <c r="AN407" i="13"/>
  <c r="AN406" i="13"/>
  <c r="AN405" i="13"/>
  <c r="AN404" i="13"/>
  <c r="AN403" i="13"/>
  <c r="AN402" i="13"/>
  <c r="AN401" i="13"/>
  <c r="AN400" i="13"/>
  <c r="AN399" i="13"/>
  <c r="AN398" i="13"/>
  <c r="AN397" i="13"/>
  <c r="AN396" i="13"/>
  <c r="AN395" i="13"/>
  <c r="AN394" i="13"/>
  <c r="AN393" i="13"/>
  <c r="AN392" i="13"/>
  <c r="AN391" i="13"/>
  <c r="AN390" i="13"/>
  <c r="AN389" i="13"/>
  <c r="AN388" i="13"/>
  <c r="AN387" i="13"/>
  <c r="AN386" i="13"/>
  <c r="AN385" i="13"/>
  <c r="AN384" i="13"/>
  <c r="AN383" i="13"/>
  <c r="AN382" i="13"/>
  <c r="AN381" i="13"/>
  <c r="AN380" i="13"/>
  <c r="AN379" i="13"/>
  <c r="AN378" i="13"/>
  <c r="AN377" i="13"/>
  <c r="AN376" i="13"/>
  <c r="AN375" i="13"/>
  <c r="AN374" i="13"/>
  <c r="AN238" i="13"/>
  <c r="AN237" i="13"/>
  <c r="AN236" i="13"/>
  <c r="AN235" i="13"/>
  <c r="AN234" i="13"/>
  <c r="AN233" i="13"/>
  <c r="AN232" i="13"/>
  <c r="AN231" i="13"/>
  <c r="AN230" i="13"/>
  <c r="AN229" i="13"/>
  <c r="AN228" i="13"/>
  <c r="AN227" i="13"/>
  <c r="AN226" i="13"/>
  <c r="AN225" i="13"/>
  <c r="AN224" i="13"/>
  <c r="AN223" i="13"/>
  <c r="AN222" i="13"/>
  <c r="AN221" i="13"/>
  <c r="AN220" i="13"/>
  <c r="AN219" i="13"/>
  <c r="AN218" i="13"/>
  <c r="AN217" i="13"/>
  <c r="AN216" i="13"/>
  <c r="AN215" i="13"/>
  <c r="AN214" i="13"/>
  <c r="AN213" i="13"/>
  <c r="AN212" i="13"/>
  <c r="AN211" i="13"/>
  <c r="AN210" i="13"/>
  <c r="AN209" i="13"/>
  <c r="AN208" i="13"/>
  <c r="AN207" i="13"/>
  <c r="AN206" i="13"/>
  <c r="AN205" i="13"/>
  <c r="AN204" i="13"/>
  <c r="AN203" i="13"/>
  <c r="AN202" i="13"/>
  <c r="AN201" i="13"/>
  <c r="AN200" i="13"/>
  <c r="AN199" i="13"/>
  <c r="AN198" i="13"/>
  <c r="AN197" i="13"/>
  <c r="AN196" i="13"/>
  <c r="AN195" i="13"/>
  <c r="AN194" i="13"/>
  <c r="AN193" i="13"/>
  <c r="AN192" i="13"/>
  <c r="AN191" i="13"/>
  <c r="AN190" i="13"/>
  <c r="AN189" i="13"/>
  <c r="AN188" i="13"/>
  <c r="AN187" i="13"/>
  <c r="AN186" i="13"/>
  <c r="AN185" i="13"/>
  <c r="AN184" i="13"/>
  <c r="AN183" i="13"/>
  <c r="AN182" i="13"/>
  <c r="AN181" i="13"/>
  <c r="AN180" i="13"/>
  <c r="AN179" i="13"/>
  <c r="AN178" i="13"/>
  <c r="AN177" i="13"/>
  <c r="AN176" i="13"/>
  <c r="AN175" i="13"/>
  <c r="AN174" i="13"/>
  <c r="AN173" i="13"/>
  <c r="AN172" i="13"/>
  <c r="AN171" i="13"/>
  <c r="AN170" i="13"/>
  <c r="AN169" i="13"/>
  <c r="AN168" i="13"/>
  <c r="AN167" i="13"/>
  <c r="AN166" i="13"/>
  <c r="AN165" i="13"/>
  <c r="AN164" i="13"/>
  <c r="AN163" i="13"/>
  <c r="AN162" i="13"/>
  <c r="AN161" i="13"/>
  <c r="AN160" i="13"/>
  <c r="AN159" i="13"/>
  <c r="AN158" i="13"/>
  <c r="AN157" i="13"/>
  <c r="AN156" i="13"/>
  <c r="AN155" i="13"/>
  <c r="AN154" i="13"/>
  <c r="AN153" i="13"/>
  <c r="AN152" i="13"/>
  <c r="AN151" i="13"/>
  <c r="AN150" i="13"/>
  <c r="AN149" i="13"/>
  <c r="AN148" i="13"/>
  <c r="AN147" i="13"/>
  <c r="AN146" i="13"/>
  <c r="AN145" i="13"/>
  <c r="AN144" i="13"/>
  <c r="AN143" i="13"/>
  <c r="AN142" i="13"/>
  <c r="AN141" i="13"/>
  <c r="AN140" i="13"/>
  <c r="AN139" i="13"/>
  <c r="AN138" i="13"/>
  <c r="AN137" i="13"/>
  <c r="AN136" i="13"/>
  <c r="AN135" i="13"/>
  <c r="AN134" i="13"/>
  <c r="AN133" i="13"/>
  <c r="AN132" i="13"/>
  <c r="AN131" i="13"/>
  <c r="AN130" i="13"/>
  <c r="AN129" i="13"/>
  <c r="AN128" i="13"/>
  <c r="AN127" i="13"/>
  <c r="AN126" i="13"/>
  <c r="AN125" i="13"/>
  <c r="AN124" i="13"/>
  <c r="AN123" i="13"/>
  <c r="AN122" i="13"/>
  <c r="AN121" i="13"/>
  <c r="AN120" i="13"/>
  <c r="AN119" i="13"/>
  <c r="AN118" i="13"/>
  <c r="AN117" i="13"/>
  <c r="AN116" i="13"/>
  <c r="AN115" i="13"/>
  <c r="AN114" i="13"/>
  <c r="AN113" i="13"/>
  <c r="AN112" i="13"/>
  <c r="AN111" i="13"/>
  <c r="AN110" i="13"/>
  <c r="AN109" i="13"/>
  <c r="AN108" i="13"/>
  <c r="AN107" i="13"/>
  <c r="AN106" i="13"/>
  <c r="AN105" i="13"/>
  <c r="AN104" i="13"/>
  <c r="AN103" i="13"/>
  <c r="AN102" i="13"/>
  <c r="AN101" i="13"/>
  <c r="AN100" i="13"/>
  <c r="AN99" i="13"/>
  <c r="AN98" i="13"/>
  <c r="AN97" i="13"/>
  <c r="AN96" i="13"/>
  <c r="AN95" i="13"/>
  <c r="AN94" i="13"/>
  <c r="AN93" i="13"/>
  <c r="AN92" i="13"/>
  <c r="AN91" i="13"/>
  <c r="AN90" i="13"/>
  <c r="AN89" i="13"/>
  <c r="AN88" i="13"/>
  <c r="AN87" i="13"/>
  <c r="AN86" i="13"/>
  <c r="AN85" i="13"/>
  <c r="AN84" i="13"/>
  <c r="AN83" i="13"/>
  <c r="AN82" i="13"/>
  <c r="AN81" i="13"/>
  <c r="AN80" i="13"/>
  <c r="AN79" i="13"/>
  <c r="AN78" i="13"/>
  <c r="AN77" i="13"/>
  <c r="AN76" i="13"/>
  <c r="AN75" i="13"/>
  <c r="AN74" i="13"/>
  <c r="AN73" i="13"/>
  <c r="AN72" i="13"/>
  <c r="AN71" i="13"/>
  <c r="AN70" i="13"/>
  <c r="AN69" i="13"/>
  <c r="AN68" i="13"/>
  <c r="AN67" i="13"/>
  <c r="AN66" i="13"/>
  <c r="AN65" i="13"/>
  <c r="AN64" i="13"/>
  <c r="AN63" i="13"/>
  <c r="AN62" i="13"/>
  <c r="AN61" i="13"/>
  <c r="AN60" i="13"/>
  <c r="AN59" i="13"/>
  <c r="AN58" i="13"/>
  <c r="AN57"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F600" i="8"/>
  <c r="F599" i="8"/>
  <c r="F598" i="8"/>
  <c r="F597" i="8"/>
  <c r="F596" i="8"/>
  <c r="F595" i="8"/>
  <c r="F594" i="8"/>
  <c r="F593" i="8"/>
  <c r="F592" i="8"/>
  <c r="F591" i="8"/>
  <c r="F590" i="8"/>
  <c r="F589" i="8"/>
  <c r="F588" i="8"/>
  <c r="F587" i="8"/>
  <c r="F586" i="8"/>
  <c r="F585" i="8"/>
  <c r="F584" i="8"/>
  <c r="F583" i="8"/>
  <c r="F582" i="8"/>
  <c r="F581" i="8"/>
  <c r="F580" i="8"/>
  <c r="F579" i="8"/>
  <c r="F578" i="8"/>
  <c r="F577" i="8"/>
  <c r="F576" i="8"/>
  <c r="F575" i="8"/>
  <c r="F574" i="8"/>
  <c r="F573" i="8"/>
  <c r="F572" i="8"/>
  <c r="F571" i="8"/>
  <c r="F570" i="8"/>
  <c r="F569" i="8"/>
  <c r="F568" i="8"/>
  <c r="F567" i="8"/>
  <c r="F566" i="8"/>
  <c r="F565" i="8"/>
  <c r="F564" i="8"/>
  <c r="F563" i="8"/>
  <c r="F562" i="8"/>
  <c r="F561" i="8"/>
  <c r="F560" i="8"/>
  <c r="F559" i="8"/>
  <c r="F558" i="8"/>
  <c r="F557" i="8"/>
  <c r="F556" i="8"/>
  <c r="F555" i="8"/>
  <c r="F554" i="8"/>
  <c r="F553" i="8"/>
  <c r="F552" i="8"/>
  <c r="F551" i="8"/>
  <c r="F550" i="8"/>
  <c r="F549" i="8"/>
  <c r="F548" i="8"/>
  <c r="F547" i="8"/>
  <c r="F546" i="8"/>
  <c r="F545" i="8"/>
  <c r="F544" i="8"/>
  <c r="F543" i="8"/>
  <c r="F542" i="8"/>
  <c r="F541" i="8"/>
  <c r="F540" i="8"/>
  <c r="F539" i="8"/>
  <c r="F538" i="8"/>
  <c r="F537" i="8"/>
  <c r="F536" i="8"/>
  <c r="F535" i="8"/>
  <c r="F534" i="8"/>
  <c r="F533" i="8"/>
  <c r="F532" i="8"/>
  <c r="F531" i="8"/>
  <c r="F530" i="8"/>
  <c r="F529" i="8"/>
  <c r="F528" i="8"/>
  <c r="F527" i="8"/>
  <c r="F526" i="8"/>
  <c r="F525" i="8"/>
  <c r="F524" i="8"/>
  <c r="F523" i="8"/>
  <c r="F522" i="8"/>
  <c r="F521" i="8"/>
  <c r="F520" i="8"/>
  <c r="F519" i="8"/>
  <c r="F518" i="8"/>
  <c r="F517" i="8"/>
  <c r="F516" i="8"/>
  <c r="F26" i="8"/>
  <c r="F25" i="8"/>
  <c r="F24" i="8"/>
  <c r="F23" i="8"/>
  <c r="F22" i="8"/>
  <c r="F21" i="8"/>
  <c r="F20" i="8"/>
  <c r="F19" i="8"/>
  <c r="F18" i="8"/>
  <c r="F17" i="8"/>
  <c r="F16" i="8"/>
  <c r="F15" i="8"/>
  <c r="F14" i="8"/>
  <c r="F13" i="8"/>
  <c r="F12" i="8"/>
  <c r="F11" i="8"/>
  <c r="F10" i="8"/>
  <c r="F9" i="8"/>
  <c r="F8" i="8"/>
  <c r="F7" i="8"/>
  <c r="F6" i="8"/>
  <c r="F5" i="8"/>
  <c r="F4" i="8"/>
  <c r="F3" i="8"/>
  <c r="F2"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M34" i="1"/>
  <c r="F127" i="8"/>
  <c r="F126" i="8"/>
  <c r="F125" i="8"/>
  <c r="F124" i="8"/>
  <c r="F123" i="8"/>
  <c r="F122" i="8"/>
  <c r="F121" i="8"/>
  <c r="F120" i="8"/>
  <c r="F128"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AN599" i="17"/>
  <c r="AN596" i="17"/>
  <c r="AN595" i="17"/>
  <c r="AN592" i="17"/>
  <c r="AN590" i="17"/>
  <c r="AN586" i="17"/>
  <c r="AN584" i="17"/>
  <c r="AN580" i="17"/>
  <c r="AN576" i="17"/>
  <c r="AN573" i="17"/>
  <c r="AN570" i="17"/>
  <c r="AN565" i="17"/>
  <c r="AN561" i="17"/>
  <c r="AN557" i="17"/>
  <c r="AN554" i="17"/>
  <c r="AN550" i="17"/>
  <c r="AN545" i="17"/>
  <c r="AN541" i="17"/>
  <c r="AN537" i="17"/>
  <c r="AN533" i="17"/>
  <c r="AN528" i="17"/>
  <c r="AN524" i="17"/>
  <c r="AN519" i="17"/>
  <c r="AN515" i="17"/>
  <c r="AN511" i="17"/>
  <c r="AN507" i="17"/>
  <c r="AN503" i="17"/>
  <c r="AN500" i="17"/>
  <c r="AN496" i="17"/>
  <c r="AN493" i="17"/>
  <c r="AN488" i="17"/>
  <c r="AN484" i="17"/>
  <c r="AN481" i="17"/>
  <c r="AN478" i="17"/>
  <c r="AN474" i="17"/>
  <c r="AN470" i="17"/>
  <c r="AN465" i="17"/>
  <c r="AN461" i="17"/>
  <c r="AN458" i="17"/>
  <c r="AN456" i="17"/>
  <c r="AN452" i="17"/>
  <c r="AN449" i="17"/>
  <c r="AN447" i="17"/>
  <c r="AN443" i="17"/>
  <c r="AN441" i="17"/>
  <c r="AN437" i="17"/>
  <c r="AN433" i="17"/>
  <c r="AN429" i="17"/>
  <c r="AN424" i="17"/>
  <c r="AN420" i="17"/>
  <c r="AN415" i="17"/>
  <c r="AN411" i="17"/>
  <c r="AN407" i="17"/>
  <c r="AN405" i="17"/>
  <c r="AN401" i="17"/>
  <c r="AN397" i="17"/>
  <c r="AN393" i="17"/>
  <c r="AN390" i="17"/>
  <c r="AN386" i="17"/>
  <c r="AN381" i="17"/>
  <c r="AN375" i="17"/>
  <c r="AN371" i="17"/>
  <c r="AN367" i="17"/>
  <c r="AN363" i="17"/>
  <c r="AN358" i="17"/>
  <c r="AN355" i="17"/>
  <c r="AN351" i="17"/>
  <c r="AN346" i="17"/>
  <c r="AN342" i="17"/>
  <c r="AN337" i="17"/>
  <c r="AN333" i="17"/>
  <c r="AN328" i="17"/>
  <c r="AN323" i="17"/>
  <c r="AN319" i="17"/>
  <c r="AN315" i="17"/>
  <c r="AN312" i="17"/>
  <c r="AN307" i="17"/>
  <c r="AN304" i="17"/>
  <c r="AN300" i="17"/>
  <c r="AN296" i="17"/>
  <c r="AN292" i="17"/>
  <c r="AN289" i="17"/>
  <c r="AN285" i="17"/>
  <c r="AN281" i="17"/>
  <c r="AN277" i="17"/>
  <c r="AN273" i="17"/>
  <c r="AN250" i="17"/>
  <c r="AN246" i="17"/>
  <c r="AN243" i="17"/>
  <c r="AN239" i="17"/>
  <c r="AN234" i="17"/>
  <c r="AN230" i="17"/>
  <c r="AN226" i="17"/>
  <c r="AN222" i="17"/>
  <c r="AN218" i="17"/>
  <c r="AN214" i="17"/>
  <c r="AN211" i="17"/>
  <c r="AN206" i="17"/>
  <c r="AN203" i="17"/>
  <c r="AN199" i="17"/>
  <c r="AN195" i="17"/>
  <c r="AN191" i="17"/>
  <c r="AN187" i="17"/>
  <c r="AN183" i="17"/>
  <c r="AN179" i="17"/>
  <c r="AN175" i="17"/>
  <c r="AN173" i="17"/>
  <c r="AN170" i="17"/>
  <c r="AN167" i="17"/>
  <c r="AN164" i="17"/>
  <c r="AN161" i="17"/>
  <c r="AN158" i="17"/>
  <c r="AN155" i="17"/>
  <c r="AN152" i="17"/>
  <c r="AN149" i="17"/>
  <c r="AN147" i="17"/>
  <c r="AN142" i="17"/>
  <c r="AN138" i="17"/>
  <c r="AN135" i="17"/>
  <c r="AN132" i="17"/>
  <c r="AN128" i="17"/>
  <c r="AN125" i="17"/>
  <c r="AN122" i="17"/>
  <c r="AN119" i="17"/>
  <c r="AN115" i="17"/>
  <c r="AN111" i="17"/>
  <c r="AN107" i="17"/>
  <c r="AN104" i="17"/>
  <c r="AN100" i="17"/>
  <c r="AN94" i="17"/>
  <c r="AN90" i="17"/>
  <c r="AN86" i="17"/>
  <c r="AN84" i="17"/>
  <c r="AN81" i="17"/>
  <c r="AN77" i="17"/>
  <c r="AN73" i="17"/>
  <c r="AN68" i="17"/>
  <c r="AN63" i="17"/>
  <c r="AN59" i="17"/>
  <c r="AN56" i="17"/>
  <c r="AN52" i="17"/>
  <c r="AN46" i="17"/>
  <c r="AN41" i="17"/>
  <c r="AN38" i="17"/>
  <c r="AN35" i="17"/>
  <c r="AN30" i="17"/>
  <c r="AN27" i="17"/>
  <c r="AN25" i="17"/>
  <c r="AN22" i="17"/>
  <c r="AN19" i="17"/>
  <c r="AN16" i="17"/>
  <c r="AN13" i="17"/>
  <c r="AN10" i="17"/>
  <c r="AN7" i="17"/>
  <c r="AN3" i="17"/>
  <c r="AN231" i="17"/>
  <c r="AN228" i="17"/>
  <c r="AN224" i="17"/>
  <c r="AN220" i="17"/>
  <c r="AN216" i="17"/>
  <c r="AN212" i="17"/>
  <c r="AN208" i="17"/>
  <c r="AN204" i="17"/>
  <c r="AN200" i="17"/>
  <c r="AN196" i="17"/>
  <c r="AN192" i="17"/>
  <c r="AN189" i="17"/>
  <c r="AN185" i="17"/>
  <c r="AN180" i="17"/>
  <c r="AN176" i="17"/>
  <c r="AN172" i="17"/>
  <c r="AN169" i="17"/>
  <c r="AN165" i="17"/>
  <c r="AN162" i="17"/>
  <c r="AN160" i="17"/>
  <c r="AN157" i="17"/>
  <c r="AN154" i="17"/>
  <c r="AN150" i="17"/>
  <c r="AN145" i="17"/>
  <c r="AN143" i="17"/>
  <c r="AN140" i="17"/>
  <c r="AN136" i="17"/>
  <c r="AN133" i="17"/>
  <c r="AN130" i="17"/>
  <c r="AN126" i="17"/>
  <c r="AN123" i="17"/>
  <c r="AN120" i="17"/>
  <c r="AN117" i="17"/>
  <c r="AN113" i="17"/>
  <c r="AN109" i="17"/>
  <c r="AN105" i="17"/>
  <c r="AN101" i="17"/>
  <c r="AN97" i="17"/>
  <c r="AN93" i="17"/>
  <c r="AN89" i="17"/>
  <c r="AN85" i="17"/>
  <c r="AN80" i="17"/>
  <c r="AN76" i="17"/>
  <c r="AN72" i="17"/>
  <c r="AN69" i="17"/>
  <c r="AN65" i="17"/>
  <c r="AN61" i="17"/>
  <c r="AN57" i="17"/>
  <c r="AN53" i="17"/>
  <c r="AN49" i="17"/>
  <c r="AN45" i="17"/>
  <c r="AN42" i="17"/>
  <c r="AN39" i="17"/>
  <c r="AN36" i="17"/>
  <c r="AN32" i="17"/>
  <c r="AN29" i="17"/>
  <c r="AN26" i="17"/>
  <c r="AN23" i="17"/>
  <c r="AN20" i="17"/>
  <c r="AN17" i="17"/>
  <c r="AN14" i="17"/>
  <c r="AN11" i="17"/>
  <c r="AN8" i="17"/>
  <c r="AN5" i="17"/>
  <c r="AN2" i="17"/>
  <c r="AN471" i="17"/>
  <c r="B167" i="16"/>
  <c r="B150" i="16"/>
  <c r="B140" i="16"/>
  <c r="B138" i="16"/>
  <c r="B136" i="16"/>
  <c r="B134" i="16"/>
  <c r="B132" i="16"/>
  <c r="B130" i="16"/>
  <c r="B128" i="16"/>
  <c r="B126" i="16"/>
  <c r="K116" i="16"/>
  <c r="G116" i="16"/>
  <c r="B116" i="16"/>
  <c r="K114" i="16"/>
  <c r="G114" i="16"/>
  <c r="B114" i="16"/>
  <c r="K112" i="16"/>
  <c r="G112" i="16"/>
  <c r="B112" i="16"/>
  <c r="K110" i="16"/>
  <c r="G110" i="16"/>
  <c r="B110" i="16"/>
  <c r="U108" i="16"/>
  <c r="Q108" i="16"/>
  <c r="H106" i="16"/>
  <c r="B106" i="16"/>
  <c r="U105" i="16"/>
  <c r="Q105" i="16"/>
  <c r="U102" i="16"/>
  <c r="Q102" i="16"/>
  <c r="U99" i="16"/>
  <c r="Q99" i="16"/>
  <c r="M93" i="16"/>
  <c r="E93" i="16"/>
  <c r="B93" i="16"/>
  <c r="U92" i="16"/>
  <c r="M91" i="16"/>
  <c r="E91" i="16"/>
  <c r="B91" i="16"/>
  <c r="U89" i="16"/>
  <c r="M89" i="16"/>
  <c r="E89" i="16"/>
  <c r="AN33" i="17"/>
  <c r="AN579" i="17"/>
  <c r="AN569" i="17"/>
  <c r="AN566" i="17"/>
  <c r="AN562" i="17"/>
  <c r="AN558" i="17"/>
  <c r="AN553" i="17"/>
  <c r="AN549" i="17"/>
  <c r="AN546" i="17"/>
  <c r="AN542" i="17"/>
  <c r="AN538" i="17"/>
  <c r="AN534" i="17"/>
  <c r="AN530" i="17"/>
  <c r="AN527" i="17"/>
  <c r="AN523" i="17"/>
  <c r="AN520" i="17"/>
  <c r="AN516" i="17"/>
  <c r="AN512" i="17"/>
  <c r="AN508" i="17"/>
  <c r="AN504" i="17"/>
  <c r="AN499" i="17"/>
  <c r="AN495" i="17"/>
  <c r="AN491" i="17"/>
  <c r="AN486" i="17"/>
  <c r="AN480" i="17"/>
  <c r="AN476" i="17"/>
  <c r="AN473" i="17"/>
  <c r="AN469" i="17"/>
  <c r="AN467" i="17"/>
  <c r="AN463" i="17"/>
  <c r="AN460" i="17"/>
  <c r="AN457" i="17"/>
  <c r="AN455" i="17"/>
  <c r="AN453" i="17"/>
  <c r="AN450" i="17"/>
  <c r="AN446" i="17"/>
  <c r="AN444" i="17"/>
  <c r="AN440" i="17"/>
  <c r="AN436" i="17"/>
  <c r="AN432" i="17"/>
  <c r="AN428" i="17"/>
  <c r="AN425" i="17"/>
  <c r="AN421" i="17"/>
  <c r="AN417" i="17"/>
  <c r="AN413" i="17"/>
  <c r="AN409" i="17"/>
  <c r="AN404" i="17"/>
  <c r="AN400" i="17"/>
  <c r="AN396" i="17"/>
  <c r="AN392" i="17"/>
  <c r="AN389" i="17"/>
  <c r="AN385" i="17"/>
  <c r="AN382" i="17"/>
  <c r="AN378" i="17"/>
  <c r="AN374" i="17"/>
  <c r="AN370" i="17"/>
  <c r="AN366" i="17"/>
  <c r="AN362" i="17"/>
  <c r="AN359" i="17"/>
  <c r="AN354" i="17"/>
  <c r="AN350" i="17"/>
  <c r="AN347" i="17"/>
  <c r="AN343" i="17"/>
  <c r="AN339" i="17"/>
  <c r="AN335" i="17"/>
  <c r="AN332" i="17"/>
  <c r="AN329" i="17"/>
  <c r="AN325" i="17"/>
  <c r="AN321" i="17"/>
  <c r="AN317" i="17"/>
  <c r="AN313" i="17"/>
  <c r="AN309" i="17"/>
  <c r="AN305" i="17"/>
  <c r="AN301" i="17"/>
  <c r="AN297" i="17"/>
  <c r="AN293" i="17"/>
  <c r="AN290" i="17"/>
  <c r="AN286" i="17"/>
  <c r="AN282" i="17"/>
  <c r="AN278" i="17"/>
  <c r="AN274" i="17"/>
  <c r="AN271" i="17"/>
  <c r="AN267" i="17"/>
  <c r="AN263" i="17"/>
  <c r="AN260" i="17"/>
  <c r="AN257" i="17"/>
  <c r="AN251" i="17"/>
  <c r="AN248" i="17"/>
  <c r="AN241" i="17"/>
  <c r="AN237" i="17"/>
  <c r="AN233" i="17"/>
  <c r="AN229" i="17"/>
  <c r="AN225" i="17"/>
  <c r="AN221" i="17"/>
  <c r="AN217" i="17"/>
  <c r="AN213" i="17"/>
  <c r="AN210" i="17"/>
  <c r="AN207" i="17"/>
  <c r="AN201" i="17"/>
  <c r="AN197" i="17"/>
  <c r="AN193" i="17"/>
  <c r="AN188" i="17"/>
  <c r="AN184" i="17"/>
  <c r="AN181" i="17"/>
  <c r="AN177" i="17"/>
  <c r="AN116" i="17"/>
  <c r="AN112" i="17"/>
  <c r="AN108" i="17"/>
  <c r="AN103" i="17"/>
  <c r="AN99" i="17"/>
  <c r="AN96" i="17"/>
  <c r="AN91" i="17"/>
  <c r="AN88" i="17"/>
  <c r="AN82" i="17"/>
  <c r="AN79" i="17"/>
  <c r="AN74" i="17"/>
  <c r="AN70" i="17"/>
  <c r="AN66" i="17"/>
  <c r="AN62" i="17"/>
  <c r="AN58" i="17"/>
  <c r="AN55" i="17"/>
  <c r="AN51" i="17"/>
  <c r="AN47" i="17"/>
  <c r="AN43" i="17"/>
  <c r="AN40" i="17"/>
  <c r="AN37" i="17"/>
  <c r="AN34" i="17"/>
  <c r="AN31" i="17"/>
  <c r="AN28" i="17"/>
  <c r="AN24" i="17"/>
  <c r="AN21" i="17"/>
  <c r="AN18" i="17"/>
  <c r="AN15" i="17"/>
  <c r="AN12" i="17"/>
  <c r="AN9" i="17"/>
  <c r="AN6" i="17"/>
  <c r="AN4" i="17"/>
  <c r="B89" i="16"/>
  <c r="M87" i="16"/>
  <c r="E87" i="16"/>
  <c r="B87" i="16"/>
  <c r="U86" i="16"/>
  <c r="M85" i="16"/>
  <c r="E85" i="16"/>
  <c r="B85" i="16"/>
  <c r="U83" i="16"/>
  <c r="M83" i="16"/>
  <c r="E83" i="16"/>
  <c r="B83" i="16"/>
  <c r="M81" i="16"/>
  <c r="E81" i="16"/>
  <c r="B81" i="16"/>
  <c r="U80" i="16"/>
  <c r="M79" i="16"/>
  <c r="E79" i="16"/>
  <c r="B79" i="16"/>
  <c r="M77" i="16"/>
  <c r="E77" i="16"/>
  <c r="B77" i="16"/>
  <c r="M75" i="16"/>
  <c r="E75" i="16"/>
  <c r="B75" i="16"/>
  <c r="B71" i="16"/>
  <c r="U67" i="16"/>
  <c r="U64" i="16"/>
  <c r="B64" i="16"/>
  <c r="U61" i="16"/>
  <c r="H61" i="16"/>
  <c r="B61" i="16"/>
  <c r="U58" i="16"/>
  <c r="U43" i="16"/>
  <c r="U39" i="16"/>
  <c r="L36" i="16"/>
  <c r="G36" i="16"/>
  <c r="B36" i="16"/>
  <c r="U35" i="16"/>
  <c r="B23" i="16"/>
  <c r="B21" i="16"/>
  <c r="B20" i="16"/>
  <c r="G17" i="16"/>
  <c r="B16" i="16"/>
  <c r="D10" i="16"/>
  <c r="D8" i="16"/>
  <c r="B8" i="16"/>
  <c r="AN598" i="17"/>
  <c r="AN594" i="17"/>
  <c r="AN591" i="17"/>
  <c r="AN588" i="17"/>
  <c r="AN585" i="17"/>
  <c r="AN581" i="17"/>
  <c r="AN578" i="17"/>
  <c r="AN575" i="17"/>
  <c r="AN572" i="17"/>
  <c r="AN567" i="17"/>
  <c r="AN563" i="17"/>
  <c r="AN560" i="17"/>
  <c r="AN556" i="17"/>
  <c r="AN552" i="17"/>
  <c r="AN548" i="17"/>
  <c r="AN544" i="17"/>
  <c r="AN539" i="17"/>
  <c r="AN536" i="17"/>
  <c r="AN532" i="17"/>
  <c r="AN529" i="17"/>
  <c r="AN525" i="17"/>
  <c r="AN521" i="17"/>
  <c r="AN517" i="17"/>
  <c r="AN513" i="17"/>
  <c r="AN510" i="17"/>
  <c r="AN506" i="17"/>
  <c r="AN502" i="17"/>
  <c r="AN498" i="17"/>
  <c r="AN494" i="17"/>
  <c r="AN490" i="17"/>
  <c r="AN487" i="17"/>
  <c r="AN482" i="17"/>
  <c r="AN477" i="17"/>
  <c r="AN466" i="17"/>
  <c r="AN462" i="17"/>
  <c r="AN459" i="17"/>
  <c r="AN454" i="17"/>
  <c r="AN451" i="17"/>
  <c r="AN448" i="17"/>
  <c r="AN445" i="17"/>
  <c r="AN442" i="17"/>
  <c r="AN439" i="17"/>
  <c r="AN435" i="17"/>
  <c r="AN431" i="17"/>
  <c r="AN427" i="17"/>
  <c r="AN423" i="17"/>
  <c r="AN419" i="17"/>
  <c r="AN416" i="17"/>
  <c r="AN412" i="17"/>
  <c r="AN408" i="17"/>
  <c r="AN403" i="17"/>
  <c r="AN399" i="17"/>
  <c r="AN395" i="17"/>
  <c r="AN391" i="17"/>
  <c r="AN388" i="17"/>
  <c r="AN383" i="17"/>
  <c r="AN379" i="17"/>
  <c r="AN376" i="17"/>
  <c r="AN600" i="17"/>
  <c r="AN256" i="17"/>
  <c r="AN372" i="17"/>
  <c r="AN368" i="17"/>
  <c r="AN364" i="17"/>
  <c r="AN360" i="17"/>
  <c r="AN356" i="17"/>
  <c r="AN352" i="17"/>
  <c r="AN349" i="17"/>
  <c r="AN345" i="17"/>
  <c r="AN341" i="17"/>
  <c r="AN338" i="17"/>
  <c r="AN334" i="17"/>
  <c r="AN330" i="17"/>
  <c r="AN326" i="17"/>
  <c r="AN322" i="17"/>
  <c r="AN318" i="17"/>
  <c r="AN314" i="17"/>
  <c r="AN311" i="17"/>
  <c r="AN308" i="17"/>
  <c r="AN303" i="17"/>
  <c r="AN298" i="17"/>
  <c r="AN294" i="17"/>
  <c r="AN288" i="17"/>
  <c r="AN283" i="17"/>
  <c r="AN279" i="17"/>
  <c r="AN275" i="17"/>
  <c r="AN270" i="17"/>
  <c r="AN268" i="17"/>
  <c r="AN265" i="17"/>
  <c r="AN262" i="17"/>
  <c r="AN259" i="17"/>
  <c r="AN258" i="17"/>
  <c r="AN254" i="17"/>
  <c r="AN252" i="17"/>
  <c r="AN247" i="17"/>
  <c r="AN244" i="17"/>
  <c r="AN240" i="17"/>
  <c r="AN236" i="17"/>
  <c r="AN232" i="17"/>
  <c r="AN227" i="17"/>
  <c r="AN223" i="17"/>
  <c r="AN219" i="17"/>
  <c r="AN215" i="17"/>
  <c r="AN209" i="17"/>
  <c r="AN205" i="17"/>
  <c r="AN202" i="17"/>
  <c r="AN198" i="17"/>
  <c r="AN194" i="17"/>
  <c r="AN190" i="17"/>
  <c r="AN186" i="17"/>
  <c r="AN182" i="17"/>
  <c r="AN178" i="17"/>
  <c r="AN174" i="17"/>
  <c r="AN171" i="17"/>
  <c r="AN168" i="17"/>
  <c r="AN166" i="17"/>
  <c r="AN163" i="17"/>
  <c r="AN159" i="17"/>
  <c r="AN156" i="17"/>
  <c r="AN153" i="17"/>
  <c r="AN151" i="17"/>
  <c r="AN148" i="17"/>
  <c r="AN146" i="17"/>
  <c r="AN144" i="17"/>
  <c r="AN141" i="17"/>
  <c r="AN139" i="17"/>
  <c r="AN137" i="17"/>
  <c r="AN134" i="17"/>
  <c r="AN131" i="17"/>
  <c r="AN129" i="17"/>
  <c r="AN127" i="17"/>
  <c r="AN124" i="17"/>
  <c r="AN121" i="17"/>
  <c r="AN118" i="17"/>
  <c r="AN114" i="17"/>
  <c r="AN110" i="17"/>
  <c r="AN106" i="17"/>
  <c r="AN102" i="17"/>
  <c r="AN98" i="17"/>
  <c r="AN95" i="17"/>
  <c r="AN92" i="17"/>
  <c r="AN87" i="17"/>
  <c r="AN83" i="17"/>
  <c r="AN78" i="17"/>
  <c r="AN75" i="17"/>
  <c r="AN71" i="17"/>
  <c r="AN67" i="17"/>
  <c r="AN64" i="17"/>
  <c r="AN60" i="17"/>
  <c r="AN54" i="17"/>
  <c r="AN50" i="17"/>
  <c r="AN48" i="17"/>
  <c r="AN44" i="17"/>
  <c r="AN535" i="17"/>
  <c r="AN597" i="17"/>
  <c r="AN593" i="17"/>
  <c r="AN589" i="17"/>
  <c r="AN587" i="17"/>
  <c r="AN583" i="17"/>
  <c r="AN582" i="17"/>
  <c r="AN577" i="17"/>
  <c r="AN574" i="17"/>
  <c r="AN571" i="17"/>
  <c r="AN568" i="17"/>
  <c r="AN564" i="17"/>
  <c r="AN559" i="17"/>
  <c r="AN555" i="17"/>
  <c r="AN551" i="17"/>
  <c r="AN547" i="17"/>
  <c r="AN543" i="17"/>
  <c r="AN540" i="17"/>
  <c r="AN531" i="17"/>
  <c r="AN526" i="17"/>
  <c r="AN522" i="17"/>
  <c r="AN518" i="17"/>
  <c r="AN514" i="17"/>
  <c r="AN509" i="17"/>
  <c r="AN505" i="17"/>
  <c r="AN501" i="17"/>
  <c r="AN497" i="17"/>
  <c r="AN492" i="17"/>
  <c r="AN489" i="17"/>
  <c r="AN485" i="17"/>
  <c r="AN483" i="17"/>
  <c r="AN479" i="17"/>
  <c r="AN475" i="17"/>
  <c r="AN472" i="17"/>
  <c r="AN468" i="17"/>
  <c r="AN464" i="17"/>
  <c r="AN438" i="17"/>
  <c r="AN434" i="17"/>
  <c r="AN430" i="17"/>
  <c r="AN426" i="17"/>
  <c r="AN422" i="17"/>
  <c r="AN418" i="17"/>
  <c r="AN414" i="17"/>
  <c r="AN410" i="17"/>
  <c r="AN406" i="17"/>
  <c r="AN402" i="17"/>
  <c r="AN398" i="17"/>
  <c r="AN394" i="17"/>
  <c r="AN387" i="17"/>
  <c r="AN384" i="17"/>
  <c r="AN380" i="17"/>
  <c r="AN377" i="17"/>
  <c r="AN373" i="17"/>
  <c r="AN369" i="17"/>
  <c r="AN365" i="17"/>
  <c r="AN361" i="17"/>
  <c r="AN357" i="17"/>
  <c r="AN353" i="17"/>
  <c r="AN348" i="17"/>
  <c r="AN344" i="17"/>
  <c r="AN340" i="17"/>
  <c r="AN336" i="17"/>
  <c r="AN331" i="17"/>
  <c r="AN327" i="17"/>
  <c r="AN324" i="17"/>
  <c r="AN320" i="17"/>
  <c r="AN316" i="17"/>
  <c r="AN310" i="17"/>
  <c r="AN306" i="17"/>
  <c r="AN302" i="17"/>
  <c r="AN299" i="17"/>
  <c r="AN295" i="17"/>
  <c r="AN291" i="17"/>
  <c r="AN287" i="17"/>
  <c r="AN284" i="17"/>
  <c r="AN280" i="17"/>
  <c r="AN276" i="17"/>
  <c r="AN272" i="17"/>
  <c r="AN269" i="17"/>
  <c r="AN266" i="17"/>
  <c r="AN264" i="17"/>
  <c r="AN261" i="17"/>
  <c r="AN255" i="17"/>
  <c r="AN253" i="17"/>
  <c r="AN249" i="17"/>
  <c r="AN245" i="17"/>
  <c r="AN242" i="17"/>
  <c r="AN238" i="17"/>
  <c r="AN235" i="17"/>
  <c r="AN600" i="15"/>
  <c r="AN598" i="15"/>
  <c r="AN596" i="15"/>
  <c r="AN594" i="15"/>
  <c r="AN591" i="15"/>
  <c r="AN589" i="15"/>
  <c r="AN587" i="15"/>
  <c r="AN584" i="15"/>
  <c r="AN581" i="15"/>
  <c r="AN578" i="15"/>
  <c r="AN576" i="15"/>
  <c r="AN572" i="15"/>
  <c r="AN568" i="15"/>
  <c r="AN565" i="15"/>
  <c r="AN561" i="15"/>
  <c r="AN557" i="15"/>
  <c r="AN554" i="15"/>
  <c r="AN550" i="15"/>
  <c r="AN546" i="15"/>
  <c r="AN542" i="15"/>
  <c r="AN539" i="15"/>
  <c r="AN534" i="15"/>
  <c r="AN531" i="15"/>
  <c r="AN526" i="15"/>
  <c r="AN523" i="15"/>
  <c r="AN518" i="15"/>
  <c r="AN513" i="15"/>
  <c r="AN510" i="15"/>
  <c r="AN507" i="15"/>
  <c r="AN503" i="15"/>
  <c r="AN498" i="15"/>
  <c r="AN407" i="15"/>
  <c r="AN403" i="15"/>
  <c r="AN399" i="15"/>
  <c r="AN395" i="15"/>
  <c r="AN392" i="15"/>
  <c r="AN388" i="15"/>
  <c r="AN384" i="15"/>
  <c r="AN379" i="15"/>
  <c r="AN376" i="15"/>
  <c r="AN372" i="15"/>
  <c r="AN367" i="15"/>
  <c r="AN364" i="15"/>
  <c r="AN361" i="15"/>
  <c r="AN358" i="15"/>
  <c r="AN351" i="15"/>
  <c r="AN347" i="15"/>
  <c r="AN344" i="15"/>
  <c r="AN340" i="15"/>
  <c r="AN336" i="15"/>
  <c r="AN332" i="15"/>
  <c r="AN328" i="15"/>
  <c r="AN324" i="15"/>
  <c r="AN319" i="15"/>
  <c r="AN315" i="15"/>
  <c r="AN312" i="15"/>
  <c r="AN309" i="15"/>
  <c r="AN306" i="15"/>
  <c r="AN303" i="15"/>
  <c r="AN301" i="15"/>
  <c r="AN298" i="15"/>
  <c r="AN295" i="15"/>
  <c r="AN292" i="15"/>
  <c r="AN289" i="15"/>
  <c r="AN284" i="15"/>
  <c r="AN281" i="15"/>
  <c r="AN278" i="15"/>
  <c r="AN275" i="15"/>
  <c r="AN270" i="15"/>
  <c r="AN267" i="15"/>
  <c r="AN261" i="15"/>
  <c r="AN258" i="15"/>
  <c r="AN254" i="15"/>
  <c r="AN251" i="15"/>
  <c r="AN247" i="15"/>
  <c r="AN243" i="15"/>
  <c r="AN240" i="15"/>
  <c r="AN237" i="15"/>
  <c r="AN232" i="15"/>
  <c r="AN229" i="15"/>
  <c r="AN225" i="15"/>
  <c r="AN221" i="15"/>
  <c r="AN217" i="15"/>
  <c r="AN213" i="15"/>
  <c r="AN209" i="15"/>
  <c r="AN205" i="15"/>
  <c r="AN202" i="15"/>
  <c r="AN197" i="15"/>
  <c r="AN192" i="15"/>
  <c r="AN189" i="15"/>
  <c r="AN185" i="15"/>
  <c r="AN181" i="15"/>
  <c r="AN178" i="15"/>
  <c r="AN175" i="15"/>
  <c r="AN171" i="15"/>
  <c r="AN164" i="15"/>
  <c r="AN162" i="15"/>
  <c r="AN158" i="15"/>
  <c r="AN154" i="15"/>
  <c r="AN150" i="15"/>
  <c r="AN146" i="15"/>
  <c r="AN28" i="15"/>
  <c r="AN23" i="15"/>
  <c r="AN17" i="15"/>
  <c r="AN14" i="15"/>
  <c r="AN10" i="15"/>
  <c r="AN7" i="15"/>
  <c r="AN3" i="15"/>
  <c r="AN569" i="15"/>
  <c r="AN563" i="15"/>
  <c r="AN559" i="15"/>
  <c r="AN555" i="15"/>
  <c r="AN551" i="15"/>
  <c r="AN547" i="15"/>
  <c r="AN543" i="15"/>
  <c r="AN538" i="15"/>
  <c r="AN535" i="15"/>
  <c r="AN530" i="15"/>
  <c r="AN527" i="15"/>
  <c r="AN522" i="15"/>
  <c r="AN519" i="15"/>
  <c r="AN515" i="15"/>
  <c r="AN511" i="15"/>
  <c r="AN506" i="15"/>
  <c r="AN502" i="15"/>
  <c r="AN499" i="15"/>
  <c r="AN409" i="15"/>
  <c r="AN405" i="15"/>
  <c r="AN401" i="15"/>
  <c r="AN397" i="15"/>
  <c r="AN393" i="15"/>
  <c r="AN390" i="15"/>
  <c r="AN386" i="15"/>
  <c r="AN382" i="15"/>
  <c r="AN378" i="15"/>
  <c r="AN375" i="15"/>
  <c r="AN371" i="15"/>
  <c r="AN368" i="15"/>
  <c r="AN363" i="15"/>
  <c r="AN360" i="15"/>
  <c r="AN355" i="15"/>
  <c r="AN353" i="15"/>
  <c r="AN349" i="15"/>
  <c r="AN346" i="15"/>
  <c r="AN342" i="15"/>
  <c r="AN338" i="15"/>
  <c r="AN335" i="15"/>
  <c r="AN331" i="15"/>
  <c r="AN326" i="15"/>
  <c r="AN323" i="15"/>
  <c r="AN320" i="15"/>
  <c r="AN316" i="15"/>
  <c r="AN313" i="15"/>
  <c r="AN310" i="15"/>
  <c r="AN307" i="15"/>
  <c r="AN304" i="15"/>
  <c r="AN300" i="15"/>
  <c r="AN297" i="15"/>
  <c r="AN294" i="15"/>
  <c r="AN291" i="15"/>
  <c r="AN288" i="15"/>
  <c r="AN286" i="15"/>
  <c r="AN282" i="15"/>
  <c r="AN279" i="15"/>
  <c r="AN274" i="15"/>
  <c r="AN271" i="15"/>
  <c r="AN265" i="15"/>
  <c r="AN262" i="15"/>
  <c r="AN257" i="15"/>
  <c r="AN253" i="15"/>
  <c r="AN249" i="15"/>
  <c r="AN245" i="15"/>
  <c r="AN241" i="15"/>
  <c r="AN234" i="15"/>
  <c r="AN230" i="15"/>
  <c r="AN226" i="15"/>
  <c r="AN222" i="15"/>
  <c r="AN219" i="15"/>
  <c r="AN215" i="15"/>
  <c r="AN211" i="15"/>
  <c r="AN208" i="15"/>
  <c r="AN204" i="15"/>
  <c r="AN200" i="15"/>
  <c r="AN196" i="15"/>
  <c r="AN193" i="15"/>
  <c r="AN190" i="15"/>
  <c r="AN186" i="15"/>
  <c r="AN182" i="15"/>
  <c r="AN177" i="15"/>
  <c r="AN174" i="15"/>
  <c r="AN169" i="15"/>
  <c r="AN166" i="15"/>
  <c r="AN161" i="15"/>
  <c r="AN157" i="15"/>
  <c r="AN153" i="15"/>
  <c r="AN149" i="15"/>
  <c r="AN145" i="15"/>
  <c r="AN142" i="15"/>
  <c r="AN139" i="15"/>
  <c r="AN136" i="15"/>
  <c r="AN47" i="15"/>
  <c r="AN44" i="15"/>
  <c r="AN41" i="15"/>
  <c r="AN39" i="15"/>
  <c r="AN36" i="15"/>
  <c r="AN33" i="15"/>
  <c r="AN30" i="15"/>
  <c r="AN26" i="15"/>
  <c r="AN21" i="15"/>
  <c r="AN18" i="15"/>
  <c r="AN13" i="15"/>
  <c r="AN9" i="15"/>
  <c r="AN5" i="15"/>
  <c r="AN495" i="15"/>
  <c r="AN494" i="15"/>
  <c r="AN493" i="15"/>
  <c r="AN492" i="15"/>
  <c r="AN491" i="15"/>
  <c r="AN490" i="15"/>
  <c r="AN489" i="15"/>
  <c r="AN488" i="15"/>
  <c r="AN487" i="15"/>
  <c r="AN486" i="15"/>
  <c r="AN485" i="15"/>
  <c r="AN484" i="15"/>
  <c r="AN483" i="15"/>
  <c r="AN482" i="15"/>
  <c r="AN481" i="15"/>
  <c r="AN480" i="15"/>
  <c r="AN479" i="15"/>
  <c r="AN478" i="15"/>
  <c r="AN477" i="15"/>
  <c r="AN476" i="15"/>
  <c r="AN475" i="15"/>
  <c r="AN474" i="15"/>
  <c r="AN473" i="15"/>
  <c r="AN472" i="15"/>
  <c r="AN471" i="15"/>
  <c r="AN470" i="15"/>
  <c r="AN469" i="15"/>
  <c r="AN468" i="15"/>
  <c r="AN467" i="15"/>
  <c r="AN466" i="15"/>
  <c r="AN465" i="15"/>
  <c r="AN464" i="15"/>
  <c r="AN463" i="15"/>
  <c r="AN462" i="15"/>
  <c r="AN461" i="15"/>
  <c r="AN460" i="15"/>
  <c r="AN459" i="15"/>
  <c r="AN458" i="15"/>
  <c r="AN457" i="15"/>
  <c r="AN456" i="15"/>
  <c r="AN455" i="15"/>
  <c r="AN454" i="15"/>
  <c r="AN453" i="15"/>
  <c r="AN452" i="15"/>
  <c r="AN451" i="15"/>
  <c r="AN450" i="15"/>
  <c r="AN449" i="15"/>
  <c r="AN448" i="15"/>
  <c r="AN447" i="15"/>
  <c r="AN446" i="15"/>
  <c r="AN445" i="15"/>
  <c r="AN444" i="15"/>
  <c r="AN443" i="15"/>
  <c r="AN442" i="15"/>
  <c r="AN441" i="15"/>
  <c r="AN440" i="15"/>
  <c r="AN439" i="15"/>
  <c r="AN438" i="15"/>
  <c r="AN437" i="15"/>
  <c r="AN436" i="15"/>
  <c r="AN435" i="15"/>
  <c r="AN434" i="15"/>
  <c r="AN433" i="15"/>
  <c r="AN432" i="15"/>
  <c r="AN431" i="15"/>
  <c r="AN430" i="15"/>
  <c r="AN429" i="15"/>
  <c r="AN428" i="15"/>
  <c r="AN427" i="15"/>
  <c r="AN426" i="15"/>
  <c r="AN425" i="15"/>
  <c r="AN424" i="15"/>
  <c r="AN423" i="15"/>
  <c r="AN422" i="15"/>
  <c r="AN421" i="15"/>
  <c r="AN420" i="15"/>
  <c r="AN419" i="15"/>
  <c r="AN418" i="15"/>
  <c r="AN417" i="15"/>
  <c r="AN416" i="15"/>
  <c r="AN415" i="15"/>
  <c r="AN414" i="15"/>
  <c r="AN413" i="15"/>
  <c r="AN412" i="15"/>
  <c r="AN411" i="15"/>
  <c r="AN134" i="15"/>
  <c r="AN133" i="15"/>
  <c r="AN132" i="15"/>
  <c r="AN131" i="15"/>
  <c r="AN130" i="15"/>
  <c r="AN129" i="15"/>
  <c r="AN128" i="15"/>
  <c r="AN505" i="15"/>
  <c r="AN501" i="15"/>
  <c r="AN497" i="15"/>
  <c r="AN406" i="15"/>
  <c r="AN402" i="15"/>
  <c r="AN398" i="15"/>
  <c r="AN394" i="15"/>
  <c r="AN389" i="15"/>
  <c r="AN385" i="15"/>
  <c r="AN381" i="15"/>
  <c r="AN377" i="15"/>
  <c r="AN373" i="15"/>
  <c r="AN369" i="15"/>
  <c r="AN366" i="15"/>
  <c r="AN362" i="15"/>
  <c r="AN357" i="15"/>
  <c r="AN354" i="15"/>
  <c r="AN350" i="15"/>
  <c r="AN345" i="15"/>
  <c r="AN341" i="15"/>
  <c r="AN337" i="15"/>
  <c r="AN333" i="15"/>
  <c r="AN329" i="15"/>
  <c r="AN325" i="15"/>
  <c r="AN321" i="15"/>
  <c r="AN317" i="15"/>
  <c r="AN277" i="15"/>
  <c r="AN272" i="15"/>
  <c r="AN268" i="15"/>
  <c r="AN264" i="15"/>
  <c r="AN260" i="15"/>
  <c r="AN256" i="15"/>
  <c r="AN252" i="15"/>
  <c r="AN248" i="15"/>
  <c r="AN244" i="15"/>
  <c r="AN239" i="15"/>
  <c r="AN235" i="15"/>
  <c r="AN231" i="15"/>
  <c r="AN227" i="15"/>
  <c r="AN223" i="15"/>
  <c r="AN218" i="15"/>
  <c r="AN212" i="15"/>
  <c r="AN206" i="15"/>
  <c r="AN201" i="15"/>
  <c r="AN198" i="15"/>
  <c r="AN194" i="15"/>
  <c r="AN187" i="15"/>
  <c r="AN184" i="15"/>
  <c r="AN180" i="15"/>
  <c r="AN176" i="15"/>
  <c r="AN172" i="15"/>
  <c r="AN168" i="15"/>
  <c r="AN165" i="15"/>
  <c r="AN160" i="15"/>
  <c r="AN156" i="15"/>
  <c r="AN152" i="15"/>
  <c r="AN148" i="15"/>
  <c r="AN143" i="15"/>
  <c r="AN140" i="15"/>
  <c r="AN138" i="15"/>
  <c r="AN135" i="15"/>
  <c r="AN46" i="15"/>
  <c r="AN45" i="15"/>
  <c r="AN42" i="15"/>
  <c r="AN37" i="15"/>
  <c r="AN34" i="15"/>
  <c r="AN31" i="15"/>
  <c r="AN27" i="15"/>
  <c r="AN233" i="15"/>
  <c r="AN19" i="15"/>
  <c r="AN16" i="15"/>
  <c r="AN11" i="15"/>
  <c r="AN6" i="15"/>
  <c r="AN2" i="15"/>
  <c r="AN228" i="15"/>
  <c r="AN224" i="15"/>
  <c r="AN220" i="15"/>
  <c r="AN216" i="15"/>
  <c r="AN214" i="15"/>
  <c r="AN210" i="15"/>
  <c r="AN207" i="15"/>
  <c r="AN203" i="15"/>
  <c r="AN199" i="15"/>
  <c r="AN195" i="15"/>
  <c r="AN191" i="15"/>
  <c r="AN188" i="15"/>
  <c r="AN183" i="15"/>
  <c r="AN179" i="15"/>
  <c r="AN173" i="15"/>
  <c r="AN170" i="15"/>
  <c r="AN167" i="15"/>
  <c r="AN163" i="15"/>
  <c r="AN159" i="15"/>
  <c r="AN155" i="15"/>
  <c r="AN151" i="15"/>
  <c r="AN147" i="15"/>
  <c r="AN144" i="15"/>
  <c r="AN141" i="15"/>
  <c r="AN137" i="15"/>
  <c r="AN48" i="15"/>
  <c r="AN43" i="15"/>
  <c r="AN40" i="15"/>
  <c r="AN38" i="15"/>
  <c r="AN35" i="15"/>
  <c r="AN32" i="15"/>
  <c r="AN29" i="15"/>
  <c r="AN25" i="15"/>
  <c r="AN22" i="15"/>
  <c r="AN20" i="15"/>
  <c r="AN15" i="15"/>
  <c r="AN12" i="15"/>
  <c r="AN8" i="15"/>
  <c r="E89" i="14"/>
  <c r="AN126" i="15"/>
  <c r="AN125" i="15"/>
  <c r="AN124" i="15"/>
  <c r="AN123" i="15"/>
  <c r="AN122" i="15"/>
  <c r="AN121" i="15"/>
  <c r="AN120" i="15"/>
  <c r="AN119" i="15"/>
  <c r="AN118" i="15"/>
  <c r="AN117" i="15"/>
  <c r="AN116" i="15"/>
  <c r="AN115" i="15"/>
  <c r="AN114" i="15"/>
  <c r="AN113" i="15"/>
  <c r="AN112" i="15"/>
  <c r="AN111" i="15"/>
  <c r="AN110" i="15"/>
  <c r="AN127" i="15"/>
  <c r="AN109" i="15"/>
  <c r="AN108" i="15"/>
  <c r="AN107" i="15"/>
  <c r="AN106" i="15"/>
  <c r="AN105" i="15"/>
  <c r="AN104" i="15"/>
  <c r="AN103" i="15"/>
  <c r="AN102" i="15"/>
  <c r="AN101" i="15"/>
  <c r="AN100" i="15"/>
  <c r="AN99" i="15"/>
  <c r="AN98" i="15"/>
  <c r="AN97" i="15"/>
  <c r="B167" i="14"/>
  <c r="B150" i="14"/>
  <c r="B140" i="14"/>
  <c r="Q139" i="14"/>
  <c r="B138" i="14"/>
  <c r="B136" i="14"/>
  <c r="B134" i="14"/>
  <c r="B132" i="14"/>
  <c r="B130" i="14"/>
  <c r="B128" i="14"/>
  <c r="B126" i="14"/>
  <c r="K116" i="14"/>
  <c r="G116" i="14"/>
  <c r="B116" i="14"/>
  <c r="K114" i="14"/>
  <c r="G114" i="14"/>
  <c r="B114" i="14"/>
  <c r="K112" i="14"/>
  <c r="G112" i="14"/>
  <c r="B112" i="14"/>
  <c r="K110" i="14"/>
  <c r="G110" i="14"/>
  <c r="B110" i="14"/>
  <c r="U108" i="14"/>
  <c r="Q108" i="14"/>
  <c r="H106" i="14"/>
  <c r="B106" i="14"/>
  <c r="U105" i="14"/>
  <c r="Q105" i="14"/>
  <c r="U102" i="14"/>
  <c r="Q102" i="14"/>
  <c r="U99" i="14"/>
  <c r="Q99" i="14"/>
  <c r="M93" i="14"/>
  <c r="E93" i="14"/>
  <c r="B93" i="14"/>
  <c r="U92" i="14"/>
  <c r="M91" i="14"/>
  <c r="E91" i="14"/>
  <c r="B91" i="14"/>
  <c r="U89" i="14"/>
  <c r="M89" i="14"/>
  <c r="B89" i="14"/>
  <c r="M87" i="14"/>
  <c r="E87" i="14"/>
  <c r="B87" i="14"/>
  <c r="U86" i="14"/>
  <c r="M85" i="14"/>
  <c r="E85" i="14"/>
  <c r="B85" i="14"/>
  <c r="U83" i="14"/>
  <c r="M83" i="14"/>
  <c r="E83" i="14"/>
  <c r="B83" i="14"/>
  <c r="M81" i="14"/>
  <c r="E81" i="14"/>
  <c r="B81" i="14"/>
  <c r="U80" i="14"/>
  <c r="M79" i="14"/>
  <c r="E79" i="14"/>
  <c r="B79" i="14"/>
  <c r="M77" i="14"/>
  <c r="E77" i="14"/>
  <c r="B77" i="14"/>
  <c r="M75" i="14"/>
  <c r="E75" i="14"/>
  <c r="B75" i="14"/>
  <c r="B71" i="14"/>
  <c r="U67" i="14"/>
  <c r="U64" i="14"/>
  <c r="B64" i="14"/>
  <c r="U61" i="14"/>
  <c r="H61" i="14"/>
  <c r="B61" i="14"/>
  <c r="U58" i="14"/>
  <c r="U49" i="14"/>
  <c r="U43" i="14"/>
  <c r="U39" i="14"/>
  <c r="L36" i="14"/>
  <c r="G36" i="14"/>
  <c r="B36" i="14"/>
  <c r="U35" i="14"/>
  <c r="B23" i="14"/>
  <c r="B21" i="14"/>
  <c r="B20" i="14"/>
  <c r="G17" i="14"/>
  <c r="B16" i="14"/>
  <c r="D10" i="14"/>
  <c r="D8" i="14"/>
  <c r="B8" i="14"/>
  <c r="AN96" i="15"/>
  <c r="AN95" i="15"/>
  <c r="AN94" i="15"/>
  <c r="AN93" i="15"/>
  <c r="AN92" i="15"/>
  <c r="AN91" i="15"/>
  <c r="AN90" i="15"/>
  <c r="AN89" i="15"/>
  <c r="AN88" i="15"/>
  <c r="AN87" i="15"/>
  <c r="AN86" i="15"/>
  <c r="AN85" i="15"/>
  <c r="AN84" i="15"/>
  <c r="AN83" i="15"/>
  <c r="AN82" i="15"/>
  <c r="AN81" i="15"/>
  <c r="AN80" i="15"/>
  <c r="AN79" i="15"/>
  <c r="AN78" i="15"/>
  <c r="AN77" i="15"/>
  <c r="AN76" i="15"/>
  <c r="AN75" i="15"/>
  <c r="AN74" i="15"/>
  <c r="AN73" i="15"/>
  <c r="AN72" i="15"/>
  <c r="AN71" i="15"/>
  <c r="AN70" i="15"/>
  <c r="AN69" i="15"/>
  <c r="AN68" i="15"/>
  <c r="AN67" i="15"/>
  <c r="AN66" i="15"/>
  <c r="AN65" i="15"/>
  <c r="AN64" i="15"/>
  <c r="AN24" i="15"/>
  <c r="AN63" i="15"/>
  <c r="AN62" i="15"/>
  <c r="AN61" i="15"/>
  <c r="AN60" i="15"/>
  <c r="AN59" i="15"/>
  <c r="AN58" i="15"/>
  <c r="AN57" i="15"/>
  <c r="AN56" i="15"/>
  <c r="AN55" i="15"/>
  <c r="AN54" i="15"/>
  <c r="AN53" i="15"/>
  <c r="AN52" i="15"/>
  <c r="AN51" i="15"/>
  <c r="AN50" i="15"/>
  <c r="AN564" i="15"/>
  <c r="AN599" i="15"/>
  <c r="AN597" i="15"/>
  <c r="AN595" i="15"/>
  <c r="AN592" i="15"/>
  <c r="AN590" i="15"/>
  <c r="AN588" i="15"/>
  <c r="AN585" i="15"/>
  <c r="AN582" i="15"/>
  <c r="AN579" i="15"/>
  <c r="AN577" i="15"/>
  <c r="AN574" i="15"/>
  <c r="AN570" i="15"/>
  <c r="AN566" i="15"/>
  <c r="AN562" i="15"/>
  <c r="AN558" i="15"/>
  <c r="AN553" i="15"/>
  <c r="AN549" i="15"/>
  <c r="AN545" i="15"/>
  <c r="AN540" i="15"/>
  <c r="AN537" i="15"/>
  <c r="AN533" i="15"/>
  <c r="AN529" i="15"/>
  <c r="AN525" i="15"/>
  <c r="AN521" i="15"/>
  <c r="AN517" i="15"/>
  <c r="AN514" i="15"/>
  <c r="AN509" i="15"/>
  <c r="AN593" i="15"/>
  <c r="AN586" i="15"/>
  <c r="AN583" i="15"/>
  <c r="AN580" i="15"/>
  <c r="AN575" i="15"/>
  <c r="AN573" i="15"/>
  <c r="AN571" i="15"/>
  <c r="AN567" i="15"/>
  <c r="AN4" i="15"/>
  <c r="AN560" i="15"/>
  <c r="AN556" i="15"/>
  <c r="AN552" i="15"/>
  <c r="AN548" i="15"/>
  <c r="AN544" i="15"/>
  <c r="AN541" i="15"/>
  <c r="AN536" i="15"/>
  <c r="AN532" i="15"/>
  <c r="AN528" i="15"/>
  <c r="AN524" i="15"/>
  <c r="AN520" i="15"/>
  <c r="AN516" i="15"/>
  <c r="AN512" i="15"/>
  <c r="AN508" i="15"/>
  <c r="AN504" i="15"/>
  <c r="AN500" i="15"/>
  <c r="AN496" i="15"/>
  <c r="AN408" i="15"/>
  <c r="AN404" i="15"/>
  <c r="AN400" i="15"/>
  <c r="AN396" i="15"/>
  <c r="AN391" i="15"/>
  <c r="AN387" i="15"/>
  <c r="AN383" i="15"/>
  <c r="AN380" i="15"/>
  <c r="AN374" i="15"/>
  <c r="AN370" i="15"/>
  <c r="AN365" i="15"/>
  <c r="AN359" i="15"/>
  <c r="AN356" i="15"/>
  <c r="AN352" i="15"/>
  <c r="AN348" i="15"/>
  <c r="AN343" i="15"/>
  <c r="AN339" i="15"/>
  <c r="AN334" i="15"/>
  <c r="AN330" i="15"/>
  <c r="AN327" i="15"/>
  <c r="AN322" i="15"/>
  <c r="AN318" i="15"/>
  <c r="AN314" i="15"/>
  <c r="AN311" i="15"/>
  <c r="AN308" i="15"/>
  <c r="AN305" i="15"/>
  <c r="AN302" i="15"/>
  <c r="AN299" i="15"/>
  <c r="AN296" i="15"/>
  <c r="AN293" i="15"/>
  <c r="AN290" i="15"/>
  <c r="AN287" i="15"/>
  <c r="AN285" i="15"/>
  <c r="AN283" i="15"/>
  <c r="AN280" i="15"/>
  <c r="AN276" i="15"/>
  <c r="AN273" i="15"/>
  <c r="AN269" i="15"/>
  <c r="AN266" i="15"/>
  <c r="AN263" i="15"/>
  <c r="AN259" i="15"/>
  <c r="AN255" i="15"/>
  <c r="AN250" i="15"/>
  <c r="AN246" i="15"/>
  <c r="AN242" i="15"/>
  <c r="AN238" i="15"/>
  <c r="AN236" i="15"/>
  <c r="AN297" i="13"/>
  <c r="AN12" i="13"/>
  <c r="AN11" i="13"/>
  <c r="AN10" i="13"/>
  <c r="AN9" i="13"/>
  <c r="AN8" i="13"/>
  <c r="AN7" i="13"/>
  <c r="AN6" i="13"/>
  <c r="AN5" i="13"/>
  <c r="AN4" i="13"/>
  <c r="AN3" i="13"/>
  <c r="AN2" i="13"/>
  <c r="AN296" i="13"/>
  <c r="AN295" i="13"/>
  <c r="AN294" i="13"/>
  <c r="AN293" i="13"/>
  <c r="AN292" i="13"/>
  <c r="AN291" i="13"/>
  <c r="AN290" i="13"/>
  <c r="AN289" i="13"/>
  <c r="AN288" i="13"/>
  <c r="AN287" i="13"/>
  <c r="AN286" i="13"/>
  <c r="AN285" i="13"/>
  <c r="AN284" i="13"/>
  <c r="AN283" i="13"/>
  <c r="AN282" i="13"/>
  <c r="AN281" i="13"/>
  <c r="AN280" i="13"/>
  <c r="AN279" i="13"/>
  <c r="AN278" i="13"/>
  <c r="AN277" i="13"/>
  <c r="AN276" i="13"/>
  <c r="AN275" i="13"/>
  <c r="AN274" i="13"/>
  <c r="AN273" i="13"/>
  <c r="AN272" i="13"/>
  <c r="AN271" i="13"/>
  <c r="AN270" i="13"/>
  <c r="AN370" i="13"/>
  <c r="AN369" i="13"/>
  <c r="AN368" i="13"/>
  <c r="AN367" i="13"/>
  <c r="AN252" i="13"/>
  <c r="AN365" i="13"/>
  <c r="AN364" i="13"/>
  <c r="AN363" i="13"/>
  <c r="AN362" i="13"/>
  <c r="AN361" i="13"/>
  <c r="AN360" i="13"/>
  <c r="AN359" i="13"/>
  <c r="AN358" i="13"/>
  <c r="AN357" i="13"/>
  <c r="AN356" i="13"/>
  <c r="AN355" i="13"/>
  <c r="AN354" i="13"/>
  <c r="AN353" i="13"/>
  <c r="AN352" i="13"/>
  <c r="AN351" i="13"/>
  <c r="AN350" i="13"/>
  <c r="AN349" i="13"/>
  <c r="AN348" i="13"/>
  <c r="AN347" i="13"/>
  <c r="AN346" i="13"/>
  <c r="AN345" i="13"/>
  <c r="AN344" i="13"/>
  <c r="AN343" i="13"/>
  <c r="AN342" i="13"/>
  <c r="AN341" i="13"/>
  <c r="AN340" i="13"/>
  <c r="AN339" i="13"/>
  <c r="AN338" i="13"/>
  <c r="AN337" i="13"/>
  <c r="AN336" i="13"/>
  <c r="AN335" i="13"/>
  <c r="AN334" i="13"/>
  <c r="AN333" i="13"/>
  <c r="AN332" i="13"/>
  <c r="AN331" i="13"/>
  <c r="AN330" i="13"/>
  <c r="AN329" i="13"/>
  <c r="AN328" i="13"/>
  <c r="AN327" i="13"/>
  <c r="AN326" i="13"/>
  <c r="AN325" i="13"/>
  <c r="AN324" i="13"/>
  <c r="AN323" i="13"/>
  <c r="AN322" i="13"/>
  <c r="AN321" i="13"/>
  <c r="AN320" i="13"/>
  <c r="AN319" i="13"/>
  <c r="AN318" i="13"/>
  <c r="AN317" i="13"/>
  <c r="AN316" i="13"/>
  <c r="AN315" i="13"/>
  <c r="AN314" i="13"/>
  <c r="AN313" i="13"/>
  <c r="AN312" i="13"/>
  <c r="AN311" i="13"/>
  <c r="AN310" i="13"/>
  <c r="AN309" i="13"/>
  <c r="AN308" i="13"/>
  <c r="AN307" i="13"/>
  <c r="AN306" i="13"/>
  <c r="AN305" i="13"/>
  <c r="AN304" i="13"/>
  <c r="AN303" i="13"/>
  <c r="AN302" i="13"/>
  <c r="AN301" i="13"/>
  <c r="AN300" i="13"/>
  <c r="AN299" i="13"/>
  <c r="AN298" i="13"/>
  <c r="AN251" i="13"/>
  <c r="AN250" i="13"/>
  <c r="AN249" i="13"/>
  <c r="AN248" i="13"/>
  <c r="AN247" i="13"/>
  <c r="AN246" i="13"/>
  <c r="AN245" i="13"/>
  <c r="AN244" i="13"/>
  <c r="AN243" i="13"/>
  <c r="AN242" i="13"/>
  <c r="AN241" i="13"/>
  <c r="AN240" i="13"/>
  <c r="AN239" i="13"/>
  <c r="AN268" i="13"/>
  <c r="AN267" i="13"/>
  <c r="AN266" i="13"/>
  <c r="AN265" i="13"/>
  <c r="AN264" i="13"/>
  <c r="AN263" i="13"/>
  <c r="AN262" i="13"/>
  <c r="AN261" i="13"/>
  <c r="AN260" i="13"/>
  <c r="AN259" i="13"/>
  <c r="AN258" i="13"/>
  <c r="AN257" i="13"/>
  <c r="AN256" i="13"/>
  <c r="AN269" i="13"/>
  <c r="AN255" i="13"/>
  <c r="AN254" i="13"/>
  <c r="AN253" i="13"/>
  <c r="AN373" i="13"/>
  <c r="AN372" i="13"/>
  <c r="AN371" i="13"/>
  <c r="AN366" i="13"/>
</calcChain>
</file>

<file path=xl/sharedStrings.xml><?xml version="1.0" encoding="utf-8"?>
<sst xmlns="http://schemas.openxmlformats.org/spreadsheetml/2006/main" count="5556" uniqueCount="1108">
  <si>
    <t>INVESTMENT RESEARCH</t>
  </si>
  <si>
    <t>SYMBOL</t>
  </si>
  <si>
    <t>Home / Research / Stocks</t>
  </si>
  <si>
    <t>KO</t>
  </si>
  <si>
    <t>Refresh</t>
  </si>
  <si>
    <t>REGULAR SESSION OBSERVATION</t>
  </si>
  <si>
    <t>Type a symbol above
and press Enter</t>
  </si>
  <si>
    <t>Overview</t>
  </si>
  <si>
    <t>Earnings &amp; dividends</t>
  </si>
  <si>
    <t>Analysts &amp; news</t>
  </si>
  <si>
    <t>Source dates shown per field</t>
  </si>
  <si>
    <t>01  Price history</t>
  </si>
  <si>
    <t>02  Key statistics</t>
  </si>
  <si>
    <t>YTD price change</t>
  </si>
  <si>
    <t>Available history</t>
  </si>
  <si>
    <t>Through</t>
  </si>
  <si>
    <t>Market capitalization</t>
  </si>
  <si>
    <t>P/E ratio</t>
  </si>
  <si>
    <t>EPS (TTM)</t>
  </si>
  <si>
    <t>Open / previous close</t>
  </si>
  <si>
    <t>Day range</t>
  </si>
  <si>
    <t>52-week low / high</t>
  </si>
  <si>
    <t>Bid / ask</t>
  </si>
  <si>
    <t>Bid / ask size</t>
  </si>
  <si>
    <t>Avg. volume (52 weeks)</t>
  </si>
  <si>
    <t>Reported volume</t>
  </si>
  <si>
    <t>Shares outstanding</t>
  </si>
  <si>
    <t>Unadjusted closing prices. Price changes exclude dividends.</t>
  </si>
  <si>
    <t>Beta (36 months)</t>
  </si>
  <si>
    <t>03  Earnings &amp; estimates</t>
  </si>
  <si>
    <t>04  Analyst coverage</t>
  </si>
  <si>
    <t>Next earnings</t>
  </si>
  <si>
    <t>Event status</t>
  </si>
  <si>
    <t>Consensus</t>
  </si>
  <si>
    <t>Mean target price</t>
  </si>
  <si>
    <t>Target low</t>
  </si>
  <si>
    <t>Fiscal quarter</t>
  </si>
  <si>
    <t>Reported / estimate</t>
  </si>
  <si>
    <t>EPS</t>
  </si>
  <si>
    <t>Sales forecast</t>
  </si>
  <si>
    <t>Target high</t>
  </si>
  <si>
    <t>06  About this company</t>
  </si>
  <si>
    <t>05  Dividends</t>
  </si>
  <si>
    <t>CEO</t>
  </si>
  <si>
    <t>Trailing yield</t>
  </si>
  <si>
    <t>Trailing dividends / share</t>
  </si>
  <si>
    <t>Headquarters</t>
  </si>
  <si>
    <t>Employees</t>
  </si>
  <si>
    <t>Ex-date</t>
  </si>
  <si>
    <t>Per share</t>
  </si>
  <si>
    <t>Payment date</t>
  </si>
  <si>
    <t>Sector</t>
  </si>
  <si>
    <t>Industry</t>
  </si>
  <si>
    <t>No future distribution payment is inferred from past events.</t>
  </si>
  <si>
    <t>07  ETFs with stock exposure</t>
  </si>
  <si>
    <t>08  News &amp; commentary</t>
  </si>
  <si>
    <t>Exposure dates not supplied. These are not peer recommendations.</t>
  </si>
  <si>
    <t>09  More research &amp; documents</t>
  </si>
  <si>
    <t>Daily prices, fundamentals, estimates, dividends and headlines are shown where returned.</t>
  </si>
  <si>
    <t>Intraday / VWAP restricted in tests. Short interest coverage unverified.</t>
  </si>
  <si>
    <t>10  Data quality notes</t>
  </si>
  <si>
    <t>Trial observations may differ from production. Source age and missing coverage are retained.</t>
  </si>
  <si>
    <t>Your positions</t>
  </si>
  <si>
    <t>Account positions and trading require a separate account connection. This workbook provides investment research.</t>
  </si>
  <si>
    <t>Home / Research / ETFs</t>
  </si>
  <si>
    <t>Performance &amp; risk</t>
  </si>
  <si>
    <t>Holdings &amp; income</t>
  </si>
  <si>
    <t>01  Performance &amp; history</t>
  </si>
  <si>
    <t>02  Costs &amp; liquidity</t>
  </si>
  <si>
    <t>YTD total return</t>
  </si>
  <si>
    <t>1 year total return</t>
  </si>
  <si>
    <t>3 years annualized</t>
  </si>
  <si>
    <t>Net expense ratio</t>
  </si>
  <si>
    <t>Gross expense ratio</t>
  </si>
  <si>
    <t>Latest published NAV</t>
  </si>
  <si>
    <t>Price and NAV must share the same date to calculate a premium.</t>
  </si>
  <si>
    <t>04  Risk measures</t>
  </si>
  <si>
    <t>Chart shows unadjusted prices / NAV. Total returns above include distributions.</t>
  </si>
  <si>
    <t>Std. deviation (3 years)</t>
  </si>
  <si>
    <t>5 years annualized</t>
  </si>
  <si>
    <t>10 years annualized</t>
  </si>
  <si>
    <t>Beta (3 years)</t>
  </si>
  <si>
    <t>Sharpe ratio (3 years)</t>
  </si>
  <si>
    <t>R² (3 years)</t>
  </si>
  <si>
    <t>03  Holdings &amp; composition</t>
  </si>
  <si>
    <t>Beta and Sharpe are ratios. Provider units and benchmark methodology require review.</t>
  </si>
  <si>
    <t>Symbol</t>
  </si>
  <si>
    <t>Holding</t>
  </si>
  <si>
    <t>Weight</t>
  </si>
  <si>
    <t>06  Fund profile &amp; management</t>
  </si>
  <si>
    <t>Sponsor</t>
  </si>
  <si>
    <t>Vendor category</t>
  </si>
  <si>
    <t>Benchmark</t>
  </si>
  <si>
    <t>Share-class inception</t>
  </si>
  <si>
    <t>Reported assets</t>
  </si>
  <si>
    <t>Assets and classifications require source reconciliation.</t>
  </si>
  <si>
    <t>Top positions within the first 100 returned holdings; full pagination is not implemented.</t>
  </si>
  <si>
    <t>Portfolio managers · vendor roster</t>
  </si>
  <si>
    <t>05  Income &amp; distributions</t>
  </si>
  <si>
    <t>30-day SEC yield</t>
  </si>
  <si>
    <t>TTM distribution yield</t>
  </si>
  <si>
    <t>Roster and start dates are vendor supplied.</t>
  </si>
  <si>
    <t>07  Independent ratings</t>
  </si>
  <si>
    <t>Morningstar ratings and FactSet ETF grades: coverage and redistribution not verified. This is not an observed authentication denial.</t>
  </si>
  <si>
    <t>No substitute stars or grades are calculated.</t>
  </si>
  <si>
    <t>09  Documents</t>
  </si>
  <si>
    <t>Prospectus and fund reports</t>
  </si>
  <si>
    <t>Home / Research / Mutual funds</t>
  </si>
  <si>
    <t>NET ASSET VALUE</t>
  </si>
  <si>
    <t>02  Costs &amp; purchase details</t>
  </si>
  <si>
    <t>Minimum investment</t>
  </si>
  <si>
    <t>Minimum currency may be unverified; broker fees can differ.</t>
  </si>
  <si>
    <t>Top returned positions only. Review unusual security names in source notes.</t>
  </si>
  <si>
    <t>Using the dashboard</t>
  </si>
  <si>
    <t>Windows desktop Excel is required for the live VBA refresh. Open the .xlsm, then enable macros for this workbook if your organization permits it.</t>
  </si>
  <si>
    <t>Use the Stock, ETF or Mutual Fund tab. Type a symbol in T5 and press Enter, or click Refresh. Each tab retains independent results.</t>
  </si>
  <si>
    <t>The temporary trial token is embedded as requested. Colleagues do not need to enter it. Live refresh depends on the trial remaining active.</t>
  </si>
  <si>
    <t>Refresh clears prior results, then calls the API for the chosen asset. Individual unavailable fields remain Unavailable. Requests records the actual outcome and vendor message.</t>
  </si>
  <si>
    <t>All three tabs contain authenticated Oct 12, 2026 observations. Editing the symbol with macros disabled displays Refresh required.</t>
  </si>
  <si>
    <t>This workbook uses direct WinHTTP/XML requests, not Power Query. Data &gt; Refresh All does not run the dashboard; use its button, Enter in B4, or Alt+F8 &gt; RefreshResearchDashboard.</t>
  </si>
  <si>
    <t>The corrected engine was confirmed working by the user. The new UI was verified for formulas, independent results and package structure; native Windows Excel testing was unavailable here.</t>
  </si>
  <si>
    <t>A fresh retrieval does not imply fresh underlying holdings/performance. The API dates and unit normalization are preserved. Beta and Sharpe are scalar ratios.</t>
  </si>
  <si>
    <t>Each Refresh also retrieves XigniteLogos/GetLogos and downloads the returned PNG. If no logo is available, the symbol badge is shown. Temporary signed image URLs are not saved.</t>
  </si>
  <si>
    <t>Request routing</t>
  </si>
  <si>
    <t>Route</t>
  </si>
  <si>
    <t>Assets</t>
  </si>
  <si>
    <t>Endpoint</t>
  </si>
  <si>
    <t>Query template</t>
  </si>
  <si>
    <t>API source</t>
  </si>
  <si>
    <t>Key</t>
  </si>
  <si>
    <t>XPath</t>
  </si>
  <si>
    <t>Normalization</t>
  </si>
  <si>
    <t>Date XPath</t>
  </si>
  <si>
    <t>Display unit</t>
  </si>
  <si>
    <t>Outcome XPath</t>
  </si>
  <si>
    <t>quote</t>
  </si>
  <si>
    <t>Stock|ETF</t>
  </si>
  <si>
    <t>https://globalquotes.xignite.com/v3/xGlobalQuotes.xml/GetGlobalExtendedQuotes</t>
  </si>
  <si>
    <t>IdentifierType=Symbol&amp;Identifiers={symbol}</t>
  </si>
  <si>
    <t>XigniteGlobalQuotes/GetGlobalExtendedQuotes</t>
  </si>
  <si>
    <t>Name</t>
  </si>
  <si>
    <t>//*[local-name()='GlobalExtendedQuote']/*[local-name()='Security']/*[local-name()='Name']</t>
  </si>
  <si>
    <t>text</t>
  </si>
  <si>
    <t>//*[local-name()='GlobalExtendedQuote']/*[local-name()='Date']</t>
  </si>
  <si>
    <t>stock</t>
  </si>
  <si>
    <t>Stock</t>
  </si>
  <si>
    <t>https://factsetfundamentals.xignite.com/xFactSetFundamentals.xml/GetLatestFundamentals</t>
  </si>
  <si>
    <t>IdentifierType=Symbol&amp;Identifiers={symbol}&amp;FundamentalTypes=CompanyName%2CBusinessDescription%2CCEO%2CNumberOfEmployees%2CCity%2CState%2CWebsite%2CSectorName%2CIndustryName%2CMarketCapitalization%2CPERatio%2CEPS%2CDividendRate%2CDividendYieldDaily%2CSharesOutstandingCurrent%2CAverageDailyVolumeLast52Weeks%2CBeta36Month%2CPriceToBook&amp;ReportType=&amp;UpdatedSince=</t>
  </si>
  <si>
    <t>XigniteFactSetFundamentals/GetLatestFundamentals</t>
  </si>
  <si>
    <t>Currency</t>
  </si>
  <si>
    <t>//*[local-name()='GlobalExtendedQuote']/*[local-name()='Currency']</t>
  </si>
  <si>
    <t>history</t>
  </si>
  <si>
    <t>https://globalhistorical.xignite.com/v3/xGlobalHistorical.xml/GetGlobalHistoricalQuotesRange</t>
  </si>
  <si>
    <t>IdentifierType=Symbol&amp;Identifier={symbol}&amp;IdentifierAsOfDate=&amp;AdjustmentMethod=None&amp;StartDate={start}&amp;EndDate={end}</t>
  </si>
  <si>
    <t>XigniteGlobalHistorical/GetGlobalHistoricalQuotesRange</t>
  </si>
  <si>
    <t>Market</t>
  </si>
  <si>
    <t>//*[local-name()='GlobalExtendedQuote']/*[local-name()='Security']/*[local-name()='MarketIdentificationCode']</t>
  </si>
  <si>
    <t>income</t>
  </si>
  <si>
    <t>https://globalcorporateactions.xignite.com/xGlobalCorporateActions.xml/GetDistributions</t>
  </si>
  <si>
    <t>IdentifierType=Symbol&amp;Identifier={symbol}&amp;StartDate={start}&amp;EndDate={date}&amp;IncludeOptionalPayments=False</t>
  </si>
  <si>
    <t>XigniteGlobalCorporateActions/GetDistributions</t>
  </si>
  <si>
    <t>Price</t>
  </si>
  <si>
    <t>//*[local-name()='GlobalExtendedQuote']/*[local-name()='Last']</t>
  </si>
  <si>
    <t>number</t>
  </si>
  <si>
    <t>earnings</t>
  </si>
  <si>
    <t>https://earningscalendar.xignite.com/xEarningsCalendar.xml/GetAnnouncement</t>
  </si>
  <si>
    <t>Identifier={symbol}&amp;IdentifierType=Symbol</t>
  </si>
  <si>
    <t>XigniteEarningsCalendar/GetAnnouncement</t>
  </si>
  <si>
    <t>Close</t>
  </si>
  <si>
    <t>//*[local-name()='GlobalExtendedQuote']/*[local-name()='Close']</t>
  </si>
  <si>
    <t>actuals</t>
  </si>
  <si>
    <t>https://factsetestimates.xignite.com/xFactSetEstimates.xml/GetTrailingActuals</t>
  </si>
  <si>
    <t>IdentifierType=Symbol&amp;Identifiers={symbol}&amp;ActualType=EPS&amp;ReportType=Quarterly&amp;NumberOfActuals=8</t>
  </si>
  <si>
    <t>XigniteFactSetEstimates/GetTrailingActuals</t>
  </si>
  <si>
    <t>Change</t>
  </si>
  <si>
    <t>//*[local-name()='GlobalExtendedQuote']/*[local-name()='ChangeFromPreviousClose']</t>
  </si>
  <si>
    <t>estimates</t>
  </si>
  <si>
    <t>https://factsetestimates.xignite.com/xFactSetEstimates.xml/GetAllLatestEstimates</t>
  </si>
  <si>
    <t>IdentifierType=Symbol&amp;Identifiers={symbol}&amp;AsOfDate={date}&amp;UpdatedSince=&amp;EstimateTypes=EPS%2CSales&amp;ReportType=Quarterly</t>
  </si>
  <si>
    <t>XigniteFactSetEstimates/GetAllLatestEstimates</t>
  </si>
  <si>
    <t>ChangePercent</t>
  </si>
  <si>
    <t>//*[local-name()='GlobalExtendedQuote']/*[local-name()='PercentChangeFromPreviousClose']</t>
  </si>
  <si>
    <t>points</t>
  </si>
  <si>
    <t>recommendations</t>
  </si>
  <si>
    <t>https://factsetestimates.xignite.com/xFactSetEstimates.xml/GetLatestRecommendationSummaries</t>
  </si>
  <si>
    <t>IdentifierType=Symbol&amp;Identifiers={symbol}&amp;UpdatedSince=</t>
  </si>
  <si>
    <t>XigniteFactSetEstimates/GetLatestRecommendationSummaries</t>
  </si>
  <si>
    <t>PriceDate</t>
  </si>
  <si>
    <t>targets</t>
  </si>
  <si>
    <t>https://factsetestimates.xignite.com/xFactSetEstimates.xml/GetLatestTargetPriceSummaries</t>
  </si>
  <si>
    <t>XigniteFactSetEstimates/GetLatestTargetPriceSummaries</t>
  </si>
  <si>
    <t>PriceTime</t>
  </si>
  <si>
    <t>//*[local-name()='GlobalExtendedQuote']/*[local-name()='Time']</t>
  </si>
  <si>
    <t>related</t>
  </si>
  <si>
    <t>https://globaletfs.xignite.com/xGlobalETFs.xml/SearchETFsBySecurityExposure</t>
  </si>
  <si>
    <t>IdentifierType=Symbol&amp;Identifiers={symbol}&amp;IdentifierAsOfDate=&amp;Region=US&amp;PercentThreshold=3</t>
  </si>
  <si>
    <t>XigniteGlobalETFs/SearchETFsBySecurityExposure</t>
  </si>
  <si>
    <t>UTCOffset</t>
  </si>
  <si>
    <t>//*[local-name()='GlobalExtendedQuote']/*[local-name()='UTCOffset']</t>
  </si>
  <si>
    <t>news</t>
  </si>
  <si>
    <t>Stock|ETF|Mutual Fund</t>
  </si>
  <si>
    <t>https://globalnews.xignite.com/xGlobalNews.xml/GetTopSecurityHeadlines</t>
  </si>
  <si>
    <t>IdentifierType=Symbol&amp;Identifier={symbol}&amp;Count=5</t>
  </si>
  <si>
    <t>XigniteGlobalNews/GetTopSecurityHeadlines</t>
  </si>
  <si>
    <t>PreviousClose</t>
  </si>
  <si>
    <t>//*[local-name()='GlobalExtendedQuote']/*[local-name()='PreviousClose']</t>
  </si>
  <si>
    <t>profile</t>
  </si>
  <si>
    <t>Mutual Fund|ETF</t>
  </si>
  <si>
    <t>https://globalfundfundamentals.xignite.com/V2/xGlobalFundFundamentals.xml/GetFundProfiles</t>
  </si>
  <si>
    <t>IdentifierType=Symbol&amp;Identifiers={symbol}&amp;AsOfDate={date}&amp;UpdatedSince=</t>
  </si>
  <si>
    <t>XigniteGlobalFundFundamentals/GetFundProfiles</t>
  </si>
  <si>
    <t>PreviousCloseDate</t>
  </si>
  <si>
    <t>//*[local-name()='GlobalExtendedQuote']/*[local-name()='PreviousCloseDate']</t>
  </si>
  <si>
    <t>fund</t>
  </si>
  <si>
    <t>https://globalfundfundamentals.xignite.com/V2/xGlobalFundFundamentals.xml/GetFundFundamentals</t>
  </si>
  <si>
    <t>IdentifierType=Symbol&amp;Identifiers={symbol}&amp;AsOfDate={date}&amp;UpdatedSince=&amp;FundFundamentalTypes=InceptionDate%2CAnnualReportGrossExpenseRatio%2CAnnualReportNetExpenseRatio%2CFundObjective%2CInvestmentStrategy%2CVendorCategory%2CVendorPrimaryBenchmark%2CNetAssets%2CFundShareClassNetAssets%2CTurnoverRatio%2CMinimumInitialInvestment%2CMinimumInvestmentCurrency%2CMaxFrontLoad%2CMaxDeferredLoad%2CNoLoadFund%2CThirtyDaySECYield%2CTrailingTwelveMonthYield%2CAverageEffectiveDuration%2CAverageMaturity%2CRsquaredY3%2CBetaY3%2CStandardDeviationY3%2CSharpeRatioY3</t>
  </si>
  <si>
    <t>XigniteGlobalFundFundamentals/GetFundFundamentals</t>
  </si>
  <si>
    <t>Open</t>
  </si>
  <si>
    <t>//*[local-name()='GlobalExtendedQuote']/*[local-name()='Open']</t>
  </si>
  <si>
    <t>managers</t>
  </si>
  <si>
    <t>https://globalfundfundamentals.xignite.com/V2/xGlobalFundFundamentals.xml/GetFundManagers</t>
  </si>
  <si>
    <t>XigniteGlobalFundFundamentals/GetFundManagers</t>
  </si>
  <si>
    <t>High</t>
  </si>
  <si>
    <t>//*[local-name()='GlobalExtendedQuote']/*[local-name()='High']</t>
  </si>
  <si>
    <t>holdings</t>
  </si>
  <si>
    <t>Mutual Fund</t>
  </si>
  <si>
    <t>https://globalfundfundamentals.xignite.com/V2/xGlobalFundFundamentals.xml/GetFundHoldings</t>
  </si>
  <si>
    <t>XigniteGlobalFundFundamentals/GetFundHoldings</t>
  </si>
  <si>
    <t>Low</t>
  </si>
  <si>
    <t>//*[local-name()='GlobalExtendedQuote']/*[local-name()='Low']</t>
  </si>
  <si>
    <t>month</t>
  </si>
  <si>
    <t>https://globalfundfundamentals.xignite.com/V2/xGlobalFundFundamentals.xml/GetFundMonthEndTrailingReturns</t>
  </si>
  <si>
    <t>XigniteGlobalFundFundamentals/GetFundMonthEndTrailingReturns</t>
  </si>
  <si>
    <t>High52</t>
  </si>
  <si>
    <t>//*[local-name()='GlobalExtendedQuote']/*[local-name()='High52Weeks']</t>
  </si>
  <si>
    <t>quarter</t>
  </si>
  <si>
    <t>https://globalfundfundamentals.xignite.com/V2/xGlobalFundFundamentals.xml/GetFundQuarterEndTrailingReturns</t>
  </si>
  <si>
    <t>XigniteGlobalFundFundamentals/GetFundQuarterEndTrailingReturns</t>
  </si>
  <si>
    <t>Low52</t>
  </si>
  <si>
    <t>//*[local-name()='GlobalExtendedQuote']/*[local-name()='Low52Weeks']</t>
  </si>
  <si>
    <t>nav</t>
  </si>
  <si>
    <t>https://globalfundfundamentals.xignite.com/V2/xGlobalFundFundamentals.xml/GetFundNAVs</t>
  </si>
  <si>
    <t>XigniteGlobalFundFundamentals/GetFundNAVs</t>
  </si>
  <si>
    <t>Volume</t>
  </si>
  <si>
    <t>//*[local-name()='GlobalExtendedQuote']/*[local-name()='Volume']</t>
  </si>
  <si>
    <t>navhistory</t>
  </si>
  <si>
    <t>https://globalfundfundamentals.xignite.com/V2/xGlobalFundFundamentals.xml/GetFundHistoricalNAVs</t>
  </si>
  <si>
    <t>IdentifierType=Symbol&amp;Identifier={symbol}&amp;StartDate={start}&amp;EndDate={end}&amp;AdjustmentMethod=None</t>
  </si>
  <si>
    <t>XigniteGlobalFundFundamentals/GetFundHistoricalNAVs</t>
  </si>
  <si>
    <t>VolumeDate</t>
  </si>
  <si>
    <t>//*[local-name()='GlobalExtendedQuote']/*[local-name()='VolumeDate']</t>
  </si>
  <si>
    <t>fundincome</t>
  </si>
  <si>
    <t>https://globalfundfundamentals.xignite.com/V2/xGlobalFundFundamentals.xml/GetFundDividendHistory</t>
  </si>
  <si>
    <t>IdentifierType=Symbol&amp;Identifier={symbol}&amp;StartDate={start}&amp;EndDate={date}</t>
  </si>
  <si>
    <t>XigniteGlobalFundFundamentals/GetFundDividendHistory</t>
  </si>
  <si>
    <t>Bid</t>
  </si>
  <si>
    <t>//*[local-name()='GlobalExtendedQuote']/*[local-name()='Bid']</t>
  </si>
  <si>
    <t>etf</t>
  </si>
  <si>
    <t>ETF</t>
  </si>
  <si>
    <t>https://globaletfs.xignite.com/xGlobalETFs.xml/GetETFCharacteristics</t>
  </si>
  <si>
    <t>IdentifierType=Symbol&amp;Identifiers={symbol}&amp;IdentifierAsOfDate=&amp;AsOfDate={date}&amp;CharacteristicTypes=Sponsor%2CDescription%2CInceptionDate%2CLegalStructure%2CNetExpenseRatio%2CActivePassive%2CLinkedIndexName%2CAssetClass%2CListingCurrency%2CInverseLeveraged%2CProspectusLink</t>
  </si>
  <si>
    <t>XigniteGlobalETFs/GetETFCharacteristics</t>
  </si>
  <si>
    <t>Ask</t>
  </si>
  <si>
    <t>//*[local-name()='GlobalExtendedQuote']/*[local-name()='Ask']</t>
  </si>
  <si>
    <t>etfnav</t>
  </si>
  <si>
    <t>https://globaletfs.xignite.com/xGlobalETFs.xml/GetNAVs</t>
  </si>
  <si>
    <t>IdentifierType=Symbol&amp;Identifiers={symbol}&amp;IdentifierAsOfDate=&amp;AsOfDate={date}&amp;AdjustmentMethod=None</t>
  </si>
  <si>
    <t>XigniteGlobalETFs/GetNAVs</t>
  </si>
  <si>
    <t>BidSize</t>
  </si>
  <si>
    <t>//*[local-name()='GlobalExtendedQuote']/*[local-name()='BidSize']</t>
  </si>
  <si>
    <t>etfreturns</t>
  </si>
  <si>
    <t>https://globaletfs.xignite.com/xGlobalETFs.xml/GetTrailingReturns</t>
  </si>
  <si>
    <t>IdentifierType=Symbol&amp;Identifiers={symbol}&amp;IdentifierAsOfDate=&amp;AsOfDate={date}&amp;AdjustmentMethod=SplitAndDividend&amp;CalculationMethod=NavBased</t>
  </si>
  <si>
    <t>XigniteGlobalETFs/GetTrailingReturns</t>
  </si>
  <si>
    <t>AskSize</t>
  </si>
  <si>
    <t>//*[local-name()='GlobalExtendedQuote']/*[local-name()='AskSize']</t>
  </si>
  <si>
    <t>etfholdings</t>
  </si>
  <si>
    <t>https://globaletfs.xignite.com/xGlobalETFs.xml/GetHoldings</t>
  </si>
  <si>
    <t>IdentifierType=Symbol&amp;Identifier={symbol}&amp;IdentifierAsOfDate=&amp;AsOfDate={date}&amp;PageSize=100&amp;NextPage=</t>
  </si>
  <si>
    <t>XigniteGlobalETFs/GetHoldings</t>
  </si>
  <si>
    <t>BidDate</t>
  </si>
  <si>
    <t>//*[local-name()='GlobalExtendedQuote']/*[local-name()='BidDate']</t>
  </si>
  <si>
    <t>BidTime</t>
  </si>
  <si>
    <t>//*[local-name()='GlobalExtendedQuote']/*[local-name()='BidTime']</t>
  </si>
  <si>
    <t>AskDate</t>
  </si>
  <si>
    <t>//*[local-name()='GlobalExtendedQuote']/*[local-name()='AskDate']</t>
  </si>
  <si>
    <t>AskTime</t>
  </si>
  <si>
    <t>//*[local-name()='GlobalExtendedQuote']/*[local-name()='AskTime']</t>
  </si>
  <si>
    <t>ExtendedPrice</t>
  </si>
  <si>
    <t>//*[local-name()='GlobalExtendedQuote']/*[local-name()='ExtendedHoursPrice']</t>
  </si>
  <si>
    <t>ExtendedChange</t>
  </si>
  <si>
    <t>//*[local-name()='GlobalExtendedQuote']/*[local-name()='ExtendedHoursChange']</t>
  </si>
  <si>
    <t>ExtendedPercent</t>
  </si>
  <si>
    <t>//*[local-name()='GlobalExtendedQuote']/*[local-name()='ExtendedHoursPercentChange']</t>
  </si>
  <si>
    <t>ExtendedType</t>
  </si>
  <si>
    <t>//*[local-name()='GlobalExtendedQuote']/*[local-name()='ExtendedHoursType']</t>
  </si>
  <si>
    <t>ExtendedDate</t>
  </si>
  <si>
    <t>//*[local-name()='GlobalExtendedQuote']/*[local-name()='ExtendedHoursDate']</t>
  </si>
  <si>
    <t>ExtendedTime</t>
  </si>
  <si>
    <t>//*[local-name()='GlobalExtendedQuote']/*[local-name()='ExtendedHoursTime']</t>
  </si>
  <si>
    <t>QuoteMessage</t>
  </si>
  <si>
    <t>//*[local-name()='GlobalExtendedQuote']/*[local-name()='Message']</t>
  </si>
  <si>
    <t>//*[local-name()='Fundamental'][*[local-name()='Type']='CompanyName']/*[local-name()='Value']</t>
  </si>
  <si>
    <t>//*[local-name()='Fundamental'][*[local-name()='Type']='CompanyName']/*[local-name()='Date']</t>
  </si>
  <si>
    <t>//*[local-name()='Fundamental'][*[local-name()='Type']='CompanyName']/*[local-name()='Outcome']</t>
  </si>
  <si>
    <t>Description</t>
  </si>
  <si>
    <t>//*[local-name()='Fundamental'][*[local-name()='Type']='BusinessDescription']/*[local-name()='Value']</t>
  </si>
  <si>
    <t>//*[local-name()='Fundamental'][*[local-name()='Type']='BusinessDescription']/*[local-name()='Date']</t>
  </si>
  <si>
    <t>//*[local-name()='Fundamental'][*[local-name()='Type']='BusinessDescription']/*[local-name()='Outcome']</t>
  </si>
  <si>
    <t>Management</t>
  </si>
  <si>
    <t>//*[local-name()='Fundamental'][*[local-name()='Type']='CEO']/*[local-name()='Value']</t>
  </si>
  <si>
    <t>//*[local-name()='Fundamental'][*[local-name()='Type']='CEO']/*[local-name()='Date']</t>
  </si>
  <si>
    <t>//*[local-name()='Fundamental'][*[local-name()='Type']='CEO']/*[local-name()='Outcome']</t>
  </si>
  <si>
    <t>//*[local-name()='Fundamental'][*[local-name()='Type']='NumberOfEmployees']/*[local-name()='Value']</t>
  </si>
  <si>
    <t>//*[local-name()='Fundamental'][*[local-name()='Type']='NumberOfEmployees']/*[local-name()='Date']</t>
  </si>
  <si>
    <t>//*[local-name()='Fundamental'][*[local-name()='Type']='NumberOfEmployees']/*[local-name()='Outcome']</t>
  </si>
  <si>
    <t>City</t>
  </si>
  <si>
    <t>//*[local-name()='Fundamental'][*[local-name()='Type']='City']/*[local-name()='Value']</t>
  </si>
  <si>
    <t>//*[local-name()='Fundamental'][*[local-name()='Type']='City']/*[local-name()='Date']</t>
  </si>
  <si>
    <t>//*[local-name()='Fundamental'][*[local-name()='Type']='City']/*[local-name()='Outcome']</t>
  </si>
  <si>
    <t>State</t>
  </si>
  <si>
    <t>//*[local-name()='Fundamental'][*[local-name()='Type']='State']/*[local-name()='Value']</t>
  </si>
  <si>
    <t>//*[local-name()='Fundamental'][*[local-name()='Type']='State']/*[local-name()='Date']</t>
  </si>
  <si>
    <t>//*[local-name()='Fundamental'][*[local-name()='Type']='State']/*[local-name()='Outcome']</t>
  </si>
  <si>
    <t>Website</t>
  </si>
  <si>
    <t>//*[local-name()='Fundamental'][*[local-name()='Type']='Website']/*[local-name()='Value']</t>
  </si>
  <si>
    <t>//*[local-name()='Fundamental'][*[local-name()='Type']='Website']/*[local-name()='Date']</t>
  </si>
  <si>
    <t>//*[local-name()='Fundamental'][*[local-name()='Type']='Website']/*[local-name()='Outcome']</t>
  </si>
  <si>
    <t>//*[local-name()='Fundamental'][*[local-name()='Type']='SectorName']/*[local-name()='Value']</t>
  </si>
  <si>
    <t>//*[local-name()='Fundamental'][*[local-name()='Type']='SectorName']/*[local-name()='Date']</t>
  </si>
  <si>
    <t>//*[local-name()='Fundamental'][*[local-name()='Type']='SectorName']/*[local-name()='Outcome']</t>
  </si>
  <si>
    <t>Category</t>
  </si>
  <si>
    <t>//*[local-name()='Fundamental'][*[local-name()='Type']='IndustryName']/*[local-name()='Value']</t>
  </si>
  <si>
    <t>//*[local-name()='Fundamental'][*[local-name()='Type']='IndustryName']/*[local-name()='Date']</t>
  </si>
  <si>
    <t>//*[local-name()='Fundamental'][*[local-name()='Type']='IndustryName']/*[local-name()='Outcome']</t>
  </si>
  <si>
    <t>//*[local-name()='Fundamental'][*[local-name()='Type']='MarketCapitalization']/*[local-name()='Value']</t>
  </si>
  <si>
    <t>millions</t>
  </si>
  <si>
    <t>//*[local-name()='Fundamental'][*[local-name()='Type']='MarketCapitalization']/*[local-name()='Date']</t>
  </si>
  <si>
    <t>USD</t>
  </si>
  <si>
    <t>//*[local-name()='Fundamental'][*[local-name()='Type']='MarketCapitalization']/*[local-name()='Outcome']</t>
  </si>
  <si>
    <t>PE</t>
  </si>
  <si>
    <t>//*[local-name()='Fundamental'][*[local-name()='Type']='PERatio']/*[local-name()='Value']</t>
  </si>
  <si>
    <t>//*[local-name()='Fundamental'][*[local-name()='Type']='PERatio']/*[local-name()='Date']</t>
  </si>
  <si>
    <t>//*[local-name()='Fundamental'][*[local-name()='Type']='PERatio']/*[local-name()='Outcome']</t>
  </si>
  <si>
    <t>//*[local-name()='Fundamental'][*[local-name()='Type']='EPS']/*[local-name()='Value']</t>
  </si>
  <si>
    <t>//*[local-name()='Fundamental'][*[local-name()='Type']='EPS']/*[local-name()='Date']</t>
  </si>
  <si>
    <t>//*[local-name()='Fundamental'][*[local-name()='Type']='EPS']/*[local-name()='Outcome']</t>
  </si>
  <si>
    <t>DividendRate</t>
  </si>
  <si>
    <t>//*[local-name()='Fundamental'][*[local-name()='Type']='DividendRate']/*[local-name()='Value']</t>
  </si>
  <si>
    <t>//*[local-name()='Fundamental'][*[local-name()='Type']='DividendRate']/*[local-name()='Date']</t>
  </si>
  <si>
    <t>//*[local-name()='Fundamental'][*[local-name()='Type']='DividendRate']/*[local-name()='Outcome']</t>
  </si>
  <si>
    <t>Yield</t>
  </si>
  <si>
    <t>//*[local-name()='Fundamental'][*[local-name()='Type']='DividendYieldDaily']/*[local-name()='Value']</t>
  </si>
  <si>
    <t>//*[local-name()='Fundamental'][*[local-name()='Type']='DividendYieldDaily']/*[local-name()='Date']</t>
  </si>
  <si>
    <t>//*[local-name()='Fundamental'][*[local-name()='Type']='DividendYieldDaily']/*[local-name()='Outcome']</t>
  </si>
  <si>
    <t>Shares</t>
  </si>
  <si>
    <t>//*[local-name()='Fundamental'][*[local-name()='Type']='SharesOutstandingCurrent']/*[local-name()='Value']</t>
  </si>
  <si>
    <t>//*[local-name()='Fundamental'][*[local-name()='Type']='SharesOutstandingCurrent']/*[local-name()='Date']</t>
  </si>
  <si>
    <t>//*[local-name()='Fundamental'][*[local-name()='Type']='SharesOutstandingCurrent']/*[local-name()='Outcome']</t>
  </si>
  <si>
    <t>AverageVolume</t>
  </si>
  <si>
    <t>//*[local-name()='Fundamental'][*[local-name()='Type']='AverageDailyVolumeLast52Weeks']/*[local-name()='Value']</t>
  </si>
  <si>
    <t>//*[local-name()='Fundamental'][*[local-name()='Type']='AverageDailyVolumeLast52Weeks']/*[local-name()='Date']</t>
  </si>
  <si>
    <t>//*[local-name()='Fundamental'][*[local-name()='Type']='AverageDailyVolumeLast52Weeks']/*[local-name()='Outcome']</t>
  </si>
  <si>
    <t>Beta</t>
  </si>
  <si>
    <t>//*[local-name()='Fundamental'][*[local-name()='Type']='Beta36Month']/*[local-name()='Value']</t>
  </si>
  <si>
    <t>//*[local-name()='Fundamental'][*[local-name()='Type']='Beta36Month']/*[local-name()='Date']</t>
  </si>
  <si>
    <t>//*[local-name()='Fundamental'][*[local-name()='Type']='Beta36Month']/*[local-name()='Outcome']</t>
  </si>
  <si>
    <t>PriceBook</t>
  </si>
  <si>
    <t>//*[local-name()='Fundamental'][*[local-name()='Type']='PriceToBook']/*[local-name()='Value']</t>
  </si>
  <si>
    <t>//*[local-name()='Fundamental'][*[local-name()='Type']='PriceToBook']/*[local-name()='Date']</t>
  </si>
  <si>
    <t>//*[local-name()='Fundamental'][*[local-name()='Type']='PriceToBook']/*[local-name()='Outcome']</t>
  </si>
  <si>
    <t>//*[local-name()="ProfileBreakdown"]/*[local-name()='LegalName']</t>
  </si>
  <si>
    <t>//*[local-name()='ProfilesSet']/*[local-name()='AsOfDate']</t>
  </si>
  <si>
    <t>//*[local-name()="ProfileBreakdown"]/*[local-name()='ProviderCompany']</t>
  </si>
  <si>
    <t>//*[local-name()="ProfileBreakdown"]/*[local-name()='FundObjective']</t>
  </si>
  <si>
    <t>Strategy</t>
  </si>
  <si>
    <t>//*[local-name()="ProfileBreakdown"]/*[local-name()='InvestmentStrategy']</t>
  </si>
  <si>
    <t>//*[local-name()="ProfileBreakdown"]/*[local-name()='VendorCategory']</t>
  </si>
  <si>
    <t>ShareClass</t>
  </si>
  <si>
    <t>//*[local-name()="ProfileBreakdown"]/*[local-name()='ShareClass']</t>
  </si>
  <si>
    <t>Inception</t>
  </si>
  <si>
    <t>//*[local-name()='FundFundamental' or local-name()='Fundamental'][*[local-name()='Type']='InceptionDate']/*[local-name()='Value']</t>
  </si>
  <si>
    <t>//*[local-name()='FundFundamental' or local-name()='Fundamental'][*[local-name()='Type']='InceptionDate']/*[local-name()='Date']</t>
  </si>
  <si>
    <t>//*[local-name()='FundFundamental' or local-name()='Fundamental'][*[local-name()='Type']='InceptionDate']/*[local-name()='Outcome']</t>
  </si>
  <si>
    <t>GrossExpense</t>
  </si>
  <si>
    <t>//*[local-name()='FundFundamental' or local-name()='Fundamental'][*[local-name()='Type']='AnnualReportGrossExpenseRatio']/*[local-name()='Value']</t>
  </si>
  <si>
    <t>//*[local-name()='FundFundamental' or local-name()='Fundamental'][*[local-name()='Type']='AnnualReportGrossExpenseRatio']/*[local-name()='Date']</t>
  </si>
  <si>
    <t>//*[local-name()='FundFundamental' or local-name()='Fundamental'][*[local-name()='Type']='AnnualReportGrossExpenseRatio']/*[local-name()='Outcome']</t>
  </si>
  <si>
    <t>NetExpense</t>
  </si>
  <si>
    <t>//*[local-name()='FundFundamental' or local-name()='Fundamental'][*[local-name()='Type']='AnnualReportNetExpenseRatio']/*[local-name()='Value']</t>
  </si>
  <si>
    <t>//*[local-name()='FundFundamental' or local-name()='Fundamental'][*[local-name()='Type']='AnnualReportNetExpenseRatio']/*[local-name()='Date']</t>
  </si>
  <si>
    <t>//*[local-name()='FundFundamental' or local-name()='Fundamental'][*[local-name()='Type']='AnnualReportNetExpenseRatio']/*[local-name()='Outcome']</t>
  </si>
  <si>
    <t>//*[local-name()='FundFundamental' or local-name()='Fundamental'][*[local-name()='Type']='FundObjective']/*[local-name()='Value']</t>
  </si>
  <si>
    <t>//*[local-name()='FundFundamental' or local-name()='Fundamental'][*[local-name()='Type']='FundObjective']/*[local-name()='Date']</t>
  </si>
  <si>
    <t>//*[local-name()='FundFundamental' or local-name()='Fundamental'][*[local-name()='Type']='FundObjective']/*[local-name()='Outcome']</t>
  </si>
  <si>
    <t>//*[local-name()='FundFundamental' or local-name()='Fundamental'][*[local-name()='Type']='InvestmentStrategy']/*[local-name()='Value']</t>
  </si>
  <si>
    <t>//*[local-name()='FundFundamental' or local-name()='Fundamental'][*[local-name()='Type']='InvestmentStrategy']/*[local-name()='Date']</t>
  </si>
  <si>
    <t>//*[local-name()='FundFundamental' or local-name()='Fundamental'][*[local-name()='Type']='InvestmentStrategy']/*[local-name()='Outcome']</t>
  </si>
  <si>
    <t>//*[local-name()='FundFundamental' or local-name()='Fundamental'][*[local-name()='Type']='VendorCategory']/*[local-name()='Value']</t>
  </si>
  <si>
    <t>//*[local-name()='FundFundamental' or local-name()='Fundamental'][*[local-name()='Type']='VendorCategory']/*[local-name()='Date']</t>
  </si>
  <si>
    <t>//*[local-name()='FundFundamental' or local-name()='Fundamental'][*[local-name()='Type']='VendorCategory']/*[local-name()='Outcome']</t>
  </si>
  <si>
    <t>//*[local-name()='FundFundamental' or local-name()='Fundamental'][*[local-name()='Type']='VendorPrimaryBenchmark']/*[local-name()='Value']</t>
  </si>
  <si>
    <t>//*[local-name()='FundFundamental' or local-name()='Fundamental'][*[local-name()='Type']='VendorPrimaryBenchmark']/*[local-name()='Date']</t>
  </si>
  <si>
    <t>//*[local-name()='FundFundamental' or local-name()='Fundamental'][*[local-name()='Type']='VendorPrimaryBenchmark']/*[local-name()='Outcome']</t>
  </si>
  <si>
    <t>//*[local-name()='FundFundamental' or local-name()='Fundamental'][*[local-name()='Type']='NetAssets']/*[local-name()='Value']</t>
  </si>
  <si>
    <t>//*[local-name()='FundFundamental' or local-name()='Fundamental'][*[local-name()='Type']='NetAssets']/*[local-name()='Date']</t>
  </si>
  <si>
    <t>//*[local-name()='FundFundamental' or local-name()='Fundamental'][*[local-name()='Type']='NetAssets']/*[local-name()='Outcome']</t>
  </si>
  <si>
    <t>ShareClassAssets</t>
  </si>
  <si>
    <t>//*[local-name()='FundFundamental' or local-name()='Fundamental'][*[local-name()='Type']='FundShareClassNetAssets']/*[local-name()='Value']</t>
  </si>
  <si>
    <t>//*[local-name()='FundFundamental' or local-name()='Fundamental'][*[local-name()='Type']='FundShareClassNetAssets']/*[local-name()='Date']</t>
  </si>
  <si>
    <t>//*[local-name()='FundFundamental' or local-name()='Fundamental'][*[local-name()='Type']='FundShareClassNetAssets']/*[local-name()='Outcome']</t>
  </si>
  <si>
    <t>Turnover</t>
  </si>
  <si>
    <t>//*[local-name()='FundFundamental' or local-name()='Fundamental'][*[local-name()='Type']='TurnoverRatio']/*[local-name()='Value']</t>
  </si>
  <si>
    <t>//*[local-name()='FundFundamental' or local-name()='Fundamental'][*[local-name()='Type']='TurnoverRatio']/*[local-name()='Date']</t>
  </si>
  <si>
    <t>//*[local-name()='FundFundamental' or local-name()='Fundamental'][*[local-name()='Type']='TurnoverRatio']/*[local-name()='Outcome']</t>
  </si>
  <si>
    <t>Minimum</t>
  </si>
  <si>
    <t>//*[local-name()='FundFundamental' or local-name()='Fundamental'][*[local-name()='Type']='MinimumInitialInvestment']/*[local-name()='Value']</t>
  </si>
  <si>
    <t>//*[local-name()='FundFundamental' or local-name()='Fundamental'][*[local-name()='Type']='MinimumInitialInvestment']/*[local-name()='Date']</t>
  </si>
  <si>
    <t>//*[local-name()='FundFundamental' or local-name()='Fundamental'][*[local-name()='Type']='MinimumInitialInvestment']/*[local-name()='Outcome']</t>
  </si>
  <si>
    <t>MinimumCurrency</t>
  </si>
  <si>
    <t>//*[local-name()='FundFundamental' or local-name()='Fundamental'][*[local-name()='Type']='MinimumInvestmentCurrency']/*[local-name()='Value']</t>
  </si>
  <si>
    <t>//*[local-name()='FundFundamental' or local-name()='Fundamental'][*[local-name()='Type']='MinimumInvestmentCurrency']/*[local-name()='Date']</t>
  </si>
  <si>
    <t>//*[local-name()='FundFundamental' or local-name()='Fundamental'][*[local-name()='Type']='MinimumInvestmentCurrency']/*[local-name()='Outcome']</t>
  </si>
  <si>
    <t>FrontLoad</t>
  </si>
  <si>
    <t>//*[local-name()='FundFundamental' or local-name()='Fundamental'][*[local-name()='Type']='MaxFrontLoad']/*[local-name()='Value']</t>
  </si>
  <si>
    <t>//*[local-name()='FundFundamental' or local-name()='Fundamental'][*[local-name()='Type']='MaxFrontLoad']/*[local-name()='Date']</t>
  </si>
  <si>
    <t>//*[local-name()='FundFundamental' or local-name()='Fundamental'][*[local-name()='Type']='MaxFrontLoad']/*[local-name()='Outcome']</t>
  </si>
  <si>
    <t>DeferredLoad</t>
  </si>
  <si>
    <t>//*[local-name()='FundFundamental' or local-name()='Fundamental'][*[local-name()='Type']='MaxDeferredLoad']/*[local-name()='Value']</t>
  </si>
  <si>
    <t>//*[local-name()='FundFundamental' or local-name()='Fundamental'][*[local-name()='Type']='MaxDeferredLoad']/*[local-name()='Date']</t>
  </si>
  <si>
    <t>//*[local-name()='FundFundamental' or local-name()='Fundamental'][*[local-name()='Type']='MaxDeferredLoad']/*[local-name()='Outcome']</t>
  </si>
  <si>
    <t>NoLoad</t>
  </si>
  <si>
    <t>//*[local-name()='FundFundamental' or local-name()='Fundamental'][*[local-name()='Type']='NoLoadFund']/*[local-name()='Value']</t>
  </si>
  <si>
    <t>//*[local-name()='FundFundamental' or local-name()='Fundamental'][*[local-name()='Type']='NoLoadFund']/*[local-name()='Date']</t>
  </si>
  <si>
    <t>//*[local-name()='FundFundamental' or local-name()='Fundamental'][*[local-name()='Type']='NoLoadFund']/*[local-name()='Outcome']</t>
  </si>
  <si>
    <t>SECYield</t>
  </si>
  <si>
    <t>//*[local-name()='FundFundamental' or local-name()='Fundamental'][*[local-name()='Type']='ThirtyDaySECYield']/*[local-name()='Value']</t>
  </si>
  <si>
    <t>//*[local-name()='FundFundamental' or local-name()='Fundamental'][*[local-name()='Type']='ThirtyDaySECYield']/*[local-name()='Date']</t>
  </si>
  <si>
    <t>//*[local-name()='FundFundamental' or local-name()='Fundamental'][*[local-name()='Type']='ThirtyDaySECYield']/*[local-name()='Outcome']</t>
  </si>
  <si>
    <t>//*[local-name()='FundFundamental' or local-name()='Fundamental'][*[local-name()='Type']='TrailingTwelveMonthYield']/*[local-name()='Value']</t>
  </si>
  <si>
    <t>//*[local-name()='FundFundamental' or local-name()='Fundamental'][*[local-name()='Type']='TrailingTwelveMonthYield']/*[local-name()='Date']</t>
  </si>
  <si>
    <t>//*[local-name()='FundFundamental' or local-name()='Fundamental'][*[local-name()='Type']='TrailingTwelveMonthYield']/*[local-name()='Outcome']</t>
  </si>
  <si>
    <t>Duration</t>
  </si>
  <si>
    <t>//*[local-name()='FundFundamental' or local-name()='Fundamental'][*[local-name()='Type']='AverageEffectiveDuration']/*[local-name()='Value']</t>
  </si>
  <si>
    <t>//*[local-name()='FundFundamental' or local-name()='Fundamental'][*[local-name()='Type']='AverageEffectiveDuration']/*[local-name()='Date']</t>
  </si>
  <si>
    <t>//*[local-name()='FundFundamental' or local-name()='Fundamental'][*[local-name()='Type']='AverageEffectiveDuration']/*[local-name()='Outcome']</t>
  </si>
  <si>
    <t>Maturity</t>
  </si>
  <si>
    <t>//*[local-name()='FundFundamental' or local-name()='Fundamental'][*[local-name()='Type']='AverageMaturity']/*[local-name()='Value']</t>
  </si>
  <si>
    <t>//*[local-name()='FundFundamental' or local-name()='Fundamental'][*[local-name()='Type']='AverageMaturity']/*[local-name()='Date']</t>
  </si>
  <si>
    <t>//*[local-name()='FundFundamental' or local-name()='Fundamental'][*[local-name()='Type']='AverageMaturity']/*[local-name()='Outcome']</t>
  </si>
  <si>
    <t>RSquared</t>
  </si>
  <si>
    <t>//*[local-name()='FundFundamental' or local-name()='Fundamental'][*[local-name()='Type']='RsquaredY3']/*[local-name()='Value']</t>
  </si>
  <si>
    <t>//*[local-name()='FundFundamental' or local-name()='Fundamental'][*[local-name()='Type']='RsquaredY3']/*[local-name()='Date']</t>
  </si>
  <si>
    <t>//*[local-name()='FundFundamental' or local-name()='Fundamental'][*[local-name()='Type']='RsquaredY3']/*[local-name()='Outcome']</t>
  </si>
  <si>
    <t>//*[local-name()='FundFundamental' or local-name()='Fundamental'][*[local-name()='Type']='BetaY3']/*[local-name()='Value']</t>
  </si>
  <si>
    <t>//*[local-name()='FundFundamental' or local-name()='Fundamental'][*[local-name()='Type']='BetaY3']/*[local-name()='Date']</t>
  </si>
  <si>
    <t>ratio</t>
  </si>
  <si>
    <t>//*[local-name()='FundFundamental' or local-name()='Fundamental'][*[local-name()='Type']='BetaY3']/*[local-name()='Outcome']</t>
  </si>
  <si>
    <t>StdDev</t>
  </si>
  <si>
    <t>//*[local-name()='FundFundamental' or local-name()='Fundamental'][*[local-name()='Type']='StandardDeviationY3']/*[local-name()='Value']</t>
  </si>
  <si>
    <t>//*[local-name()='FundFundamental' or local-name()='Fundamental'][*[local-name()='Type']='StandardDeviationY3']/*[local-name()='Date']</t>
  </si>
  <si>
    <t>//*[local-name()='FundFundamental' or local-name()='Fundamental'][*[local-name()='Type']='StandardDeviationY3']/*[local-name()='Outcome']</t>
  </si>
  <si>
    <t>Sharpe</t>
  </si>
  <si>
    <t>//*[local-name()='FundFundamental' or local-name()='Fundamental'][*[local-name()='Type']='SharpeRatioY3']/*[local-name()='Value']</t>
  </si>
  <si>
    <t>//*[local-name()='FundFundamental' or local-name()='Fundamental'][*[local-name()='Type']='SharpeRatioY3']/*[local-name()='Date']</t>
  </si>
  <si>
    <t>//*[local-name()='FundFundamental' or local-name()='Fundamental'][*[local-name()='Type']='SharpeRatioY3']/*[local-name()='Outcome']</t>
  </si>
  <si>
    <t>//*[local-name()='Fund']/*[local-name()='Name']</t>
  </si>
  <si>
    <t>//*[local-name()='Date']</t>
  </si>
  <si>
    <t>//*[local-name()='Currency']</t>
  </si>
  <si>
    <t>//*[local-name()='Fund']/*[local-name()='MarketIdentificationCode']</t>
  </si>
  <si>
    <t>//*[local-name()='NAV']</t>
  </si>
  <si>
    <t>NAV</t>
  </si>
  <si>
    <t>//*[local-name()='PreviousNAV']</t>
  </si>
  <si>
    <t>//*[local-name()='Change']</t>
  </si>
  <si>
    <t>//*[local-name()='PercentChange']</t>
  </si>
  <si>
    <t>//*[local-name()='ETFCharacteristic' or local-name()='Characteristic'][*[local-name()='Type']='Sponsor' or *[local-name()='CharacteristicType']='Sponsor']/*[local-name()='Value']</t>
  </si>
  <si>
    <t>//*[local-name()='ETFCharacteristic' or local-name()='Characteristic'][*[local-name()='Type']='Sponsor' or *[local-name()='CharacteristicType']='Sponsor']/*[local-name()='AsOfDate']</t>
  </si>
  <si>
    <t>//*[local-name()='ETFCharacteristic' or local-name()='Characteristic'][*[local-name()='Type']='Description' or *[local-name()='CharacteristicType']='Description']/*[local-name()='Value']</t>
  </si>
  <si>
    <t>//*[local-name()='ETFCharacteristic' or local-name()='Characteristic'][*[local-name()='Type']='Description' or *[local-name()='CharacteristicType']='Description']/*[local-name()='AsOfDate']</t>
  </si>
  <si>
    <t>//*[local-name()='ETFCharacteristic' or local-name()='Characteristic'][*[local-name()='Type']='InceptionDate' or *[local-name()='CharacteristicType']='InceptionDate']/*[local-name()='Value']</t>
  </si>
  <si>
    <t>//*[local-name()='ETFCharacteristic' or local-name()='Characteristic'][*[local-name()='Type']='InceptionDate' or *[local-name()='CharacteristicType']='InceptionDate']/*[local-name()='AsOfDate']</t>
  </si>
  <si>
    <t>Structure</t>
  </si>
  <si>
    <t>//*[local-name()='ETFCharacteristic' or local-name()='Characteristic'][*[local-name()='Type']='LegalStructure' or *[local-name()='CharacteristicType']='LegalStructure']/*[local-name()='Value']</t>
  </si>
  <si>
    <t>//*[local-name()='ETFCharacteristic' or local-name()='Characteristic'][*[local-name()='Type']='LegalStructure' or *[local-name()='CharacteristicType']='LegalStructure']/*[local-name()='AsOfDate']</t>
  </si>
  <si>
    <t>//*[local-name()='ETFCharacteristic' or local-name()='Characteristic'][*[local-name()='Type']='NetExpenseRatio' or *[local-name()='CharacteristicType']='NetExpenseRatio']/*[local-name()='Value']</t>
  </si>
  <si>
    <t>//*[local-name()='ETFCharacteristic' or local-name()='Characteristic'][*[local-name()='Type']='NetExpenseRatio' or *[local-name()='CharacteristicType']='NetExpenseRatio']/*[local-name()='AsOfDate']</t>
  </si>
  <si>
    <t>ActivePassive</t>
  </si>
  <si>
    <t>//*[local-name()='ETFCharacteristic' or local-name()='Characteristic'][*[local-name()='Type']='ActivePassive' or *[local-name()='CharacteristicType']='ActivePassive']/*[local-name()='Value']</t>
  </si>
  <si>
    <t>//*[local-name()='ETFCharacteristic' or local-name()='Characteristic'][*[local-name()='Type']='ActivePassive' or *[local-name()='CharacteristicType']='ActivePassive']/*[local-name()='AsOfDate']</t>
  </si>
  <si>
    <t>//*[local-name()='ETFCharacteristic' or local-name()='Characteristic'][*[local-name()='Type']='LinkedIndexName' or *[local-name()='CharacteristicType']='LinkedIndexName']/*[local-name()='Value']</t>
  </si>
  <si>
    <t>//*[local-name()='ETFCharacteristic' or local-name()='Characteristic'][*[local-name()='Type']='LinkedIndexName' or *[local-name()='CharacteristicType']='LinkedIndexName']/*[local-name()='AsOfDate']</t>
  </si>
  <si>
    <t>AssetClass</t>
  </si>
  <si>
    <t>//*[local-name()='ETFCharacteristic' or local-name()='Characteristic'][*[local-name()='Type']='AssetClass' or *[local-name()='CharacteristicType']='AssetClass']/*[local-name()='Value']</t>
  </si>
  <si>
    <t>//*[local-name()='ETFCharacteristic' or local-name()='Characteristic'][*[local-name()='Type']='AssetClass' or *[local-name()='CharacteristicType']='AssetClass']/*[local-name()='AsOfDate']</t>
  </si>
  <si>
    <t>Leveraged</t>
  </si>
  <si>
    <t>//*[local-name()='ETFCharacteristic' or local-name()='Characteristic'][*[local-name()='Type']='InverseLeveraged' or *[local-name()='CharacteristicType']='InverseLeveraged']/*[local-name()='Value']</t>
  </si>
  <si>
    <t>//*[local-name()='ETFCharacteristic' or local-name()='Characteristic'][*[local-name()='Type']='InverseLeveraged' or *[local-name()='CharacteristicType']='InverseLeveraged']/*[local-name()='AsOfDate']</t>
  </si>
  <si>
    <t>Prospectus</t>
  </si>
  <si>
    <t>//*[local-name()='ETFCharacteristic' or local-name()='Characteristic'][*[local-name()='Type']='ProspectusLink' or *[local-name()='CharacteristicType']='ProspectusLink']/*[local-name()='Value']</t>
  </si>
  <si>
    <t>//*[local-name()='ETFCharacteristic' or local-name()='Characteristic'][*[local-name()='Type']='ProspectusLink' or *[local-name()='CharacteristicType']='ProspectusLink']/*[local-name()='AsOfDate']</t>
  </si>
  <si>
    <t>//*[local-name()='Security']/*[local-name()='Name']</t>
  </si>
  <si>
    <t>//*[local-name()='NAV']/*[local-name()='NetAssetValue']</t>
  </si>
  <si>
    <t>//*[local-name()='NAV']/*[local-name()='AsOfDate']</t>
  </si>
  <si>
    <t>//*[local-name()='NAV']/*[local-name()='AssetsUnderManagement']</t>
  </si>
  <si>
    <t>//*[local-name()='NAV']/*[local-name()='SharesOutstanding']</t>
  </si>
  <si>
    <t>EarningsDate</t>
  </si>
  <si>
    <t>//*[local-name()='EarningsDate']</t>
  </si>
  <si>
    <t>EarningsTime</t>
  </si>
  <si>
    <t>//*[local-name()='TimeType']</t>
  </si>
  <si>
    <t>EarningsStatus</t>
  </si>
  <si>
    <t>//*[local-name()='DateType']</t>
  </si>
  <si>
    <t>EarningsQuarter</t>
  </si>
  <si>
    <t>//*[local-name()='EarningsQuarter']</t>
  </si>
  <si>
    <t>Target</t>
  </si>
  <si>
    <t>//*[local-name()='TargetPriceSummary']/*[local-name()='Value']</t>
  </si>
  <si>
    <t>//*[local-name()='TargetPriceSummary']/*[local-name()='Date']</t>
  </si>
  <si>
    <t>TargetLow</t>
  </si>
  <si>
    <t>//*[local-name()='TargetPriceSummary']/*[local-name()='Low']</t>
  </si>
  <si>
    <t>TargetHigh</t>
  </si>
  <si>
    <t>//*[local-name()='TargetPriceSummary']/*[local-name()='High']</t>
  </si>
  <si>
    <t>TargetCount</t>
  </si>
  <si>
    <t>//*[local-name()='TargetPriceSummary']/*[local-name()='Estimates']</t>
  </si>
  <si>
    <t>Recommendation</t>
  </si>
  <si>
    <t>//*[local-name()='RecommendationSummary']/*[local-name()='Recommendation']</t>
  </si>
  <si>
    <t>//*[local-name()='RecommendationSummary']/*[local-name()='Date']</t>
  </si>
  <si>
    <t>Value</t>
  </si>
  <si>
    <t>Unit</t>
  </si>
  <si>
    <t>As of</t>
  </si>
  <si>
    <t>Raw value / notes</t>
  </si>
  <si>
    <t>Input matches loaded symbol</t>
  </si>
  <si>
    <t>Security</t>
  </si>
  <si>
    <t>Period</t>
  </si>
  <si>
    <t>Return</t>
  </si>
  <si>
    <t>Basis</t>
  </si>
  <si>
    <t>Pay date</t>
  </si>
  <si>
    <t>Record date</t>
  </si>
  <si>
    <t>Declared date</t>
  </si>
  <si>
    <t>Type</t>
  </si>
  <si>
    <t>Portfolio manager</t>
  </si>
  <si>
    <t>Start date</t>
  </si>
  <si>
    <t>Tenure (years)</t>
  </si>
  <si>
    <t>Biography</t>
  </si>
  <si>
    <t>Date</t>
  </si>
  <si>
    <t>Price / NAV</t>
  </si>
  <si>
    <t>Chart price / NAV</t>
  </si>
  <si>
    <t>Fiscal period</t>
  </si>
  <si>
    <t>Report / estimate date</t>
  </si>
  <si>
    <t>Estimate count</t>
  </si>
  <si>
    <t>Sales forecast (USD)</t>
  </si>
  <si>
    <t>Headline</t>
  </si>
  <si>
    <t>Source</t>
  </si>
  <si>
    <t>URL</t>
  </si>
  <si>
    <t>Request</t>
  </si>
  <si>
    <t>Outcome</t>
  </si>
  <si>
    <t>Message</t>
  </si>
  <si>
    <t>HTTP</t>
  </si>
  <si>
    <t>Retrieved</t>
  </si>
  <si>
    <t>Returned</t>
  </si>
  <si>
    <t>Not supplied</t>
  </si>
  <si>
    <t>YTD</t>
  </si>
  <si>
    <t>Price change; excludes dividends</t>
  </si>
  <si>
    <t>Historical closes</t>
  </si>
  <si>
    <t>Unadjusted close</t>
  </si>
  <si>
    <t>2025Q3</t>
  </si>
  <si>
    <t>Actual EPS</t>
  </si>
  <si>
    <t>Zacks Investment Research</t>
  </si>
  <si>
    <t>Success</t>
  </si>
  <si>
    <t>Delay times are 15 mins for New York Stock Exchange, Inc..</t>
  </si>
  <si>
    <t>Raw: USD</t>
  </si>
  <si>
    <t>2025Q4</t>
  </si>
  <si>
    <t>XNYS</t>
  </si>
  <si>
    <t>Raw: XNYS</t>
  </si>
  <si>
    <t>2026Q1</t>
  </si>
  <si>
    <t>2026Q2</t>
  </si>
  <si>
    <t>2026Q3</t>
  </si>
  <si>
    <t>Consensus EPS</t>
  </si>
  <si>
    <t>24/7 Wall St.</t>
  </si>
  <si>
    <t>2026Q4</t>
  </si>
  <si>
    <t>No data is available</t>
  </si>
  <si>
    <t>2027Q1</t>
  </si>
  <si>
    <t>Raw: 2026-10-09</t>
  </si>
  <si>
    <t>2027Q2</t>
  </si>
  <si>
    <t>Raw: 16:00:00.000</t>
  </si>
  <si>
    <t>2027Q3</t>
  </si>
  <si>
    <t>Raw: -4</t>
  </si>
  <si>
    <t>2027Q4</t>
  </si>
  <si>
    <t>2028Q1</t>
  </si>
  <si>
    <t>2028Q2</t>
  </si>
  <si>
    <t>logos</t>
  </si>
  <si>
    <t>XigniteLogos/GetLogos</t>
  </si>
  <si>
    <t>DJD</t>
  </si>
  <si>
    <t>Invesco Exchange-Traded Fund Trust - Invesco Dow Jones Industrial Average Dividend ETF</t>
  </si>
  <si>
    <t>2028Q3</t>
  </si>
  <si>
    <t>2028Q4</t>
  </si>
  <si>
    <t>Raw: 2026-10-12</t>
  </si>
  <si>
    <t>Raw: 100</t>
  </si>
  <si>
    <t>EDOW</t>
  </si>
  <si>
    <t>First Trust Exchange-Traded Fund - First Trust Dow 30 Equal Weight ETF</t>
  </si>
  <si>
    <t>Raw: Delay times are 15 mins for New York Stock Exchange, Inc..</t>
  </si>
  <si>
    <t>Unavailable</t>
  </si>
  <si>
    <t>Not returned</t>
  </si>
  <si>
    <t>Verified</t>
  </si>
  <si>
    <t>Raw: Verified</t>
  </si>
  <si>
    <t>Q3</t>
  </si>
  <si>
    <t>Raw: Q3</t>
  </si>
  <si>
    <t>Raw: 21</t>
  </si>
  <si>
    <t>Overweight</t>
  </si>
  <si>
    <t>Raw: Overweight</t>
  </si>
  <si>
    <t>Input</t>
  </si>
  <si>
    <t>AssetType</t>
  </si>
  <si>
    <t>UTC</t>
  </si>
  <si>
    <t>Recorded</t>
  </si>
  <si>
    <t>HoldingsDate</t>
  </si>
  <si>
    <t>ReturnsDate</t>
  </si>
  <si>
    <t>IncomeDate</t>
  </si>
  <si>
    <t>ManagementDate</t>
  </si>
  <si>
    <t>FieldNotes</t>
  </si>
  <si>
    <t>Derived</t>
  </si>
  <si>
    <t>Calculated</t>
  </si>
  <si>
    <t>PortfolioNote</t>
  </si>
  <si>
    <t>Holdings names/classifications are displayed as received; no issuer validation implied.</t>
  </si>
  <si>
    <t>Notice</t>
  </si>
  <si>
    <t>Session</t>
  </si>
  <si>
    <t>Last regular-session observation</t>
  </si>
  <si>
    <t>TrackingError</t>
  </si>
  <si>
    <t>ShortInterest</t>
  </si>
  <si>
    <t>DaysToCover</t>
  </si>
  <si>
    <t>Morningstar</t>
  </si>
  <si>
    <t>Not verified / licensed feed required</t>
  </si>
  <si>
    <t>Coverage</t>
  </si>
  <si>
    <t>Unverified</t>
  </si>
  <si>
    <t>FactSetGrade</t>
  </si>
  <si>
    <t>LogoStatus</t>
  </si>
  <si>
    <t>LogoSymbol</t>
  </si>
  <si>
    <t>LogoKind</t>
  </si>
  <si>
    <t>LogoLight</t>
  </si>
  <si>
    <t>LogoUpdated</t>
  </si>
  <si>
    <t>LogoProvider</t>
  </si>
  <si>
    <t>Provider</t>
  </si>
  <si>
    <t>NVDA</t>
  </si>
  <si>
    <t>NVIDIA Corp</t>
  </si>
  <si>
    <t>NAV total return</t>
  </si>
  <si>
    <t>Delay times are 15 mins for NYSE ARCA.</t>
  </si>
  <si>
    <t>AAPL</t>
  </si>
  <si>
    <t>Apple Inc</t>
  </si>
  <si>
    <t>1 year</t>
  </si>
  <si>
    <t>ARCX</t>
  </si>
  <si>
    <t>Raw: ARCX</t>
  </si>
  <si>
    <t>MSFT</t>
  </si>
  <si>
    <t>Microsoft Corporation</t>
  </si>
  <si>
    <t>3 years</t>
  </si>
  <si>
    <t>AMZN</t>
  </si>
  <si>
    <t>Amazon.com Inc.</t>
  </si>
  <si>
    <t>5 years</t>
  </si>
  <si>
    <t>GOOGL</t>
  </si>
  <si>
    <t>Alphabet Inc - Ordinary Shares - Class A</t>
  </si>
  <si>
    <t>10 years</t>
  </si>
  <si>
    <t>AVGO</t>
  </si>
  <si>
    <t>Broadcom Inc</t>
  </si>
  <si>
    <t>Life</t>
  </si>
  <si>
    <t>GOOG</t>
  </si>
  <si>
    <t>Alphabet Inc - Ordinary Shares - Class C</t>
  </si>
  <si>
    <t>META</t>
  </si>
  <si>
    <t>Meta Platforms Inc - Ordinary Shares - Class A</t>
  </si>
  <si>
    <t>Not Applicable</t>
  </si>
  <si>
    <t>MU</t>
  </si>
  <si>
    <t>Micron Technology Inc.</t>
  </si>
  <si>
    <t>TSLA</t>
  </si>
  <si>
    <t>Tesla Inc</t>
  </si>
  <si>
    <t>JPM</t>
  </si>
  <si>
    <t>JPMorgan Chase &amp; Co.</t>
  </si>
  <si>
    <t>BRK/B</t>
  </si>
  <si>
    <t>Berkshire Hathaway Inc. - Ordinary Shares - Class B</t>
  </si>
  <si>
    <t>LLY</t>
  </si>
  <si>
    <t>Lilly(Eli) &amp; Co</t>
  </si>
  <si>
    <t>AMD</t>
  </si>
  <si>
    <t>Advanced Micro Devices Inc.</t>
  </si>
  <si>
    <t>XOM</t>
  </si>
  <si>
    <t>ExxonMobil Holdings Corp.</t>
  </si>
  <si>
    <t>JNJ</t>
  </si>
  <si>
    <t>Johnson &amp; Johnson</t>
  </si>
  <si>
    <t>V</t>
  </si>
  <si>
    <t>Visa Inc - Ordinary Shares - Class A</t>
  </si>
  <si>
    <t>MA</t>
  </si>
  <si>
    <t>Mastercard Incorporated - Ordinary Shares - Class A</t>
  </si>
  <si>
    <t>WMT</t>
  </si>
  <si>
    <t>Walmart Inc</t>
  </si>
  <si>
    <t>ABBV</t>
  </si>
  <si>
    <t>Abbvie Inc</t>
  </si>
  <si>
    <t>INTC</t>
  </si>
  <si>
    <t>Intel Corp.</t>
  </si>
  <si>
    <t>CSCO</t>
  </si>
  <si>
    <t>Cisco Systems, Inc.</t>
  </si>
  <si>
    <t>PLTR</t>
  </si>
  <si>
    <t>Palantir Technologies Inc - Ordinary Shares - Class A</t>
  </si>
  <si>
    <t>COST</t>
  </si>
  <si>
    <t>Costco Wholesale Corp</t>
  </si>
  <si>
    <t>BAC</t>
  </si>
  <si>
    <t>Bank Of America Corp.</t>
  </si>
  <si>
    <t>CVX</t>
  </si>
  <si>
    <t>Chevron Corp.</t>
  </si>
  <si>
    <t>LRCX</t>
  </si>
  <si>
    <t>Lam Research Corp.</t>
  </si>
  <si>
    <t>CAT</t>
  </si>
  <si>
    <t>Caterpillar Inc.</t>
  </si>
  <si>
    <t>MRK</t>
  </si>
  <si>
    <t>Merck &amp; Co Inc</t>
  </si>
  <si>
    <t>AMAT</t>
  </si>
  <si>
    <t>Applied Materials Inc.</t>
  </si>
  <si>
    <t>UNH</t>
  </si>
  <si>
    <t>Unitedhealth Group Inc</t>
  </si>
  <si>
    <t>GE</t>
  </si>
  <si>
    <t>GE Aerospace</t>
  </si>
  <si>
    <t>Coca-Cola Co</t>
  </si>
  <si>
    <t>Raw: Delay times are 15 mins for NYSE ARCA.</t>
  </si>
  <si>
    <t>NFLX</t>
  </si>
  <si>
    <t>Netflix Inc.</t>
  </si>
  <si>
    <t>PG</t>
  </si>
  <si>
    <t>Procter &amp; Gamble Co.</t>
  </si>
  <si>
    <t>HD</t>
  </si>
  <si>
    <t>Home Depot, Inc.</t>
  </si>
  <si>
    <t>PANW</t>
  </si>
  <si>
    <t>Palo Alto Networks Inc</t>
  </si>
  <si>
    <t>PM</t>
  </si>
  <si>
    <t>Philip Morris International Inc</t>
  </si>
  <si>
    <t>GS</t>
  </si>
  <si>
    <t>Goldman Sachs Group, Inc.</t>
  </si>
  <si>
    <t>RTX</t>
  </si>
  <si>
    <t>RTX Corp</t>
  </si>
  <si>
    <t>WFC</t>
  </si>
  <si>
    <t>Wells Fargo &amp; Co.</t>
  </si>
  <si>
    <t>MS</t>
  </si>
  <si>
    <t>Morgan Stanley</t>
  </si>
  <si>
    <t>ORCL</t>
  </si>
  <si>
    <t>Oracle Corp.</t>
  </si>
  <si>
    <t>GEV</t>
  </si>
  <si>
    <t>GE Vernova Inc.</t>
  </si>
  <si>
    <t>TXN</t>
  </si>
  <si>
    <t>Texas Instruments Inc.</t>
  </si>
  <si>
    <t>CRWD</t>
  </si>
  <si>
    <t>Crowdstrike Holdings Inc - Ordinary Shares - Class A</t>
  </si>
  <si>
    <t>AMGN</t>
  </si>
  <si>
    <t>AMGEN Inc.</t>
  </si>
  <si>
    <t>SNDK</t>
  </si>
  <si>
    <t>Sandisk Corp</t>
  </si>
  <si>
    <t>TMO</t>
  </si>
  <si>
    <t>Thermo Fisher Scientific Inc.</t>
  </si>
  <si>
    <t>KLAC</t>
  </si>
  <si>
    <t>KLA Corp.</t>
  </si>
  <si>
    <t>LIN</t>
  </si>
  <si>
    <t>Linde Plc.</t>
  </si>
  <si>
    <t>C</t>
  </si>
  <si>
    <t>Citigroup Inc</t>
  </si>
  <si>
    <t>IBM</t>
  </si>
  <si>
    <t>International Business Machines Corp.</t>
  </si>
  <si>
    <t>CRM</t>
  </si>
  <si>
    <t>Salesforce Inc</t>
  </si>
  <si>
    <t>VZ</t>
  </si>
  <si>
    <t>Verizon Communications Inc</t>
  </si>
  <si>
    <t>ANET</t>
  </si>
  <si>
    <t>Arista Networks Inc</t>
  </si>
  <si>
    <t>APH</t>
  </si>
  <si>
    <t>Amphenol Corp. - Ordinary Shares - Class A</t>
  </si>
  <si>
    <t>S&amp;P 500 Index</t>
  </si>
  <si>
    <t>Raw: S&amp;P 500 Index</t>
  </si>
  <si>
    <t>ABT</t>
  </si>
  <si>
    <t>Abbott Laboratories</t>
  </si>
  <si>
    <t>PEP</t>
  </si>
  <si>
    <t>PepsiCo Inc</t>
  </si>
  <si>
    <t>MCD</t>
  </si>
  <si>
    <t>McDonald`s Corp</t>
  </si>
  <si>
    <t>DIS</t>
  </si>
  <si>
    <t>Walt Disney Co (The)</t>
  </si>
  <si>
    <t>STX</t>
  </si>
  <si>
    <t>Seagate Technology Holdings Plc</t>
  </si>
  <si>
    <t>MRVL</t>
  </si>
  <si>
    <t>Marvell Technology Inc</t>
  </si>
  <si>
    <t>GILD</t>
  </si>
  <si>
    <t>Gilead Sciences, Inc.</t>
  </si>
  <si>
    <t>T</t>
  </si>
  <si>
    <t>AT&amp;T, Inc.</t>
  </si>
  <si>
    <t>QCOM</t>
  </si>
  <si>
    <t>Qualcomm, Inc.</t>
  </si>
  <si>
    <t>SCHW</t>
  </si>
  <si>
    <t>Charles Schwab Corp.</t>
  </si>
  <si>
    <t>UNP</t>
  </si>
  <si>
    <t>Union Pacific Corp.</t>
  </si>
  <si>
    <t>ADI</t>
  </si>
  <si>
    <t>Analog Devices Inc.</t>
  </si>
  <si>
    <t>AXP</t>
  </si>
  <si>
    <t>American Express Co.</t>
  </si>
  <si>
    <t>NEE</t>
  </si>
  <si>
    <t>NextEra Energy Inc</t>
  </si>
  <si>
    <t>WELL</t>
  </si>
  <si>
    <t>Welltower Inc.</t>
  </si>
  <si>
    <t>BLK</t>
  </si>
  <si>
    <t>Blackrock Inc.</t>
  </si>
  <si>
    <t>Passive</t>
  </si>
  <si>
    <t>Raw: Passive</t>
  </si>
  <si>
    <t>DE</t>
  </si>
  <si>
    <t>Deere &amp; Co.</t>
  </si>
  <si>
    <t>Equities (Stocks)</t>
  </si>
  <si>
    <t>Raw: Equities (Stocks)</t>
  </si>
  <si>
    <t>BA</t>
  </si>
  <si>
    <t>Boeing Co.</t>
  </si>
  <si>
    <t>PFE</t>
  </si>
  <si>
    <t>Pfizer Inc.</t>
  </si>
  <si>
    <t>COP</t>
  </si>
  <si>
    <t>Conoco Phillips</t>
  </si>
  <si>
    <t>ETN</t>
  </si>
  <si>
    <t>Eaton Corporation plc</t>
  </si>
  <si>
    <t>WDC</t>
  </si>
  <si>
    <t>Western Digital Corp.</t>
  </si>
  <si>
    <t>BKNG</t>
  </si>
  <si>
    <t>Booking Holdings Inc</t>
  </si>
  <si>
    <t>UBER</t>
  </si>
  <si>
    <t>Uber Technologies Inc</t>
  </si>
  <si>
    <t>NOW</t>
  </si>
  <si>
    <t>ServiceNow Inc</t>
  </si>
  <si>
    <t>TJX</t>
  </si>
  <si>
    <t>TJX Companies, Inc.</t>
  </si>
  <si>
    <t>VRTX</t>
  </si>
  <si>
    <t>Vertex Pharmaceuticals, Inc.</t>
  </si>
  <si>
    <t>BMY</t>
  </si>
  <si>
    <t>Bristol-Myers Squibb Co.</t>
  </si>
  <si>
    <t>NEM</t>
  </si>
  <si>
    <t>Newmont Corp</t>
  </si>
  <si>
    <t>DHR</t>
  </si>
  <si>
    <t>Danaher Corp.</t>
  </si>
  <si>
    <t>COF</t>
  </si>
  <si>
    <t>Capital One Financial Corp.</t>
  </si>
  <si>
    <t>ISRG</t>
  </si>
  <si>
    <t>Intuitive Surgical Inc</t>
  </si>
  <si>
    <t>PLD</t>
  </si>
  <si>
    <t>Prologis Inc</t>
  </si>
  <si>
    <t>SPGI</t>
  </si>
  <si>
    <t>S&amp;P Global Inc</t>
  </si>
  <si>
    <t>DELL</t>
  </si>
  <si>
    <t>Dell Technologies Inc - Ordinary Shares - Class C</t>
  </si>
  <si>
    <t>PGR</t>
  </si>
  <si>
    <t>Progressive Corp.</t>
  </si>
  <si>
    <t>PH</t>
  </si>
  <si>
    <t>Parker-Hannifin Corp.</t>
  </si>
  <si>
    <t>ACN</t>
  </si>
  <si>
    <t>Accenture plc - Ordinary Shares - Class A</t>
  </si>
  <si>
    <t>GLW</t>
  </si>
  <si>
    <t>Corning, Inc.</t>
  </si>
  <si>
    <t>MarkLight</t>
  </si>
  <si>
    <t>Nvidia Corp.</t>
  </si>
  <si>
    <t>Month-end total return</t>
  </si>
  <si>
    <t>Unadjusted NAV</t>
  </si>
  <si>
    <t>RequestError</t>
  </si>
  <si>
    <t>No news were found matching your criteria.</t>
  </si>
  <si>
    <t>Apple, Inc</t>
  </si>
  <si>
    <t>_MFQS</t>
  </si>
  <si>
    <t>Raw: _MFQS</t>
  </si>
  <si>
    <t>Amazon.Com Inc</t>
  </si>
  <si>
    <t>Quarter-end total return</t>
  </si>
  <si>
    <t>United States Large Cap Blend Equity</t>
  </si>
  <si>
    <t>Raw: United States Large Cap Blend Equity</t>
  </si>
  <si>
    <t>NAV close</t>
  </si>
  <si>
    <t>Empower  /  Investment research</t>
  </si>
  <si>
    <t>ASSET TYPE</t>
  </si>
  <si>
    <t>Enter / Refresh</t>
  </si>
  <si>
    <t>KO · authenticated API snapshot · 11/11 requests successful</t>
  </si>
  <si>
    <t>Key facts</t>
  </si>
  <si>
    <t>Performance</t>
  </si>
  <si>
    <t>Holdings and exposure</t>
  </si>
  <si>
    <t>Management and earnings</t>
  </si>
  <si>
    <t>Distributions</t>
  </si>
  <si>
    <t>Morningstar ratings</t>
  </si>
  <si>
    <t>FactSet ETF grade</t>
  </si>
  <si>
    <t>About this investment</t>
  </si>
  <si>
    <t>News</t>
  </si>
  <si>
    <t>Source checks</t>
  </si>
  <si>
    <t>Input matches loaded security</t>
  </si>
  <si>
    <t>Displayed price / NAV</t>
  </si>
  <si>
    <t>Retrieved (local / UTC in initial snapshot)</t>
  </si>
  <si>
    <t>User input</t>
  </si>
  <si>
    <t>Requested</t>
  </si>
  <si>
    <t>PNG</t>
  </si>
  <si>
    <t>logo-image</t>
  </si>
  <si>
    <t>XigniteLogos/GetLogos image</t>
  </si>
  <si>
    <t>Raw: 10/21/2026</t>
  </si>
  <si>
    <t>AfterMarket</t>
  </si>
  <si>
    <t>Raw: AfterMarket</t>
  </si>
  <si>
    <t>GPTY</t>
  </si>
  <si>
    <t>Tidal Trust II - YieldMax AI &amp; Tech Portfolio Option Income ETF</t>
  </si>
  <si>
    <t>Review per-field dates and request messages.</t>
  </si>
  <si>
    <t>Derived checks</t>
  </si>
  <si>
    <t>Coverage notice</t>
  </si>
  <si>
    <t>Display label</t>
  </si>
  <si>
    <t>computer local time</t>
  </si>
  <si>
    <t>Capture clock</t>
  </si>
  <si>
    <t>Embedded LogoLight PNG for IBM; temporary URL not retained</t>
  </si>
  <si>
    <t>Raw: International Business Machines Corp.</t>
  </si>
  <si>
    <t>Raw: 227.02</t>
  </si>
  <si>
    <t>Raw: -0.11</t>
  </si>
  <si>
    <t>Raw: -0.048</t>
  </si>
  <si>
    <t>Raw: 227.13</t>
  </si>
  <si>
    <t>Raw: 228.31</t>
  </si>
  <si>
    <t>Raw: 229.285</t>
  </si>
  <si>
    <t>Raw: 224.77</t>
  </si>
  <si>
    <t>Raw: 332.46</t>
  </si>
  <si>
    <t>Raw: 199.19</t>
  </si>
  <si>
    <t>PostMarket</t>
  </si>
  <si>
    <t>Raw: PostMarket</t>
  </si>
  <si>
    <t>International Business Machines Corp. is an information technology company, which engages in the provision of integrated solutions that leverage information technology and knowledge of business processes. It operates through the following segments: Software, Consulting, Infrastructure, Financing, and Other. The Software segment combines hybrid cloud platform and software solutions to help clients become more data-driven, and to automate, secure, and modernize their environments. The Consulting segment focuses on integrating skills on strategy, experience, technology and operations by domain and industry. The Infrastructure segment offers solutions for hybrid cloud and is the foundation of the hybrid cloud stack. Infrastructure is optimized for infusing AI into mission-critical transactions and tightly integrated with IBM Software including Red Hat for accelerated hybrid cloud benefits. The Financing segment refers to the client and commercial financing, facilitating IBM clients’ acquisition of IT systems, software, and services. The company was founded by Charles Ranlett Flint and Thomas J. Watson Sr. on June 16, 1911 and is headquartered in Armonk, NY.</t>
  </si>
  <si>
    <t>Raw: International Business Machines Corp. is an information technology company, which engages in the provision of integrated solutions that leverage information technology and knowledge of business processes. It operates through the following segments: Software, Consulting, Infrastructure, Financing, and Other. The Software segment combines hybrid cloud platform and software solutions to help clients become more data-driven, and to automate, secure, and modernize their environments. The Consulting segment focuses on integrating skills on strategy, experience, technology and operations by domain and industry. The Infrastructure segment offers solutions for hybrid cloud and is the foundation of the hybrid cloud stack. Infrastructure is optimized for infusing AI into mission-critical transactions and tightly integrated with IBM Software including Red Hat for accelerated hybrid cloud benefits. The Financing segment refers to the client and commercial financing, facilitating IBM clients’ acquisition of IT systems, software, and services. The company was founded by Charles Ranlett Flint and Thomas J. Watson Sr. on June 16, 1911 and is headquartered in Armonk, NY.</t>
  </si>
  <si>
    <t>Arvind Krishna, PhD</t>
  </si>
  <si>
    <t>Raw: Arvind Krishna, PhD</t>
  </si>
  <si>
    <t>Raw: 286800</t>
  </si>
  <si>
    <t>Armonk</t>
  </si>
  <si>
    <t>Raw: Armonk</t>
  </si>
  <si>
    <t>New York</t>
  </si>
  <si>
    <t>Raw: New York</t>
  </si>
  <si>
    <t>http://www.ibm.com</t>
  </si>
  <si>
    <t>Raw: http://www.ibm.com</t>
  </si>
  <si>
    <t>Technology Services</t>
  </si>
  <si>
    <t>Raw: Technology Services</t>
  </si>
  <si>
    <t>Information Technology Services</t>
  </si>
  <si>
    <t>Raw: Information Technology Services</t>
  </si>
  <si>
    <t>Raw: 213883.2607</t>
  </si>
  <si>
    <t>Raw: 20.15</t>
  </si>
  <si>
    <t>Raw: 11.2659</t>
  </si>
  <si>
    <t>Raw: 6.74</t>
  </si>
  <si>
    <t>Raw: 0.0297</t>
  </si>
  <si>
    <t>Raw: 942.134</t>
  </si>
  <si>
    <t>Raw: 6929901.5628</t>
  </si>
  <si>
    <t>Raw: 0.7696</t>
  </si>
  <si>
    <t>Raw: 6.2073</t>
  </si>
  <si>
    <t>You are not authorized to access XNYS_VWAP data (Data Group: XNYS_VWAP). Your user token is [redacted]. Consider upgrading your subscription to gain access.  Please visit http://www.xignite.com/Support/FAQ.aspx?faqtype=Topics&amp;faqcat=Subscriptions for more information.   Your request was authenticated using an HTTP request parameter. Your token is [redacted]. Please visit https://www.xignite.com/registration-help for more information. (globalhistorical.xignite.com: 20).</t>
  </si>
  <si>
    <t>Raw: 240.52381</t>
  </si>
  <si>
    <t>Raw: 174</t>
  </si>
  <si>
    <t>Raw: 297</t>
  </si>
  <si>
    <t>TDIV</t>
  </si>
  <si>
    <t>First Trust Exchange-Traded Fund VI - First Trust ETF VI First Trust NASDAQ Technology Dividend Index Fund</t>
  </si>
  <si>
    <t>TDVI</t>
  </si>
  <si>
    <t>First Trust Exchange-Traded Fund IV - FT Vest Technology Dividend Target Income ETF</t>
  </si>
  <si>
    <t>WQTM</t>
  </si>
  <si>
    <t>WisdomTree Trust - WisdomTree Quantum Computing Fund</t>
  </si>
  <si>
    <t>SPDG</t>
  </si>
  <si>
    <t>SPDR Series Trust - State Street SPDR Portfolio S&amp;P Sector Neutral Dividend ETF</t>
  </si>
  <si>
    <t>DIVB</t>
  </si>
  <si>
    <t>iShares Trust - iShares Core Dividend ETF</t>
  </si>
  <si>
    <t>CQTM</t>
  </si>
  <si>
    <t>Corgi ETF Trust I. - Corgi Quantum Computing ETF</t>
  </si>
  <si>
    <t>PTNT</t>
  </si>
  <si>
    <t>Corgi ETF Trust I. - Corgi IP Licensing &amp; Royalties ETF</t>
  </si>
  <si>
    <t>KNGZ</t>
  </si>
  <si>
    <t>First Trust Exchange-Traded Fund VI - First Trust S&amp;P 500 Diversified Dividend Aristocrats ETF</t>
  </si>
  <si>
    <t>FTCE</t>
  </si>
  <si>
    <t>First Trust Exchange-Traded Fund VI - First Trust New Constructs Core Earnings Leaders ETF</t>
  </si>
  <si>
    <t>IBLC</t>
  </si>
  <si>
    <t>iShares Trust - iShares Blockchain and Tech ETF</t>
  </si>
  <si>
    <t>NXTE</t>
  </si>
  <si>
    <t>Investment Managers Series Trust II - AXS Green Alpha ETF</t>
  </si>
  <si>
    <t>SWP</t>
  </si>
  <si>
    <t>Manager Directed Portfolios - SWP Growth &amp; Income ETF</t>
  </si>
  <si>
    <t>DIVP</t>
  </si>
  <si>
    <t>Advisors Inner Circle Fund II - Cullen Enhanced Equity Income ETF</t>
  </si>
  <si>
    <t>SKYY</t>
  </si>
  <si>
    <t>First Trust Exchange-Traded Fund II - First Trust Cloud Computing ETF</t>
  </si>
  <si>
    <t>AIBU</t>
  </si>
  <si>
    <t>Direxion Shares ETF Trust - `Direxion Daily AI and Big Data Bull 2X ETF</t>
  </si>
  <si>
    <t>Cboe data shows mixed options sentiment in IBM with shares down 0.26%</t>
  </si>
  <si>
    <t>TipRanks: TheFly</t>
  </si>
  <si>
    <t>https://www.tipranks.com/news/the-fly/cboe-data-shows-mixed-options-sentiment-in-ibm-with-shares-down-0-26-thefly-news?utm_source=alphanewsstream.com&amp;utm_medium=referral</t>
  </si>
  <si>
    <t>Should Quantum Benchmarking Progress Require Action From IBM (IBM) Investors?</t>
  </si>
  <si>
    <t>Simply Wall St</t>
  </si>
  <si>
    <t>https://simplywall.st/stocks/us/software/nyse-ibm/international-business-machines/news/should-quantum-benchmarking-progress-require-action-from-ibm?utm_medium=article&amp;utm_source=robinhood</t>
  </si>
  <si>
    <t>International Business Machines Corporation (IBM) Is a Trending Stock: Facts to Know Before Betting on It</t>
  </si>
  <si>
    <t>https://www.zacks.com/stock/news/3004816/international-business-machines-corporation-ibm-is-a-trending-stock-facts-to-know-before-betting-on-it?cid=CS-AlphaNewsStream-FT-fundamental_analysis%7Cmost_searched_stocks-3004816</t>
  </si>
  <si>
    <t>IonQ's Quantum Interconnect Breakthrough: What It Means for Scaling</t>
  </si>
  <si>
    <t>https://www.zacks.com/stock/news/3004806/ionq-s-quantum-interconnect-breakthrough-what-it-means-for-scaling?cid=CS-AlphaNewsStream-FT-analyst_blog%7Cquick_take-3004806</t>
  </si>
  <si>
    <t>Wall Street's Most Accurate Analysts Give Their Take On 3 Tech Stocks Delivering High-Dividend Yields</t>
  </si>
  <si>
    <t>Benzinga</t>
  </si>
  <si>
    <t>https://www.benzinga.com/trading-ideas/dividends/26/10/62294921/wall-streets-most-accurate-analysts-give-their-take-on-3-tech-stocks-delivering-high-dividend-yields-18?utm_source=TechInvestorNews&amp;utm_campaign=partner_feed&amp;utm_medium=referral</t>
  </si>
  <si>
    <t>IBM refreshed: 13 of 13 requests succeeded. Source dates shown below.</t>
  </si>
  <si>
    <t>SNXFX</t>
  </si>
  <si>
    <t>Embedded MarkLight PNG for SNXFX; temporary URL not retained</t>
  </si>
  <si>
    <t>Charles Schwab Asset Management</t>
  </si>
  <si>
    <t>Raw: Charles Schwab Asset Management</t>
  </si>
  <si>
    <t>The investment seeks to match the total return of the Schwab 1000 Index.</t>
  </si>
  <si>
    <t>Raw: The investment seeks to match the total return of the Schwab 1000 Index.</t>
  </si>
  <si>
    <t>The fund generally invests at least 80% of its net assets (including, for this purpose, any borrowings for investment purposes) in these stocks; typically, the actual percentage is considerably higher. It generally will seek to replicate the performance of the index by giving the same weight to a given stock as the index does. The fund may invest in derivatives, principally futures contracts, and lend its securities to minimize the gap in performance that naturally exists between any index fund and its corresponding index.</t>
  </si>
  <si>
    <t>Raw: The fund generally invests at least 80% of its net assets (including, for this purpose, any borrowings for investment purposes) in these stocks; typically, the actual percentage is considerably higher. It generally will seek to replicate the performance of the index by giving the same weight to a given stock as the index does. The fund may invest in derivatives, principally futures contracts, and lend its securities to minimize the gap in performance that naturally exists between any index fund and its corresponding index.</t>
  </si>
  <si>
    <t>Raw: 1991-04-02</t>
  </si>
  <si>
    <t>Raw: 0.05</t>
  </si>
  <si>
    <t>Russell 1000 Index</t>
  </si>
  <si>
    <t>Raw: Russell 1000 Index</t>
  </si>
  <si>
    <t>Raw: 22860446507.1</t>
  </si>
  <si>
    <t>Raw: 22253680324</t>
  </si>
  <si>
    <t>Raw: 25</t>
  </si>
  <si>
    <t>Raw: 0.97987805</t>
  </si>
  <si>
    <t>Raw: 2.670642829889504</t>
  </si>
  <si>
    <t>Raw: 2.92134918</t>
  </si>
  <si>
    <t>Raw: 98.181706</t>
  </si>
  <si>
    <t>Raw: 0.997458</t>
  </si>
  <si>
    <t>Raw: 14.872828</t>
  </si>
  <si>
    <t>Raw: 0.921988</t>
  </si>
  <si>
    <t>Sabya Sinha</t>
  </si>
  <si>
    <t>Sabya Sinha, Portfolio Manager, is responsible for the day-to-day co-management of the funds, except for the Schwab International Index Fund. Prior to joining Schwab in 2015, Mr. Sinha spent a year at F-Squared Investments on the product development and analytics team. Prior to F-Squared, he worked at IndexIQ Advisors as a senior index portfolio manager for three years and for Bank of Americas Columbia Management subsidiary as a portfolio manager for three years. Mr. Sinha also spent time as a software consultant at DPM Mellon, LLC and an equity trader at Jane Street Capital.</t>
  </si>
  <si>
    <t>Chuck Craig</t>
  </si>
  <si>
    <t>He is Senior Portfolio Manager, is responsible for the oversight and day-to-day co-management of the Schwab International Index Fund. Prior to joining Schwab in 2012, Mr. Craig worked at Guggenheim Funds (formerly Claymore Group), where he spent more than five years as a managing director of portfolio management and supervision, and three years as vice president of product research and development. Prior to that, he worked as an equity research analyst at First Trust Portfolios (formerly Nike Securities), and a trader and analyst at PMA Securities, Inc.</t>
  </si>
  <si>
    <t>Agnes Zau</t>
  </si>
  <si>
    <t>Agnes Zau, CFA, Portfolio Manager, is responsible for the day-to-day co-management of the fund. She has managed the fund since 2023.</t>
  </si>
  <si>
    <t>David Rios</t>
  </si>
  <si>
    <t>He is Portfolio Manager, is responsible for the day-to-day co-management of the Schwab International Index Fund. Prior to this role, Mr. Rios was an associate portfolio manager on the equity index strategies team for four years. His first role with Schwab Asset Management was as a trade operations specialist. Prior to joining Schwab in 2008, Mr. Rios was a senior fund accountant at Investors Bank &amp; Trust (subsequently acquired by State Street Corporation).</t>
  </si>
  <si>
    <t>Ron Toll</t>
  </si>
  <si>
    <t>Toll is a portfolio manger with Charles Schwab Investment Management Inc. He joined the firm in 1998, became manager, portfolio operations in 2000, manager, portfolio operations and analytics in 2005 and was named to his current position in 2007.</t>
  </si>
  <si>
    <t>Ferian Juwono</t>
  </si>
  <si>
    <t>Ferian Juwono, CFA, Senior Portfolio Manager, is responsible for the day-to-day co-management of the fund. He has managed the fund since 2013.</t>
  </si>
  <si>
    <t>Jeremy Brown</t>
  </si>
  <si>
    <t>Jeremy Brown, CFA, Senior Portfolio Manager, is responsible for the day-to-day co-management of the fund. He has managed the fund since 2019.</t>
  </si>
  <si>
    <t>Christopher Bliss</t>
  </si>
  <si>
    <t>Christopher Bliss, CFA, Managing Director and Head of Passive Equity Strategies, is responsible for the day-to-day co-management of the fund. He has managed the fund since 2017.</t>
  </si>
  <si>
    <t>Sabya Sinha; Chuck Craig; Agnes Zau; David Rios; Ron Toll; Ferian Juwono; Jeremy Brown; Christopher Bliss</t>
  </si>
  <si>
    <t>Microsoft Corp</t>
  </si>
  <si>
    <t>Alphabet Inc-cl A</t>
  </si>
  <si>
    <t>Alphabet Inc</t>
  </si>
  <si>
    <t>Meta Platforms, Inc.</t>
  </si>
  <si>
    <t>Micron Technology, Inc.</t>
  </si>
  <si>
    <t>Schwab Investments - Schwab 1000 Index Fd USD</t>
  </si>
  <si>
    <t>Raw: Schwab Investments - Schwab 1000 Index Fd USD</t>
  </si>
  <si>
    <t>Raw: 16.74</t>
  </si>
  <si>
    <t>Raw: 16.64</t>
  </si>
  <si>
    <t>Raw: 0.1</t>
  </si>
  <si>
    <t>Raw: 0.601</t>
  </si>
  <si>
    <t>LongTermGain</t>
  </si>
  <si>
    <t xml:space="preserve">Holdings as of 46265. Beta and Sharpe are ratios despite vendor Percent labels. </t>
  </si>
  <si>
    <t>SNXFX refreshed: 11 of 12 requests succeeded. See Requests for unavailable coverage.</t>
  </si>
  <si>
    <t>Unit Investment Trust</t>
  </si>
  <si>
    <t>Raw: Unit Investment Trust</t>
  </si>
  <si>
    <t>FTNT</t>
  </si>
  <si>
    <t>Fortinet Inc</t>
  </si>
  <si>
    <t>SPY</t>
  </si>
  <si>
    <t>Embedded MarkLight PNG for SPY; temporary URL not retained</t>
  </si>
  <si>
    <t>SPDR S&amp;P 500 ETF TRUST - SPDR S&amp;P 500 ETF Trust</t>
  </si>
  <si>
    <t>Raw: SPDR S&amp;P 500 ETF TRUST - SPDR S&amp;P 500 ETF Trust</t>
  </si>
  <si>
    <t>Raw: 778.1</t>
  </si>
  <si>
    <t>Raw: -0.47</t>
  </si>
  <si>
    <t>Raw: -0.06</t>
  </si>
  <si>
    <t>Raw: 778.57</t>
  </si>
  <si>
    <t>Raw: 778.78</t>
  </si>
  <si>
    <t>Raw: 779.397</t>
  </si>
  <si>
    <t>Raw: 777.05</t>
  </si>
  <si>
    <t>Raw: 781.62</t>
  </si>
  <si>
    <t>Raw: 629.28</t>
  </si>
  <si>
    <t>Raw: 120</t>
  </si>
  <si>
    <t>You are not authorized to access ARCX_VWAP data (Data Group: ARCX_VWAP). Your user token is [redacted]. Consider upgrading your subscription to gain access.  Please visit http://www.xignite.com/Support/FAQ.aspx?faqtype=Topics&amp;faqcat=Subscriptions for more information.   Your request was authenticated using an HTTP request parameter. Your token is [redacted]. Please visit https://www.xignite.com/registration-help for more information. (globalhistorical.xignite.com: 20).</t>
  </si>
  <si>
    <t>Delta Air Lines (DAL) Reports Record Revenue but Cuts Earnings Guidance. Can Profits Recover?</t>
  </si>
  <si>
    <t>Insider Monkey</t>
  </si>
  <si>
    <t>https://www.insidermonkey.com/news/delta-air-lines-dal-reports-record-revenue-but-cuts-earnings-guidance-can-profits-recover-1851926/</t>
  </si>
  <si>
    <t>Joby Just Dropped 20% in a Month: Is It Time to Sell?</t>
  </si>
  <si>
    <t>https://247wallst.com/investing/2026/10/12/joby-just-dropped-20-in-a-month-is-it-time-to-sell/</t>
  </si>
  <si>
    <t>USA Rare Earth Drops 6% With Milestone-Based Government Funding Still Ahead of It; MP Materials Falls 6%, Critical Metals Holds Steady</t>
  </si>
  <si>
    <t>https://247wallst.com/investing/2026/10/12/usa-rare-earth-drops-6-with-milestone-based-government-funding-still-ahead-of-it-mp-materials-falls-6-critical-metals-holds-steady/</t>
  </si>
  <si>
    <t>T-Mobile Rebounds 3% After Record Drop on Starlink Spectrum Move; SpaceX Ticks Up, Verizon Edges Higher</t>
  </si>
  <si>
    <t>https://247wallst.com/investing/2026/10/12/t-mobile-rebounds-3-after-record-drop-on-starlink-spectrum-move-spacex-ticks-up-verizon-edges-higher/</t>
  </si>
  <si>
    <t>Meta Climbs 4% on Muse Retention Data; Snap Rises 3%, Reddit Falls 3%</t>
  </si>
  <si>
    <t>https://247wallst.com/investing/2026/10/12/meta-climbs-4-on-muse-retention-data-snap-rises-3-reddit-falls-3/</t>
  </si>
  <si>
    <t>The Trust seeks to achieve its investment objective by holding a portfolio of the common stocks that are included in the Index, with the weight of each stock in the Portfolio substantially corresponding to the weight of such stock in the Index.</t>
  </si>
  <si>
    <t>Raw: The Trust seeks to achieve its investment objective by holding a portfolio of the common stocks that are included in the Index, with the weight of each stock in the Portfolio substantially corresponding to the weight of such stock in the Index.</t>
  </si>
  <si>
    <t>Raw: 1993-01-22</t>
  </si>
  <si>
    <t>Raw: 0.09</t>
  </si>
  <si>
    <t>Raw: 3</t>
  </si>
  <si>
    <t>Raw: 0.95</t>
  </si>
  <si>
    <t>Raw: 0.9947499</t>
  </si>
  <si>
    <t>Raw: 99.99587</t>
  </si>
  <si>
    <t>Raw: 0.999007</t>
  </si>
  <si>
    <t>Raw: 13.748131</t>
  </si>
  <si>
    <t>Raw: 0.923248</t>
  </si>
  <si>
    <t>Management Team</t>
  </si>
  <si>
    <t>Team Managed, Lead Manager</t>
  </si>
  <si>
    <t>State Street (SPDR)</t>
  </si>
  <si>
    <t>Raw: State Street (SPDR)</t>
  </si>
  <si>
    <t>The State Street SPDR S&amp;P 500 ETF Trust seeks to achieve its investment objective by holding a portfolio of the common stocks that are included in the S&amp;P 500 Index (the "Portfolio"), with the weight of each stock in the Portfolio substantially corresponding to the weight of such stock in the Index. The S&amp;P 500 Index is a diversified large cap U.S. index that holds companies across all eleven GICS sectors. The Index is designed to measure the performance of the large-cap segment of the US equity market. It is float-adjusted market capitalization weighted.</t>
  </si>
  <si>
    <t>Raw: The State Street SPDR S&amp;P 500 ETF Trust seeks to achieve its investment objective by holding a portfolio of the common stocks that are included in the S&amp;P 500 Index (the "Portfolio"), with the weight of each stock in the Portfolio substantially corresponding to the weight of such stock in the Index. The S&amp;P 500 Index is a diversified large cap U.S. index that holds companies across all eleven GICS sectors. The Index is designed to measure the performance of the large-cap segment of the US equity market. It is float-adjusted market capitalization weighted.</t>
  </si>
  <si>
    <t>Raw: 0.000945</t>
  </si>
  <si>
    <t>https://www.ssga.com/us/en/institutional/etfs/resources/doc-viewer#spy&amp;prospectus</t>
  </si>
  <si>
    <t>Raw: https://www.ssga.com/us/en/institutional/etfs/resources/doc-viewer#spy&amp;prospectus</t>
  </si>
  <si>
    <t>Raw: 778.4496</t>
  </si>
  <si>
    <t>Raw: 821678532946</t>
  </si>
  <si>
    <t>Raw: 1055532116</t>
  </si>
  <si>
    <t>MPC</t>
  </si>
  <si>
    <t>Marathon Petroleum Corp</t>
  </si>
  <si>
    <t>VLO</t>
  </si>
  <si>
    <t>Valero Energy Corp.</t>
  </si>
  <si>
    <t xml:space="preserve">Holdings as of 46304. Beta and Sharpe are ratios despite vendor Percent labels. </t>
  </si>
  <si>
    <t>SPY refreshed: 13 of 13 requests succeeded. Source dates shown below.</t>
  </si>
  <si>
    <t>Raw: 18663717.222946</t>
  </si>
  <si>
    <t>Raw: 777.73</t>
  </si>
  <si>
    <t>Raw: 777.75</t>
  </si>
  <si>
    <t>Raw: 440</t>
  </si>
  <si>
    <t>Raw: 19:10:47.708</t>
  </si>
  <si>
    <t>Raw: -0.35</t>
  </si>
  <si>
    <t>Raw: -0.045</t>
  </si>
  <si>
    <t>Raw: 19:10:46.376</t>
  </si>
  <si>
    <t>Raw: 2764183.364037</t>
  </si>
  <si>
    <t>Raw: 226.6</t>
  </si>
  <si>
    <t>Raw: 227</t>
  </si>
  <si>
    <t>Raw: 200</t>
  </si>
  <si>
    <t>Raw: 19:11:28.410</t>
  </si>
  <si>
    <t>Raw: 226.75</t>
  </si>
  <si>
    <t>Raw: -0.27</t>
  </si>
  <si>
    <t>Raw: -0.119</t>
  </si>
  <si>
    <t>Raw: 19:11:27.410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</si>
</sst>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000"/>
    <numFmt numFmtId="166" formatCode="\$0.00"/>
    <numFmt numFmtId="167" formatCode="\$0.00,,,&quot;B&quot;"/>
    <numFmt numFmtId="168" formatCode="yyyy\-mm\-dd\ hh:mm:ss"/>
  </numFmts>
  <fonts count="38">
    <font>
      <sz val="11"/>
      <name val="Carlito"/>
    </font>
    <font>
      <sz val="10"/>
      <color rgb="FF15324A"/>
      <name val="Arial"/>
      <family val="2"/>
    </font>
    <font>
      <b/>
      <sz val="18"/>
      <color rgb="FF15324A"/>
      <name val="Arial"/>
      <family val="2"/>
    </font>
    <font>
      <b/>
      <sz val="16"/>
      <color rgb="FF15324A"/>
      <name val="Arial"/>
      <family val="2"/>
    </font>
    <font>
      <b/>
      <sz val="12"/>
      <color rgb="FF15324A"/>
      <name val="Arial"/>
      <family val="2"/>
    </font>
    <font>
      <b/>
      <sz val="12"/>
      <color rgb="FFFFFFFF"/>
      <name val="Arial"/>
      <family val="2"/>
    </font>
    <font>
      <sz val="10"/>
      <color rgb="FF64748B"/>
      <name val="Arial"/>
      <family val="2"/>
    </font>
    <font>
      <b/>
      <sz val="20"/>
      <color rgb="FF15324A"/>
      <name val="Arial"/>
      <family val="2"/>
    </font>
    <font>
      <b/>
      <sz val="10"/>
      <color rgb="FF64748B"/>
      <name val="Arial"/>
      <family val="2"/>
    </font>
    <font>
      <b/>
      <sz val="30"/>
      <color rgb="FF15324A"/>
      <name val="Arial"/>
      <family val="2"/>
    </font>
    <font>
      <sz val="9"/>
      <color rgb="FF64748B"/>
      <name val="Arial"/>
      <family val="2"/>
    </font>
    <font>
      <sz val="9"/>
      <color rgb="FF15324A"/>
      <name val="Arial"/>
      <family val="2"/>
    </font>
    <font>
      <sz val="11"/>
      <color rgb="FF15324A"/>
      <name val="Arial"/>
      <family val="2"/>
    </font>
    <font>
      <sz val="10"/>
      <color rgb="FF754B11"/>
      <name val="Arial"/>
      <family val="2"/>
    </font>
    <font>
      <b/>
      <sz val="10"/>
      <color rgb="FFFFFFFF"/>
      <name val="Arial"/>
      <family val="2"/>
    </font>
    <font>
      <sz val="10"/>
      <color rgb="FF17324D"/>
      <name val="Arial"/>
      <family val="2"/>
    </font>
    <font>
      <sz val="11"/>
      <color rgb="FF17324D"/>
      <name val="Arial"/>
      <family val="2"/>
    </font>
    <font>
      <sz val="10"/>
      <color rgb="FF71839A"/>
      <name val="Arial"/>
      <family val="2"/>
    </font>
    <font>
      <b/>
      <sz val="9"/>
      <color rgb="FF71839A"/>
      <name val="Arial"/>
      <family val="2"/>
    </font>
    <font>
      <b/>
      <sz val="14"/>
      <color rgb="FF245DC1"/>
      <name val="Arial"/>
      <family val="2"/>
    </font>
    <font>
      <b/>
      <sz val="11"/>
      <color rgb="FFFFFFFF"/>
      <name val="Arial"/>
      <family val="2"/>
    </font>
    <font>
      <b/>
      <sz val="15"/>
      <color rgb="FFFFFFFF"/>
      <name val="Arial"/>
      <family val="2"/>
    </font>
    <font>
      <b/>
      <sz val="20"/>
      <color rgb="FF17324D"/>
      <name val="Arial"/>
      <family val="2"/>
    </font>
    <font>
      <b/>
      <sz val="10"/>
      <color rgb="FF71839A"/>
      <name val="Arial"/>
      <family val="2"/>
    </font>
    <font>
      <b/>
      <sz val="32"/>
      <color rgb="FF17324D"/>
      <name val="Arial"/>
      <family val="2"/>
    </font>
    <font>
      <sz val="19"/>
      <color rgb="FF168063"/>
      <name val="Arial"/>
      <family val="2"/>
    </font>
    <font>
      <b/>
      <sz val="11"/>
      <color rgb="FF245DC1"/>
      <name val="Arial"/>
      <family val="2"/>
    </font>
    <font>
      <sz val="11"/>
      <color rgb="FF71839A"/>
      <name val="Arial"/>
      <family val="2"/>
    </font>
    <font>
      <b/>
      <sz val="13"/>
      <color rgb="FF17324D"/>
      <name val="Arial"/>
      <family val="2"/>
    </font>
    <font>
      <b/>
      <sz val="17"/>
      <color rgb="FF17324D"/>
      <name val="Arial"/>
      <family val="2"/>
    </font>
    <font>
      <b/>
      <sz val="10"/>
      <color rgb="FF17324D"/>
      <name val="Arial"/>
      <family val="2"/>
    </font>
    <font>
      <b/>
      <sz val="16"/>
      <color rgb="FF17324D"/>
      <name val="Arial"/>
      <family val="2"/>
    </font>
    <font>
      <b/>
      <sz val="12"/>
      <color rgb="FF17324D"/>
      <name val="Arial"/>
      <family val="2"/>
    </font>
    <font>
      <sz val="9"/>
      <color rgb="FF17324D"/>
      <name val="Arial"/>
      <family val="2"/>
    </font>
    <font>
      <sz val="10"/>
      <color rgb="FF245DC1"/>
      <name val="Arial"/>
      <family val="2"/>
    </font>
    <font>
      <sz val="9"/>
      <color rgb="FF71839A"/>
      <name val="Arial"/>
      <family val="2"/>
    </font>
    <font>
      <sz val="10"/>
      <color rgb="FF80581D"/>
      <name val="Arial"/>
      <family val="2"/>
    </font>
    <font>
      <sz val="9"/>
      <color rgb="FF245DC1"/>
      <name val="Arial"/>
      <family val="2"/>
    </font>
  </fonts>
  <fills count="16">
    <fill>
      <patternFill patternType="none"/>
    </fill>
    <fill>
      <patternFill patternType="gray125"/>
    </fill>
    <fill>
      <patternFill patternType="solid">
        <fgColor rgb="FFEEF3F8"/>
      </patternFill>
    </fill>
    <fill>
      <patternFill patternType="solid">
        <fgColor rgb="FFFFF0BA"/>
      </patternFill>
    </fill>
    <fill>
      <patternFill patternType="solid">
        <fgColor rgb="FF15324A"/>
      </patternFill>
    </fill>
    <fill>
      <patternFill patternType="solid">
        <fgColor rgb="FFFFFFFF"/>
      </patternFill>
    </fill>
    <fill>
      <patternFill patternType="solid">
        <fgColor rgb="FFE5EDF5"/>
      </patternFill>
    </fill>
    <fill>
      <patternFill patternType="solid">
        <fgColor rgb="FFFFF0DB"/>
      </patternFill>
    </fill>
    <fill>
      <patternFill patternType="solid">
        <fgColor rgb="FF112B49"/>
      </patternFill>
    </fill>
    <fill>
      <patternFill patternType="solid">
        <fgColor rgb="FFF1F6FA"/>
      </patternFill>
    </fill>
    <fill>
      <patternFill patternType="solid">
        <fgColor rgb="FFFFFFFF"/>
      </patternFill>
    </fill>
    <fill>
      <patternFill patternType="solid">
        <fgColor rgb="FF245DC1"/>
      </patternFill>
    </fill>
    <fill>
      <patternFill patternType="solid">
        <fgColor rgb="FFEAF1FC"/>
      </patternFill>
    </fill>
    <fill>
      <patternFill patternType="solid">
        <fgColor rgb="FFFFF5E4"/>
      </patternFill>
    </fill>
    <fill>
      <patternFill patternType="solid">
        <fgColor rgb="FFE5EDF7"/>
      </patternFill>
    </fill>
    <fill>
      <patternFill patternType="solid">
        <fgColor rgb="FFFFFFFF"/>
        <bgColor indexed="64"/>
      </patternFill>
    </fill>
  </fills>
  <borders count="22">
    <border>
      <left/>
      <right/>
      <top/>
      <bottom/>
      <diagonal/>
    </border>
    <border>
      <left style="thin">
        <color rgb="FFC99D28"/>
      </left>
      <right/>
      <top style="thin">
        <color rgb="FFC99D28"/>
      </top>
      <bottom/>
      <diagonal/>
    </border>
    <border>
      <left/>
      <right/>
      <top style="thin">
        <color rgb="FFC99D28"/>
      </top>
      <bottom/>
      <diagonal/>
    </border>
    <border>
      <left/>
      <right style="thin">
        <color rgb="FFC99D28"/>
      </right>
      <top style="thin">
        <color rgb="FFC99D28"/>
      </top>
      <bottom/>
      <diagonal/>
    </border>
    <border>
      <left style="thin">
        <color rgb="FFC99D28"/>
      </left>
      <right/>
      <top/>
      <bottom style="thin">
        <color rgb="FFC99D28"/>
      </bottom>
      <diagonal/>
    </border>
    <border>
      <left/>
      <right/>
      <top/>
      <bottom style="thin">
        <color rgb="FFC99D28"/>
      </bottom>
      <diagonal/>
    </border>
    <border>
      <left/>
      <right style="thin">
        <color rgb="FFC99D28"/>
      </right>
      <top/>
      <bottom style="thin">
        <color rgb="FFC99D28"/>
      </bottom>
      <diagonal/>
    </border>
    <border>
      <left style="thin">
        <color rgb="FF245DC1"/>
      </left>
      <right/>
      <top style="thin">
        <color rgb="FF245DC1"/>
      </top>
      <bottom/>
      <diagonal/>
    </border>
    <border>
      <left/>
      <right style="thin">
        <color rgb="FF245DC1"/>
      </right>
      <top style="thin">
        <color rgb="FF245DC1"/>
      </top>
      <bottom/>
      <diagonal/>
    </border>
    <border>
      <left style="thin">
        <color rgb="FF245DC1"/>
      </left>
      <right/>
      <top/>
      <bottom style="thin">
        <color rgb="FF245DC1"/>
      </bottom>
      <diagonal/>
    </border>
    <border>
      <left/>
      <right style="thin">
        <color rgb="FF245DC1"/>
      </right>
      <top/>
      <bottom style="thin">
        <color rgb="FF245DC1"/>
      </bottom>
      <diagonal/>
    </border>
    <border>
      <left style="thin">
        <color rgb="FFE3EBF3"/>
      </left>
      <right/>
      <top style="thin">
        <color rgb="FFE3EBF3"/>
      </top>
      <bottom/>
      <diagonal/>
    </border>
    <border>
      <left/>
      <right/>
      <top style="thin">
        <color rgb="FFE3EBF3"/>
      </top>
      <bottom/>
      <diagonal/>
    </border>
    <border>
      <left/>
      <right style="thin">
        <color rgb="FFE3EBF3"/>
      </right>
      <top style="thin">
        <color rgb="FFE3EBF3"/>
      </top>
      <bottom/>
      <diagonal/>
    </border>
    <border>
      <left style="thin">
        <color rgb="FFE3EBF3"/>
      </left>
      <right/>
      <top/>
      <bottom/>
      <diagonal/>
    </border>
    <border>
      <left/>
      <right style="thin">
        <color rgb="FFE3EBF3"/>
      </right>
      <top/>
      <bottom/>
      <diagonal/>
    </border>
    <border>
      <left style="thin">
        <color rgb="FFE3EBF3"/>
      </left>
      <right/>
      <top/>
      <bottom style="thin">
        <color rgb="FFE3EBF3"/>
      </bottom>
      <diagonal/>
    </border>
    <border>
      <left/>
      <right/>
      <top/>
      <bottom style="thin">
        <color rgb="FFE3EBF3"/>
      </bottom>
      <diagonal/>
    </border>
    <border>
      <left/>
      <right style="thin">
        <color rgb="FFE3EBF3"/>
      </right>
      <top/>
      <bottom style="thin">
        <color rgb="FFE3EBF3"/>
      </bottom>
      <diagonal/>
    </border>
    <border>
      <left style="thin">
        <color rgb="FFE3EBF3"/>
      </left>
      <right/>
      <top/>
      <bottom style="hair">
        <color rgb="FFE3EBF3"/>
      </bottom>
      <diagonal/>
    </border>
    <border>
      <left/>
      <right/>
      <top/>
      <bottom style="hair">
        <color rgb="FFE3EBF3"/>
      </bottom>
      <diagonal/>
    </border>
    <border>
      <left/>
      <right style="thin">
        <color rgb="FFE3EBF3"/>
      </right>
      <top/>
      <bottom style="hair">
        <color rgb="FFE3EBF3"/>
      </bottom>
      <diagonal/>
    </border>
  </borders>
  <cellStyleXfs count="1">
    <xf numFmtId="0" fontId="0" fillId="0" borderId="0"/>
  </cellStyleXfs>
  <cellXfs count="169">
    <xf numFmtId="0" fontId="0" fillId="0" borderId="0" xfId="0"/>
    <xf numFmtId="0" fontId="1" fillId="0" borderId="0" xfId="0" applyFont="1"/>
    <xf numFmtId="0" fontId="1" fillId="0" borderId="0" xfId="0" applyFont="1" applyAlignment="1">
      <alignment vertical="center"/>
    </xf>
    <xf numFmtId="0" fontId="1" fillId="2" borderId="0" xfId="0" applyFont="1" applyFill="1" applyAlignment="1">
      <alignment vertical="center"/>
    </xf>
    <xf numFmtId="0" fontId="0" fillId="2" borderId="0" xfId="0" applyFill="1"/>
    <xf numFmtId="0" fontId="1" fillId="5" borderId="0" xfId="0" applyFont="1" applyFill="1" applyAlignment="1">
      <alignment vertical="center"/>
    </xf>
    <xf numFmtId="0" fontId="14" fillId="4" borderId="0" xfId="0" applyFont="1" applyFill="1" applyAlignment="1">
      <alignment vertical="center"/>
    </xf>
    <xf numFmtId="10" fontId="1" fillId="0" borderId="0" xfId="0" applyNumberFormat="1" applyFont="1" applyAlignment="1">
      <alignment vertical="center"/>
    </xf>
    <xf numFmtId="10" fontId="0" fillId="0" borderId="0" xfId="0" applyNumberFormat="1"/>
    <xf numFmtId="165" fontId="1" fillId="0" borderId="0" xfId="0" applyNumberFormat="1" applyFont="1" applyAlignment="1">
      <alignment vertical="center"/>
    </xf>
    <xf numFmtId="166" fontId="1" fillId="0" borderId="0" xfId="0" applyNumberFormat="1" applyFont="1" applyAlignment="1">
      <alignment vertical="center"/>
    </xf>
    <xf numFmtId="166" fontId="0" fillId="0" borderId="0" xfId="0" applyNumberFormat="1"/>
    <xf numFmtId="167" fontId="1" fillId="0" borderId="0" xfId="0" applyNumberFormat="1" applyFont="1" applyAlignment="1">
      <alignment vertical="center"/>
    </xf>
    <xf numFmtId="168" fontId="1" fillId="0" borderId="0" xfId="0" applyNumberFormat="1" applyFont="1" applyAlignment="1">
      <alignment vertical="center"/>
    </xf>
    <xf numFmtId="0" fontId="15" fillId="0" borderId="0" xfId="0" applyFont="1"/>
    <xf numFmtId="0" fontId="14" fillId="8" borderId="0" xfId="0" applyFont="1" applyFill="1"/>
    <xf numFmtId="0" fontId="16" fillId="9" borderId="0" xfId="0" applyFont="1" applyFill="1" applyAlignment="1">
      <alignment vertical="center"/>
    </xf>
    <xf numFmtId="0" fontId="16" fillId="8" borderId="0" xfId="0" applyFont="1" applyFill="1" applyAlignment="1">
      <alignment vertical="center"/>
    </xf>
    <xf numFmtId="0" fontId="16" fillId="10" borderId="0" xfId="0" applyFont="1" applyFill="1" applyAlignment="1">
      <alignment vertical="center"/>
    </xf>
    <xf numFmtId="0" fontId="16" fillId="10" borderId="11" xfId="0" applyFont="1" applyFill="1" applyBorder="1" applyAlignment="1">
      <alignment vertical="center"/>
    </xf>
    <xf numFmtId="0" fontId="16" fillId="10" borderId="12" xfId="0" applyFont="1" applyFill="1" applyBorder="1" applyAlignment="1">
      <alignment vertical="center"/>
    </xf>
    <xf numFmtId="0" fontId="16" fillId="10" borderId="13" xfId="0" applyFont="1" applyFill="1" applyBorder="1" applyAlignment="1">
      <alignment vertical="center"/>
    </xf>
    <xf numFmtId="0" fontId="16" fillId="10" borderId="14" xfId="0" applyFont="1" applyFill="1" applyBorder="1" applyAlignment="1">
      <alignment vertical="center"/>
    </xf>
    <xf numFmtId="0" fontId="16" fillId="10" borderId="15" xfId="0" applyFont="1" applyFill="1" applyBorder="1" applyAlignment="1">
      <alignment vertical="center"/>
    </xf>
    <xf numFmtId="0" fontId="16" fillId="10" borderId="16" xfId="0" applyFont="1" applyFill="1" applyBorder="1" applyAlignment="1">
      <alignment vertical="center"/>
    </xf>
    <xf numFmtId="0" fontId="16" fillId="10" borderId="17" xfId="0" applyFont="1" applyFill="1" applyBorder="1" applyAlignment="1">
      <alignment vertical="center"/>
    </xf>
    <xf numFmtId="0" fontId="16" fillId="10" borderId="18" xfId="0" applyFont="1" applyFill="1" applyBorder="1" applyAlignment="1">
      <alignment vertical="center"/>
    </xf>
    <xf numFmtId="0" fontId="17" fillId="10" borderId="14" xfId="0" applyFont="1" applyFill="1" applyBorder="1" applyAlignment="1">
      <alignment vertical="center" wrapText="1"/>
    </xf>
    <xf numFmtId="0" fontId="17" fillId="10" borderId="0" xfId="0" applyFont="1" applyFill="1" applyAlignment="1">
      <alignment vertical="center" wrapText="1"/>
    </xf>
    <xf numFmtId="0" fontId="16" fillId="9" borderId="17" xfId="0" applyFont="1" applyFill="1" applyBorder="1" applyAlignment="1">
      <alignment vertical="center"/>
    </xf>
    <xf numFmtId="0" fontId="17" fillId="10" borderId="15" xfId="0" applyFont="1" applyFill="1" applyBorder="1" applyAlignment="1">
      <alignment vertical="center" wrapText="1"/>
    </xf>
    <xf numFmtId="0" fontId="14" fillId="8" borderId="0" xfId="0" applyFont="1" applyFill="1" applyAlignment="1">
      <alignment vertical="center"/>
    </xf>
    <xf numFmtId="0" fontId="17" fillId="9" borderId="0" xfId="0" applyFont="1" applyFill="1" applyAlignment="1">
      <alignment vertical="center" wrapText="1"/>
    </xf>
    <xf numFmtId="0" fontId="18" fillId="9" borderId="0" xfId="0" applyFont="1" applyFill="1" applyAlignment="1">
      <alignment vertical="center"/>
    </xf>
    <xf numFmtId="0" fontId="19" fillId="10" borderId="7" xfId="0" applyFont="1" applyFill="1" applyBorder="1" applyAlignment="1">
      <alignment vertical="center"/>
    </xf>
    <xf numFmtId="0" fontId="19" fillId="10" borderId="8" xfId="0" applyFont="1" applyFill="1" applyBorder="1" applyAlignment="1">
      <alignment vertical="center"/>
    </xf>
    <xf numFmtId="0" fontId="19" fillId="10" borderId="9" xfId="0" applyFont="1" applyFill="1" applyBorder="1" applyAlignment="1">
      <alignment vertical="center"/>
    </xf>
    <xf numFmtId="0" fontId="19" fillId="10" borderId="10" xfId="0" applyFont="1" applyFill="1" applyBorder="1" applyAlignment="1">
      <alignment vertical="center"/>
    </xf>
    <xf numFmtId="0" fontId="20" fillId="11" borderId="0" xfId="0" applyFont="1" applyFill="1" applyAlignment="1">
      <alignment horizontal="center" vertical="center"/>
    </xf>
    <xf numFmtId="0" fontId="22" fillId="9" borderId="0" xfId="0" applyFont="1" applyFill="1" applyAlignment="1">
      <alignment vertical="center" wrapText="1"/>
    </xf>
    <xf numFmtId="0" fontId="23" fillId="10" borderId="14" xfId="0" applyFont="1" applyFill="1" applyBorder="1" applyAlignment="1">
      <alignment vertical="center"/>
    </xf>
    <xf numFmtId="0" fontId="23" fillId="10" borderId="0" xfId="0" applyFont="1" applyFill="1" applyAlignment="1">
      <alignment vertical="center"/>
    </xf>
    <xf numFmtId="164" fontId="24" fillId="10" borderId="14" xfId="0" applyNumberFormat="1" applyFont="1" applyFill="1" applyBorder="1" applyAlignment="1">
      <alignment horizontal="left" vertical="center"/>
    </xf>
    <xf numFmtId="164" fontId="24" fillId="10" borderId="0" xfId="0" applyNumberFormat="1" applyFont="1" applyFill="1" applyAlignment="1">
      <alignment horizontal="left" vertical="center"/>
    </xf>
    <xf numFmtId="0" fontId="25" fillId="10" borderId="0" xfId="0" applyFont="1" applyFill="1" applyAlignment="1">
      <alignment vertical="center"/>
    </xf>
    <xf numFmtId="0" fontId="17" fillId="10" borderId="14" xfId="0" applyFont="1" applyFill="1" applyBorder="1" applyAlignment="1">
      <alignment vertical="center" wrapText="1"/>
    </xf>
    <xf numFmtId="0" fontId="17" fillId="10" borderId="0" xfId="0" applyFont="1" applyFill="1" applyAlignment="1">
      <alignment vertical="center" wrapText="1"/>
    </xf>
    <xf numFmtId="0" fontId="17" fillId="10" borderId="16" xfId="0" applyFont="1" applyFill="1" applyBorder="1" applyAlignment="1">
      <alignment vertical="center" wrapText="1"/>
    </xf>
    <xf numFmtId="0" fontId="17" fillId="10" borderId="17" xfId="0" applyFont="1" applyFill="1" applyBorder="1" applyAlignment="1">
      <alignment vertical="center" wrapText="1"/>
    </xf>
    <xf numFmtId="0" fontId="26" fillId="12" borderId="0" xfId="0" applyFont="1" applyFill="1" applyAlignment="1">
      <alignment horizontal="center" vertical="center" wrapText="1"/>
    </xf>
    <xf numFmtId="0" fontId="26" fillId="12" borderId="15" xfId="0" applyFont="1" applyFill="1" applyBorder="1" applyAlignment="1">
      <alignment horizontal="center" vertical="center" wrapText="1"/>
    </xf>
    <xf numFmtId="0" fontId="26" fillId="9" borderId="0" xfId="0" applyFont="1" applyFill="1" applyAlignment="1">
      <alignment vertical="center"/>
    </xf>
    <xf numFmtId="0" fontId="26" fillId="9" borderId="17" xfId="0" applyFont="1" applyFill="1" applyBorder="1" applyAlignment="1">
      <alignment vertical="center"/>
    </xf>
    <xf numFmtId="0" fontId="27" fillId="9" borderId="0" xfId="0" applyFont="1" applyFill="1" applyAlignment="1">
      <alignment vertical="center"/>
    </xf>
    <xf numFmtId="0" fontId="27" fillId="9" borderId="17" xfId="0" applyFont="1" applyFill="1" applyBorder="1" applyAlignment="1">
      <alignment vertical="center"/>
    </xf>
    <xf numFmtId="0" fontId="17" fillId="9" borderId="17" xfId="0" applyFont="1" applyFill="1" applyBorder="1" applyAlignment="1">
      <alignment vertical="center" wrapText="1"/>
    </xf>
    <xf numFmtId="0" fontId="28" fillId="10" borderId="11" xfId="0" applyFont="1" applyFill="1" applyBorder="1" applyAlignment="1">
      <alignment vertical="center"/>
    </xf>
    <xf numFmtId="0" fontId="28" fillId="10" borderId="12" xfId="0" applyFont="1" applyFill="1" applyBorder="1" applyAlignment="1">
      <alignment vertical="center"/>
    </xf>
    <xf numFmtId="0" fontId="28" fillId="10" borderId="13" xfId="0" applyFont="1" applyFill="1" applyBorder="1" applyAlignment="1">
      <alignment vertical="center"/>
    </xf>
    <xf numFmtId="0" fontId="28" fillId="10" borderId="14" xfId="0" applyFont="1" applyFill="1" applyBorder="1" applyAlignment="1">
      <alignment vertical="center"/>
    </xf>
    <xf numFmtId="0" fontId="28" fillId="10" borderId="0" xfId="0" applyFont="1" applyFill="1" applyAlignment="1">
      <alignment vertical="center"/>
    </xf>
    <xf numFmtId="0" fontId="28" fillId="10" borderId="15" xfId="0" applyFont="1" applyFill="1" applyBorder="1" applyAlignment="1">
      <alignment vertical="center"/>
    </xf>
    <xf numFmtId="10" fontId="29" fillId="10" borderId="14" xfId="0" applyNumberFormat="1" applyFont="1" applyFill="1" applyBorder="1" applyAlignment="1">
      <alignment horizontal="left" vertical="center"/>
    </xf>
    <xf numFmtId="10" fontId="29" fillId="10" borderId="0" xfId="0" applyNumberFormat="1" applyFont="1" applyFill="1" applyAlignment="1">
      <alignment horizontal="left" vertical="center"/>
    </xf>
    <xf numFmtId="0" fontId="17" fillId="10" borderId="15" xfId="0" applyFont="1" applyFill="1" applyBorder="1" applyAlignment="1">
      <alignment vertical="center" wrapText="1"/>
    </xf>
    <xf numFmtId="0" fontId="28" fillId="10" borderId="0" xfId="0" applyFont="1" applyFill="1" applyAlignment="1">
      <alignment horizontal="left" vertical="center"/>
    </xf>
    <xf numFmtId="0" fontId="28" fillId="10" borderId="15" xfId="0" applyFont="1" applyFill="1" applyBorder="1" applyAlignment="1">
      <alignment horizontal="left" vertical="center"/>
    </xf>
    <xf numFmtId="0" fontId="30" fillId="10" borderId="0" xfId="0" applyFont="1" applyFill="1" applyAlignment="1">
      <alignment horizontal="right" vertical="center"/>
    </xf>
    <xf numFmtId="0" fontId="30" fillId="10" borderId="15" xfId="0" applyFont="1" applyFill="1" applyBorder="1" applyAlignment="1">
      <alignment horizontal="right" vertical="center"/>
    </xf>
    <xf numFmtId="0" fontId="17" fillId="10" borderId="18" xfId="0" applyFont="1" applyFill="1" applyBorder="1" applyAlignment="1">
      <alignment vertical="center" wrapText="1"/>
    </xf>
    <xf numFmtId="0" fontId="31" fillId="10" borderId="14" xfId="0" applyFont="1" applyFill="1" applyBorder="1" applyAlignment="1">
      <alignment vertical="center"/>
    </xf>
    <xf numFmtId="0" fontId="31" fillId="10" borderId="0" xfId="0" applyFont="1" applyFill="1" applyAlignment="1">
      <alignment vertical="center"/>
    </xf>
    <xf numFmtId="0" fontId="32" fillId="10" borderId="0" xfId="0" applyFont="1" applyFill="1" applyAlignment="1">
      <alignment vertical="center"/>
    </xf>
    <xf numFmtId="0" fontId="32" fillId="10" borderId="15" xfId="0" applyFont="1" applyFill="1" applyBorder="1" applyAlignment="1">
      <alignment vertical="center"/>
    </xf>
    <xf numFmtId="0" fontId="16" fillId="10" borderId="14" xfId="0" applyFont="1" applyFill="1" applyBorder="1" applyAlignment="1">
      <alignment vertical="center"/>
    </xf>
    <xf numFmtId="0" fontId="16" fillId="10" borderId="0" xfId="0" applyFont="1" applyFill="1" applyAlignment="1">
      <alignment vertical="center"/>
    </xf>
    <xf numFmtId="0" fontId="33" fillId="10" borderId="0" xfId="0" applyFont="1" applyFill="1" applyAlignment="1">
      <alignment vertical="center"/>
    </xf>
    <xf numFmtId="166" fontId="16" fillId="10" borderId="0" xfId="0" applyNumberFormat="1" applyFont="1" applyFill="1" applyAlignment="1">
      <alignment vertical="center"/>
    </xf>
    <xf numFmtId="167" fontId="16" fillId="10" borderId="0" xfId="0" applyNumberFormat="1" applyFont="1" applyFill="1" applyAlignment="1">
      <alignment vertical="center"/>
    </xf>
    <xf numFmtId="167" fontId="16" fillId="10" borderId="15" xfId="0" applyNumberFormat="1" applyFont="1" applyFill="1" applyBorder="1" applyAlignment="1">
      <alignment vertical="center"/>
    </xf>
    <xf numFmtId="0" fontId="29" fillId="10" borderId="14" xfId="0" applyFont="1" applyFill="1" applyBorder="1" applyAlignment="1">
      <alignment horizontal="left" vertical="center"/>
    </xf>
    <xf numFmtId="0" fontId="29" fillId="10" borderId="0" xfId="0" applyFont="1" applyFill="1" applyAlignment="1">
      <alignment horizontal="left" vertical="center"/>
    </xf>
    <xf numFmtId="0" fontId="29" fillId="10" borderId="15" xfId="0" applyFont="1" applyFill="1" applyBorder="1" applyAlignment="1">
      <alignment horizontal="left" vertical="center"/>
    </xf>
    <xf numFmtId="165" fontId="16" fillId="10" borderId="0" xfId="0" applyNumberFormat="1" applyFont="1" applyFill="1" applyAlignment="1">
      <alignment vertical="center"/>
    </xf>
    <xf numFmtId="0" fontId="16" fillId="10" borderId="15" xfId="0" applyFont="1" applyFill="1" applyBorder="1" applyAlignment="1">
      <alignment vertical="center"/>
    </xf>
    <xf numFmtId="0" fontId="34" fillId="10" borderId="14" xfId="0" applyFont="1" applyFill="1" applyBorder="1" applyAlignment="1">
      <alignment vertical="center" wrapText="1"/>
    </xf>
    <xf numFmtId="0" fontId="34" fillId="10" borderId="0" xfId="0" applyFont="1" applyFill="1" applyAlignment="1">
      <alignment vertical="center" wrapText="1"/>
    </xf>
    <xf numFmtId="0" fontId="34" fillId="10" borderId="15" xfId="0" applyFont="1" applyFill="1" applyBorder="1" applyAlignment="1">
      <alignment vertical="center" wrapText="1"/>
    </xf>
    <xf numFmtId="0" fontId="35" fillId="10" borderId="14" xfId="0" applyFont="1" applyFill="1" applyBorder="1" applyAlignment="1">
      <alignment vertical="center"/>
    </xf>
    <xf numFmtId="0" fontId="35" fillId="10" borderId="0" xfId="0" applyFont="1" applyFill="1" applyAlignment="1">
      <alignment vertical="center"/>
    </xf>
    <xf numFmtId="0" fontId="35" fillId="10" borderId="15" xfId="0" applyFont="1" applyFill="1" applyBorder="1" applyAlignment="1">
      <alignment vertical="center"/>
    </xf>
    <xf numFmtId="0" fontId="17" fillId="10" borderId="19" xfId="0" applyFont="1" applyFill="1" applyBorder="1" applyAlignment="1">
      <alignment vertical="center" wrapText="1"/>
    </xf>
    <xf numFmtId="0" fontId="17" fillId="10" borderId="20" xfId="0" applyFont="1" applyFill="1" applyBorder="1" applyAlignment="1">
      <alignment vertical="center" wrapText="1"/>
    </xf>
    <xf numFmtId="0" fontId="30" fillId="10" borderId="0" xfId="0" applyFont="1" applyFill="1" applyAlignment="1">
      <alignment horizontal="right" vertical="center" wrapText="1"/>
    </xf>
    <xf numFmtId="0" fontId="30" fillId="10" borderId="15" xfId="0" applyFont="1" applyFill="1" applyBorder="1" applyAlignment="1">
      <alignment horizontal="right" vertical="center" wrapText="1"/>
    </xf>
    <xf numFmtId="0" fontId="30" fillId="10" borderId="20" xfId="0" applyFont="1" applyFill="1" applyBorder="1" applyAlignment="1">
      <alignment horizontal="right" vertical="center" wrapText="1"/>
    </xf>
    <xf numFmtId="0" fontId="30" fillId="10" borderId="21" xfId="0" applyFont="1" applyFill="1" applyBorder="1" applyAlignment="1">
      <alignment horizontal="right" vertical="center" wrapText="1"/>
    </xf>
    <xf numFmtId="0" fontId="26" fillId="10" borderId="14" xfId="0" applyFont="1" applyFill="1" applyBorder="1" applyAlignment="1">
      <alignment vertical="center"/>
    </xf>
    <xf numFmtId="0" fontId="26" fillId="10" borderId="0" xfId="0" applyFont="1" applyFill="1" applyAlignment="1">
      <alignment vertical="center"/>
    </xf>
    <xf numFmtId="10" fontId="16" fillId="10" borderId="0" xfId="0" applyNumberFormat="1" applyFont="1" applyFill="1" applyAlignment="1">
      <alignment vertical="center"/>
    </xf>
    <xf numFmtId="10" fontId="16" fillId="10" borderId="15" xfId="0" applyNumberFormat="1" applyFont="1" applyFill="1" applyBorder="1" applyAlignment="1">
      <alignment vertical="center"/>
    </xf>
    <xf numFmtId="0" fontId="36" fillId="13" borderId="14" xfId="0" applyFont="1" applyFill="1" applyBorder="1" applyAlignment="1">
      <alignment vertical="top" wrapText="1"/>
    </xf>
    <xf numFmtId="0" fontId="36" fillId="13" borderId="0" xfId="0" applyFont="1" applyFill="1" applyAlignment="1">
      <alignment vertical="top" wrapText="1"/>
    </xf>
    <xf numFmtId="0" fontId="36" fillId="13" borderId="15" xfId="0" applyFont="1" applyFill="1" applyBorder="1" applyAlignment="1">
      <alignment vertical="top" wrapText="1"/>
    </xf>
    <xf numFmtId="0" fontId="32" fillId="14" borderId="0" xfId="0" applyFont="1" applyFill="1" applyAlignment="1">
      <alignment vertical="center"/>
    </xf>
    <xf numFmtId="0" fontId="17" fillId="14" borderId="0" xfId="0" applyFont="1" applyFill="1" applyAlignment="1">
      <alignment vertical="center" wrapText="1"/>
    </xf>
    <xf numFmtId="10" fontId="29" fillId="10" borderId="15" xfId="0" applyNumberFormat="1" applyFont="1" applyFill="1" applyBorder="1" applyAlignment="1">
      <alignment horizontal="left" vertical="center"/>
    </xf>
    <xf numFmtId="0" fontId="26" fillId="10" borderId="19" xfId="0" applyFont="1" applyFill="1" applyBorder="1" applyAlignment="1">
      <alignment vertical="center"/>
    </xf>
    <xf numFmtId="0" fontId="26" fillId="10" borderId="20" xfId="0" applyFont="1" applyFill="1" applyBorder="1" applyAlignment="1">
      <alignment vertical="center"/>
    </xf>
    <xf numFmtId="0" fontId="15" fillId="10" borderId="0" xfId="0" applyFont="1" applyFill="1" applyAlignment="1">
      <alignment vertical="center" wrapText="1"/>
    </xf>
    <xf numFmtId="0" fontId="15" fillId="10" borderId="20" xfId="0" applyFont="1" applyFill="1" applyBorder="1" applyAlignment="1">
      <alignment vertical="center" wrapText="1"/>
    </xf>
    <xf numFmtId="10" fontId="16" fillId="10" borderId="20" xfId="0" applyNumberFormat="1" applyFont="1" applyFill="1" applyBorder="1" applyAlignment="1">
      <alignment vertical="center"/>
    </xf>
    <xf numFmtId="10" fontId="16" fillId="10" borderId="21" xfId="0" applyNumberFormat="1" applyFont="1" applyFill="1" applyBorder="1" applyAlignment="1">
      <alignment vertical="center"/>
    </xf>
    <xf numFmtId="0" fontId="15" fillId="10" borderId="14" xfId="0" applyFont="1" applyFill="1" applyBorder="1" applyAlignment="1">
      <alignment vertical="center" wrapText="1"/>
    </xf>
    <xf numFmtId="0" fontId="33" fillId="10" borderId="15" xfId="0" applyFont="1" applyFill="1" applyBorder="1" applyAlignment="1">
      <alignment vertical="center"/>
    </xf>
    <xf numFmtId="0" fontId="37" fillId="10" borderId="14" xfId="0" applyFont="1" applyFill="1" applyBorder="1" applyAlignment="1">
      <alignment vertical="center" wrapText="1"/>
    </xf>
    <xf numFmtId="0" fontId="37" fillId="10" borderId="0" xfId="0" applyFont="1" applyFill="1" applyAlignment="1">
      <alignment vertical="center" wrapText="1"/>
    </xf>
    <xf numFmtId="0" fontId="37" fillId="10" borderId="15" xfId="0" applyFont="1" applyFill="1" applyBorder="1" applyAlignment="1">
      <alignment vertical="center" wrapText="1"/>
    </xf>
    <xf numFmtId="0" fontId="34" fillId="5" borderId="14" xfId="0" applyFont="1" applyFill="1" applyBorder="1" applyAlignment="1">
      <alignment vertical="center" wrapText="1"/>
    </xf>
    <xf numFmtId="0" fontId="34" fillId="5" borderId="0" xfId="0" applyFont="1" applyFill="1" applyAlignment="1">
      <alignment vertical="center" wrapText="1"/>
    </xf>
    <xf numFmtId="0" fontId="34" fillId="5" borderId="15" xfId="0" applyFont="1" applyFill="1" applyBorder="1" applyAlignment="1">
      <alignment vertical="center" wrapText="1"/>
    </xf>
    <xf numFmtId="0" fontId="35" fillId="5" borderId="14" xfId="0" applyFont="1" applyFill="1" applyBorder="1" applyAlignment="1">
      <alignment vertical="center" wrapText="1"/>
    </xf>
    <xf numFmtId="0" fontId="35" fillId="5" borderId="0" xfId="0" applyFont="1" applyFill="1" applyAlignment="1">
      <alignment vertical="center" wrapText="1"/>
    </xf>
    <xf numFmtId="0" fontId="35" fillId="5" borderId="15" xfId="0" applyFont="1" applyFill="1" applyBorder="1" applyAlignment="1">
      <alignment vertical="center" wrapText="1"/>
    </xf>
    <xf numFmtId="0" fontId="3" fillId="0" borderId="0" xfId="0" applyFont="1" applyAlignment="1">
      <alignment vertical="center"/>
    </xf>
    <xf numFmtId="0" fontId="1" fillId="0" borderId="0" xfId="0" applyFont="1" applyAlignment="1">
      <alignment vertical="center" wrapText="1"/>
    </xf>
    <xf numFmtId="0" fontId="2" fillId="2" borderId="0" xfId="0" applyFont="1" applyFill="1" applyAlignment="1">
      <alignment vertical="center"/>
    </xf>
    <xf numFmtId="0" fontId="1" fillId="2" borderId="0" xfId="0" applyFont="1" applyFill="1" applyAlignment="1">
      <alignment vertical="center"/>
    </xf>
    <xf numFmtId="0" fontId="3" fillId="3" borderId="1" xfId="0" applyFont="1" applyFill="1" applyBorder="1" applyAlignment="1">
      <alignment vertical="center"/>
    </xf>
    <xf numFmtId="0" fontId="3" fillId="3" borderId="2" xfId="0" applyFont="1" applyFill="1" applyBorder="1" applyAlignment="1">
      <alignment vertical="center"/>
    </xf>
    <xf numFmtId="0" fontId="3" fillId="3" borderId="3" xfId="0" applyFont="1" applyFill="1" applyBorder="1" applyAlignment="1">
      <alignment vertical="center"/>
    </xf>
    <xf numFmtId="0" fontId="3" fillId="3" borderId="4" xfId="0" applyFont="1" applyFill="1" applyBorder="1" applyAlignment="1">
      <alignment vertical="center"/>
    </xf>
    <xf numFmtId="0" fontId="3" fillId="3" borderId="5" xfId="0" applyFont="1" applyFill="1" applyBorder="1" applyAlignment="1">
      <alignment vertical="center"/>
    </xf>
    <xf numFmtId="0" fontId="3" fillId="3" borderId="6" xfId="0" applyFont="1" applyFill="1" applyBorder="1" applyAlignment="1">
      <alignment vertical="center"/>
    </xf>
    <xf numFmtId="0" fontId="4" fillId="3" borderId="1"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vertical="center"/>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5" fillId="4" borderId="0" xfId="0" applyFont="1" applyFill="1" applyAlignment="1">
      <alignment horizontal="center" vertical="center"/>
    </xf>
    <xf numFmtId="0" fontId="6" fillId="2" borderId="0" xfId="0" applyFont="1" applyFill="1" applyAlignment="1">
      <alignment vertical="center"/>
    </xf>
    <xf numFmtId="0" fontId="7" fillId="5" borderId="0" xfId="0" applyFont="1" applyFill="1" applyAlignment="1">
      <alignment vertical="center"/>
    </xf>
    <xf numFmtId="0" fontId="8" fillId="5" borderId="0" xfId="0" applyFont="1" applyFill="1" applyAlignment="1">
      <alignment vertical="center"/>
    </xf>
    <xf numFmtId="164" fontId="9" fillId="5" borderId="0" xfId="0" applyNumberFormat="1" applyFont="1" applyFill="1" applyAlignment="1">
      <alignment vertical="center"/>
    </xf>
    <xf numFmtId="0" fontId="9" fillId="5" borderId="0" xfId="0" applyFont="1" applyFill="1" applyAlignment="1">
      <alignment vertical="center"/>
    </xf>
    <xf numFmtId="0" fontId="1" fillId="5" borderId="0" xfId="0" applyFont="1" applyFill="1" applyAlignment="1">
      <alignment vertical="center"/>
    </xf>
    <xf numFmtId="0" fontId="6" fillId="5" borderId="0" xfId="0" applyFont="1" applyFill="1" applyAlignment="1">
      <alignment vertical="center"/>
    </xf>
    <xf numFmtId="0" fontId="1" fillId="5" borderId="0" xfId="0" applyFont="1" applyFill="1" applyAlignment="1">
      <alignment vertical="center" wrapText="1"/>
    </xf>
    <xf numFmtId="0" fontId="10" fillId="5" borderId="0" xfId="0" applyFont="1" applyFill="1" applyAlignment="1">
      <alignment vertical="center" wrapText="1"/>
    </xf>
    <xf numFmtId="0" fontId="4" fillId="6" borderId="0" xfId="0" applyFont="1" applyFill="1" applyAlignment="1">
      <alignment vertical="center"/>
    </xf>
    <xf numFmtId="0" fontId="1" fillId="5" borderId="0" xfId="0" applyFont="1" applyFill="1" applyAlignment="1">
      <alignment horizontal="right" vertical="center"/>
    </xf>
    <xf numFmtId="10" fontId="1" fillId="5" borderId="0" xfId="0" applyNumberFormat="1" applyFont="1" applyFill="1" applyAlignment="1">
      <alignment vertical="center"/>
    </xf>
    <xf numFmtId="0" fontId="11" fillId="5" borderId="0" xfId="0" applyFont="1" applyFill="1" applyAlignment="1">
      <alignment vertical="center"/>
    </xf>
    <xf numFmtId="0" fontId="10" fillId="2" borderId="0" xfId="0" applyFont="1" applyFill="1" applyAlignment="1">
      <alignment vertical="center" wrapText="1"/>
    </xf>
    <xf numFmtId="0" fontId="10" fillId="2" borderId="0" xfId="0" applyFont="1" applyFill="1" applyAlignment="1">
      <alignment vertical="center"/>
    </xf>
    <xf numFmtId="0" fontId="6" fillId="2" borderId="0" xfId="0" applyFont="1" applyFill="1" applyAlignment="1">
      <alignment vertical="center" wrapText="1"/>
    </xf>
    <xf numFmtId="165" fontId="1" fillId="5" borderId="0" xfId="0" applyNumberFormat="1" applyFont="1" applyFill="1" applyAlignment="1">
      <alignment vertical="center"/>
    </xf>
    <xf numFmtId="0" fontId="1" fillId="2" borderId="0" xfId="0" applyFont="1" applyFill="1" applyAlignment="1">
      <alignment vertical="center" wrapText="1"/>
    </xf>
    <xf numFmtId="0" fontId="12" fillId="5" borderId="0" xfId="0" applyFont="1" applyFill="1" applyAlignment="1">
      <alignment vertical="top" wrapText="1"/>
    </xf>
    <xf numFmtId="0" fontId="13" fillId="7" borderId="0" xfId="0" applyFont="1" applyFill="1" applyAlignment="1">
      <alignment vertical="top" wrapText="1"/>
    </xf>
    <xf numFmtId="0" fontId="10" fillId="0" borderId="0" xfId="0" applyFont="1" applyAlignment="1">
      <alignment vertical="center" wrapText="1"/>
    </xf>
    <xf numFmtId="22" fontId="1" fillId="0" borderId="0" xfId="0" applyNumberFormat="1" applyFont="1" applyAlignment="1">
      <alignment vertical="center"/>
    </xf>
    <xf numFmtId="0" fontId="21" fillId="15" borderId="0" xfId="0" applyFont="1" applyFill="1" applyAlignment="1">
      <alignment horizontal="center" vertical="center"/>
    </xf>
    <xf numFmtId="14" fontId="1" fillId="0" borderId="0" xfId="0" applyNumberFormat="1" applyFont="1" applyAlignment="1">
      <alignment vertical="center"/>
    </xf>
    <xf numFmtId="14" fontId="0" fillId="0" borderId="0" xfId="0" applyNumberFormat="1"/>
    <xf numFmtId="47" fontId="1" fillId="0" borderId="0" xfId="0" applyNumberFormat="1" applyFont="1" applyAlignment="1">
      <alignment vertical="center"/>
    </xf>
    <xf numFmtId="14" fontId="15" fillId="0" borderId="0" xfId="0" applyNumberFormat="1" applyFont="1"/>
    <xf numFmtId="14" fontId="14" fillId="8" borderId="0" xfId="0" applyNumberFormat="1" applyFont="1" applyFill="1"/>
  </cellXfs>
  <cellStyles count="1">
    <cellStyle name="Normal" xfId="0" builtinId="0"/>
  </cellStyles>
  <dxfs count="5">
    <dxf>
      <font>
        <color rgb="FF137A59"/>
      </font>
    </dxf>
    <dxf>
      <font>
        <color rgb="FFB42318"/>
      </font>
    </dxf>
    <dxf>
      <font>
        <color rgb="FFBD3A40"/>
      </font>
    </dxf>
    <dxf>
      <font>
        <color rgb="FFBD3A40"/>
      </font>
    </dxf>
    <dxf>
      <font>
        <color rgb="FFBD3A4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US" sz="750"/>
              <a:t>Daily close (USD)</a:t>
            </a:r>
          </a:p>
        </c:rich>
      </c:tx>
      <c:overlay val="0"/>
    </c:title>
    <c:autoTitleDeleted val="0"/>
    <c:plotArea>
      <c:layout/>
      <c:lineChart>
        <c:grouping val="standard"/>
        <c:varyColors val="0"/>
        <c:ser>
          <c:idx val="0"/>
          <c:order val="0"/>
          <c:tx>
            <c:v>Chart price / NAV</c:v>
          </c:tx>
          <c:spPr>
            <a:ln w="19050">
              <a:solidFill>
                <a:srgbClr val="2D67DF"/>
              </a:solidFill>
              <a:prstDash val="solid"/>
            </a:ln>
          </c:spPr>
          <c:marker>
            <c:symbol val="none"/>
          </c:marker>
          <c:cat>
            <c:numRef>
              <c:f>'Stock Data'!$AJ$2:$AJ$251</c:f>
              <c:numCache>
                <c:formatCode>m/d/yyyy</c:formatCode>
                <c:ptCount val="250"/>
                <c:pt idx="0">
                  <c:v>45943</c:v>
                </c:pt>
                <c:pt idx="1">
                  <c:v>45944</c:v>
                </c:pt>
                <c:pt idx="2">
                  <c:v>45945</c:v>
                </c:pt>
                <c:pt idx="3">
                  <c:v>45946</c:v>
                </c:pt>
                <c:pt idx="4">
                  <c:v>45947</c:v>
                </c:pt>
                <c:pt idx="5">
                  <c:v>45950</c:v>
                </c:pt>
                <c:pt idx="6">
                  <c:v>45951</c:v>
                </c:pt>
                <c:pt idx="7">
                  <c:v>45952</c:v>
                </c:pt>
                <c:pt idx="8">
                  <c:v>45953</c:v>
                </c:pt>
                <c:pt idx="9">
                  <c:v>45954</c:v>
                </c:pt>
                <c:pt idx="10">
                  <c:v>45957</c:v>
                </c:pt>
                <c:pt idx="11">
                  <c:v>45958</c:v>
                </c:pt>
                <c:pt idx="12">
                  <c:v>45959</c:v>
                </c:pt>
                <c:pt idx="13">
                  <c:v>45960</c:v>
                </c:pt>
                <c:pt idx="14">
                  <c:v>45961</c:v>
                </c:pt>
                <c:pt idx="15">
                  <c:v>45964</c:v>
                </c:pt>
                <c:pt idx="16">
                  <c:v>45965</c:v>
                </c:pt>
                <c:pt idx="17">
                  <c:v>45966</c:v>
                </c:pt>
                <c:pt idx="18">
                  <c:v>45967</c:v>
                </c:pt>
                <c:pt idx="19">
                  <c:v>45968</c:v>
                </c:pt>
                <c:pt idx="20">
                  <c:v>45971</c:v>
                </c:pt>
                <c:pt idx="21">
                  <c:v>45972</c:v>
                </c:pt>
                <c:pt idx="22">
                  <c:v>45973</c:v>
                </c:pt>
                <c:pt idx="23">
                  <c:v>45974</c:v>
                </c:pt>
                <c:pt idx="24">
                  <c:v>45975</c:v>
                </c:pt>
                <c:pt idx="25">
                  <c:v>45978</c:v>
                </c:pt>
                <c:pt idx="26">
                  <c:v>45979</c:v>
                </c:pt>
                <c:pt idx="27">
                  <c:v>45980</c:v>
                </c:pt>
                <c:pt idx="28">
                  <c:v>45981</c:v>
                </c:pt>
                <c:pt idx="29">
                  <c:v>45982</c:v>
                </c:pt>
                <c:pt idx="30">
                  <c:v>45985</c:v>
                </c:pt>
                <c:pt idx="31">
                  <c:v>45986</c:v>
                </c:pt>
                <c:pt idx="32">
                  <c:v>45987</c:v>
                </c:pt>
                <c:pt idx="33">
                  <c:v>45989</c:v>
                </c:pt>
                <c:pt idx="34">
                  <c:v>45992</c:v>
                </c:pt>
                <c:pt idx="35">
                  <c:v>45993</c:v>
                </c:pt>
                <c:pt idx="36">
                  <c:v>45994</c:v>
                </c:pt>
                <c:pt idx="37">
                  <c:v>45995</c:v>
                </c:pt>
                <c:pt idx="38">
                  <c:v>45996</c:v>
                </c:pt>
                <c:pt idx="39">
                  <c:v>45999</c:v>
                </c:pt>
                <c:pt idx="40">
                  <c:v>46000</c:v>
                </c:pt>
                <c:pt idx="41">
                  <c:v>46001</c:v>
                </c:pt>
                <c:pt idx="42">
                  <c:v>46002</c:v>
                </c:pt>
                <c:pt idx="43">
                  <c:v>46003</c:v>
                </c:pt>
                <c:pt idx="44">
                  <c:v>46006</c:v>
                </c:pt>
                <c:pt idx="45">
                  <c:v>46007</c:v>
                </c:pt>
                <c:pt idx="46">
                  <c:v>46008</c:v>
                </c:pt>
                <c:pt idx="47">
                  <c:v>46009</c:v>
                </c:pt>
                <c:pt idx="48">
                  <c:v>46010</c:v>
                </c:pt>
                <c:pt idx="49">
                  <c:v>46013</c:v>
                </c:pt>
                <c:pt idx="50">
                  <c:v>46014</c:v>
                </c:pt>
                <c:pt idx="51">
                  <c:v>46015</c:v>
                </c:pt>
                <c:pt idx="52">
                  <c:v>46017</c:v>
                </c:pt>
                <c:pt idx="53">
                  <c:v>46020</c:v>
                </c:pt>
                <c:pt idx="54">
                  <c:v>46021</c:v>
                </c:pt>
                <c:pt idx="55">
                  <c:v>46022</c:v>
                </c:pt>
                <c:pt idx="56">
                  <c:v>46024</c:v>
                </c:pt>
                <c:pt idx="57">
                  <c:v>46027</c:v>
                </c:pt>
                <c:pt idx="58">
                  <c:v>46028</c:v>
                </c:pt>
                <c:pt idx="59">
                  <c:v>46029</c:v>
                </c:pt>
                <c:pt idx="60">
                  <c:v>46030</c:v>
                </c:pt>
                <c:pt idx="61">
                  <c:v>46031</c:v>
                </c:pt>
                <c:pt idx="62">
                  <c:v>46034</c:v>
                </c:pt>
                <c:pt idx="63">
                  <c:v>46035</c:v>
                </c:pt>
                <c:pt idx="64">
                  <c:v>46036</c:v>
                </c:pt>
                <c:pt idx="65">
                  <c:v>46037</c:v>
                </c:pt>
                <c:pt idx="66">
                  <c:v>46038</c:v>
                </c:pt>
                <c:pt idx="67">
                  <c:v>46042</c:v>
                </c:pt>
                <c:pt idx="68">
                  <c:v>46043</c:v>
                </c:pt>
                <c:pt idx="69">
                  <c:v>46044</c:v>
                </c:pt>
                <c:pt idx="70">
                  <c:v>46045</c:v>
                </c:pt>
                <c:pt idx="71">
                  <c:v>46048</c:v>
                </c:pt>
                <c:pt idx="72">
                  <c:v>46049</c:v>
                </c:pt>
                <c:pt idx="73">
                  <c:v>46050</c:v>
                </c:pt>
                <c:pt idx="74">
                  <c:v>46051</c:v>
                </c:pt>
                <c:pt idx="75">
                  <c:v>46052</c:v>
                </c:pt>
                <c:pt idx="76">
                  <c:v>46055</c:v>
                </c:pt>
                <c:pt idx="77">
                  <c:v>46056</c:v>
                </c:pt>
                <c:pt idx="78">
                  <c:v>46057</c:v>
                </c:pt>
                <c:pt idx="79">
                  <c:v>46058</c:v>
                </c:pt>
                <c:pt idx="80">
                  <c:v>46059</c:v>
                </c:pt>
                <c:pt idx="81">
                  <c:v>46062</c:v>
                </c:pt>
                <c:pt idx="82">
                  <c:v>46063</c:v>
                </c:pt>
                <c:pt idx="83">
                  <c:v>46064</c:v>
                </c:pt>
                <c:pt idx="84">
                  <c:v>46065</c:v>
                </c:pt>
                <c:pt idx="85">
                  <c:v>46066</c:v>
                </c:pt>
                <c:pt idx="86">
                  <c:v>46070</c:v>
                </c:pt>
                <c:pt idx="87">
                  <c:v>46071</c:v>
                </c:pt>
                <c:pt idx="88">
                  <c:v>46072</c:v>
                </c:pt>
                <c:pt idx="89">
                  <c:v>46073</c:v>
                </c:pt>
                <c:pt idx="90">
                  <c:v>46076</c:v>
                </c:pt>
                <c:pt idx="91">
                  <c:v>46077</c:v>
                </c:pt>
                <c:pt idx="92">
                  <c:v>46078</c:v>
                </c:pt>
                <c:pt idx="93">
                  <c:v>46079</c:v>
                </c:pt>
                <c:pt idx="94">
                  <c:v>46080</c:v>
                </c:pt>
                <c:pt idx="95">
                  <c:v>46083</c:v>
                </c:pt>
                <c:pt idx="96">
                  <c:v>46084</c:v>
                </c:pt>
                <c:pt idx="97">
                  <c:v>46085</c:v>
                </c:pt>
                <c:pt idx="98">
                  <c:v>46086</c:v>
                </c:pt>
                <c:pt idx="99">
                  <c:v>46087</c:v>
                </c:pt>
                <c:pt idx="100">
                  <c:v>46090</c:v>
                </c:pt>
                <c:pt idx="101">
                  <c:v>46091</c:v>
                </c:pt>
                <c:pt idx="102">
                  <c:v>46092</c:v>
                </c:pt>
                <c:pt idx="103">
                  <c:v>46093</c:v>
                </c:pt>
                <c:pt idx="104">
                  <c:v>46094</c:v>
                </c:pt>
                <c:pt idx="105">
                  <c:v>46097</c:v>
                </c:pt>
                <c:pt idx="106">
                  <c:v>46098</c:v>
                </c:pt>
                <c:pt idx="107">
                  <c:v>46099</c:v>
                </c:pt>
                <c:pt idx="108">
                  <c:v>46100</c:v>
                </c:pt>
                <c:pt idx="109">
                  <c:v>46101</c:v>
                </c:pt>
                <c:pt idx="110">
                  <c:v>46104</c:v>
                </c:pt>
                <c:pt idx="111">
                  <c:v>46105</c:v>
                </c:pt>
                <c:pt idx="112">
                  <c:v>46106</c:v>
                </c:pt>
                <c:pt idx="113">
                  <c:v>46107</c:v>
                </c:pt>
                <c:pt idx="114">
                  <c:v>46108</c:v>
                </c:pt>
                <c:pt idx="115">
                  <c:v>46111</c:v>
                </c:pt>
                <c:pt idx="116">
                  <c:v>46112</c:v>
                </c:pt>
                <c:pt idx="117">
                  <c:v>46113</c:v>
                </c:pt>
                <c:pt idx="118">
                  <c:v>46114</c:v>
                </c:pt>
                <c:pt idx="119">
                  <c:v>46118</c:v>
                </c:pt>
                <c:pt idx="120">
                  <c:v>46119</c:v>
                </c:pt>
                <c:pt idx="121">
                  <c:v>46120</c:v>
                </c:pt>
                <c:pt idx="122">
                  <c:v>46121</c:v>
                </c:pt>
                <c:pt idx="123">
                  <c:v>46122</c:v>
                </c:pt>
                <c:pt idx="124">
                  <c:v>46125</c:v>
                </c:pt>
                <c:pt idx="125">
                  <c:v>46126</c:v>
                </c:pt>
                <c:pt idx="126">
                  <c:v>46127</c:v>
                </c:pt>
                <c:pt idx="127">
                  <c:v>46128</c:v>
                </c:pt>
                <c:pt idx="128">
                  <c:v>46129</c:v>
                </c:pt>
                <c:pt idx="129">
                  <c:v>46132</c:v>
                </c:pt>
                <c:pt idx="130">
                  <c:v>46133</c:v>
                </c:pt>
                <c:pt idx="131">
                  <c:v>46134</c:v>
                </c:pt>
                <c:pt idx="132">
                  <c:v>46135</c:v>
                </c:pt>
                <c:pt idx="133">
                  <c:v>46136</c:v>
                </c:pt>
                <c:pt idx="134">
                  <c:v>46139</c:v>
                </c:pt>
                <c:pt idx="135">
                  <c:v>46140</c:v>
                </c:pt>
                <c:pt idx="136">
                  <c:v>46141</c:v>
                </c:pt>
                <c:pt idx="137">
                  <c:v>46142</c:v>
                </c:pt>
                <c:pt idx="138">
                  <c:v>46143</c:v>
                </c:pt>
                <c:pt idx="139">
                  <c:v>46146</c:v>
                </c:pt>
                <c:pt idx="140">
                  <c:v>46147</c:v>
                </c:pt>
                <c:pt idx="141">
                  <c:v>46148</c:v>
                </c:pt>
                <c:pt idx="142">
                  <c:v>46149</c:v>
                </c:pt>
                <c:pt idx="143">
                  <c:v>46150</c:v>
                </c:pt>
                <c:pt idx="144">
                  <c:v>46153</c:v>
                </c:pt>
                <c:pt idx="145">
                  <c:v>46154</c:v>
                </c:pt>
                <c:pt idx="146">
                  <c:v>46155</c:v>
                </c:pt>
                <c:pt idx="147">
                  <c:v>46156</c:v>
                </c:pt>
                <c:pt idx="148">
                  <c:v>46157</c:v>
                </c:pt>
                <c:pt idx="149">
                  <c:v>46160</c:v>
                </c:pt>
                <c:pt idx="150">
                  <c:v>46161</c:v>
                </c:pt>
                <c:pt idx="151">
                  <c:v>46162</c:v>
                </c:pt>
                <c:pt idx="152">
                  <c:v>46163</c:v>
                </c:pt>
                <c:pt idx="153">
                  <c:v>46164</c:v>
                </c:pt>
                <c:pt idx="154">
                  <c:v>46168</c:v>
                </c:pt>
                <c:pt idx="155">
                  <c:v>46169</c:v>
                </c:pt>
                <c:pt idx="156">
                  <c:v>46170</c:v>
                </c:pt>
                <c:pt idx="157">
                  <c:v>46171</c:v>
                </c:pt>
                <c:pt idx="158">
                  <c:v>46174</c:v>
                </c:pt>
                <c:pt idx="159">
                  <c:v>46175</c:v>
                </c:pt>
                <c:pt idx="160">
                  <c:v>46176</c:v>
                </c:pt>
                <c:pt idx="161">
                  <c:v>46177</c:v>
                </c:pt>
                <c:pt idx="162">
                  <c:v>46178</c:v>
                </c:pt>
                <c:pt idx="163">
                  <c:v>46181</c:v>
                </c:pt>
                <c:pt idx="164">
                  <c:v>46182</c:v>
                </c:pt>
                <c:pt idx="165">
                  <c:v>46183</c:v>
                </c:pt>
                <c:pt idx="166">
                  <c:v>46184</c:v>
                </c:pt>
                <c:pt idx="167">
                  <c:v>46185</c:v>
                </c:pt>
                <c:pt idx="168">
                  <c:v>46188</c:v>
                </c:pt>
                <c:pt idx="169">
                  <c:v>46189</c:v>
                </c:pt>
                <c:pt idx="170">
                  <c:v>46190</c:v>
                </c:pt>
                <c:pt idx="171">
                  <c:v>46191</c:v>
                </c:pt>
                <c:pt idx="172">
                  <c:v>46195</c:v>
                </c:pt>
                <c:pt idx="173">
                  <c:v>46196</c:v>
                </c:pt>
                <c:pt idx="174">
                  <c:v>46197</c:v>
                </c:pt>
                <c:pt idx="175">
                  <c:v>46198</c:v>
                </c:pt>
                <c:pt idx="176">
                  <c:v>46199</c:v>
                </c:pt>
                <c:pt idx="177">
                  <c:v>46202</c:v>
                </c:pt>
                <c:pt idx="178">
                  <c:v>46203</c:v>
                </c:pt>
                <c:pt idx="179">
                  <c:v>46204</c:v>
                </c:pt>
                <c:pt idx="180">
                  <c:v>46205</c:v>
                </c:pt>
                <c:pt idx="181">
                  <c:v>46209</c:v>
                </c:pt>
                <c:pt idx="182">
                  <c:v>46210</c:v>
                </c:pt>
                <c:pt idx="183">
                  <c:v>46211</c:v>
                </c:pt>
                <c:pt idx="184">
                  <c:v>46212</c:v>
                </c:pt>
                <c:pt idx="185">
                  <c:v>46213</c:v>
                </c:pt>
                <c:pt idx="186">
                  <c:v>46216</c:v>
                </c:pt>
                <c:pt idx="187">
                  <c:v>46217</c:v>
                </c:pt>
                <c:pt idx="188">
                  <c:v>46218</c:v>
                </c:pt>
                <c:pt idx="189">
                  <c:v>46219</c:v>
                </c:pt>
                <c:pt idx="190">
                  <c:v>46220</c:v>
                </c:pt>
                <c:pt idx="191">
                  <c:v>46223</c:v>
                </c:pt>
                <c:pt idx="192">
                  <c:v>46224</c:v>
                </c:pt>
                <c:pt idx="193">
                  <c:v>46225</c:v>
                </c:pt>
                <c:pt idx="194">
                  <c:v>46226</c:v>
                </c:pt>
                <c:pt idx="195">
                  <c:v>46227</c:v>
                </c:pt>
                <c:pt idx="196">
                  <c:v>46230</c:v>
                </c:pt>
                <c:pt idx="197">
                  <c:v>46231</c:v>
                </c:pt>
                <c:pt idx="198">
                  <c:v>46232</c:v>
                </c:pt>
                <c:pt idx="199">
                  <c:v>46233</c:v>
                </c:pt>
                <c:pt idx="200">
                  <c:v>46234</c:v>
                </c:pt>
                <c:pt idx="201">
                  <c:v>46237</c:v>
                </c:pt>
                <c:pt idx="202">
                  <c:v>46238</c:v>
                </c:pt>
                <c:pt idx="203">
                  <c:v>46239</c:v>
                </c:pt>
                <c:pt idx="204">
                  <c:v>46240</c:v>
                </c:pt>
                <c:pt idx="205">
                  <c:v>46241</c:v>
                </c:pt>
                <c:pt idx="206">
                  <c:v>46244</c:v>
                </c:pt>
                <c:pt idx="207">
                  <c:v>46245</c:v>
                </c:pt>
                <c:pt idx="208">
                  <c:v>46246</c:v>
                </c:pt>
                <c:pt idx="209">
                  <c:v>46247</c:v>
                </c:pt>
                <c:pt idx="210">
                  <c:v>46248</c:v>
                </c:pt>
                <c:pt idx="211">
                  <c:v>46251</c:v>
                </c:pt>
                <c:pt idx="212">
                  <c:v>46252</c:v>
                </c:pt>
                <c:pt idx="213">
                  <c:v>46253</c:v>
                </c:pt>
                <c:pt idx="214">
                  <c:v>46254</c:v>
                </c:pt>
                <c:pt idx="215">
                  <c:v>46255</c:v>
                </c:pt>
                <c:pt idx="216">
                  <c:v>46258</c:v>
                </c:pt>
                <c:pt idx="217">
                  <c:v>46259</c:v>
                </c:pt>
                <c:pt idx="218">
                  <c:v>46260</c:v>
                </c:pt>
                <c:pt idx="219">
                  <c:v>46261</c:v>
                </c:pt>
                <c:pt idx="220">
                  <c:v>46262</c:v>
                </c:pt>
                <c:pt idx="221">
                  <c:v>46265</c:v>
                </c:pt>
                <c:pt idx="222">
                  <c:v>46266</c:v>
                </c:pt>
                <c:pt idx="223">
                  <c:v>46267</c:v>
                </c:pt>
                <c:pt idx="224">
                  <c:v>46268</c:v>
                </c:pt>
                <c:pt idx="225">
                  <c:v>46269</c:v>
                </c:pt>
                <c:pt idx="226">
                  <c:v>46273</c:v>
                </c:pt>
                <c:pt idx="227">
                  <c:v>46274</c:v>
                </c:pt>
                <c:pt idx="228">
                  <c:v>46275</c:v>
                </c:pt>
                <c:pt idx="229">
                  <c:v>46276</c:v>
                </c:pt>
                <c:pt idx="230">
                  <c:v>46279</c:v>
                </c:pt>
                <c:pt idx="231">
                  <c:v>46280</c:v>
                </c:pt>
                <c:pt idx="232">
                  <c:v>46281</c:v>
                </c:pt>
                <c:pt idx="233">
                  <c:v>46282</c:v>
                </c:pt>
                <c:pt idx="234">
                  <c:v>46283</c:v>
                </c:pt>
                <c:pt idx="235">
                  <c:v>46286</c:v>
                </c:pt>
                <c:pt idx="236">
                  <c:v>46287</c:v>
                </c:pt>
                <c:pt idx="237">
                  <c:v>46288</c:v>
                </c:pt>
                <c:pt idx="238">
                  <c:v>46289</c:v>
                </c:pt>
                <c:pt idx="239">
                  <c:v>46290</c:v>
                </c:pt>
                <c:pt idx="240">
                  <c:v>46293</c:v>
                </c:pt>
                <c:pt idx="241">
                  <c:v>46294</c:v>
                </c:pt>
                <c:pt idx="242">
                  <c:v>46295</c:v>
                </c:pt>
                <c:pt idx="243">
                  <c:v>46296</c:v>
                </c:pt>
                <c:pt idx="244">
                  <c:v>46297</c:v>
                </c:pt>
                <c:pt idx="245">
                  <c:v>46300</c:v>
                </c:pt>
                <c:pt idx="246">
                  <c:v>46301</c:v>
                </c:pt>
                <c:pt idx="247">
                  <c:v>46302</c:v>
                </c:pt>
                <c:pt idx="248">
                  <c:v>46303</c:v>
                </c:pt>
                <c:pt idx="249">
                  <c:v>46304</c:v>
                </c:pt>
              </c:numCache>
            </c:numRef>
          </c:cat>
          <c:val>
            <c:numRef>
              <c:f>'Stock Data'!$AN$2:$AN$251</c:f>
              <c:numCache>
                <c:formatCode>General</c:formatCode>
                <c:ptCount val="250"/>
                <c:pt idx="0">
                  <c:v>277.22000000000003</c:v>
                </c:pt>
                <c:pt idx="1">
                  <c:v>276.14999999999998</c:v>
                </c:pt>
                <c:pt idx="2">
                  <c:v>280.75</c:v>
                </c:pt>
                <c:pt idx="3">
                  <c:v>275.97000000000003</c:v>
                </c:pt>
                <c:pt idx="4">
                  <c:v>281.27999999999997</c:v>
                </c:pt>
                <c:pt idx="5">
                  <c:v>283.64999999999998</c:v>
                </c:pt>
                <c:pt idx="6">
                  <c:v>282.05</c:v>
                </c:pt>
                <c:pt idx="7">
                  <c:v>287.51</c:v>
                </c:pt>
                <c:pt idx="8">
                  <c:v>285</c:v>
                </c:pt>
                <c:pt idx="9">
                  <c:v>307.45999999999998</c:v>
                </c:pt>
                <c:pt idx="10">
                  <c:v>313.08999999999997</c:v>
                </c:pt>
                <c:pt idx="11">
                  <c:v>312.57</c:v>
                </c:pt>
                <c:pt idx="12">
                  <c:v>308.20999999999998</c:v>
                </c:pt>
                <c:pt idx="13">
                  <c:v>310.06</c:v>
                </c:pt>
                <c:pt idx="14">
                  <c:v>307.41000000000003</c:v>
                </c:pt>
                <c:pt idx="15">
                  <c:v>304.73</c:v>
                </c:pt>
                <c:pt idx="16">
                  <c:v>300.85000000000002</c:v>
                </c:pt>
                <c:pt idx="17">
                  <c:v>306.77</c:v>
                </c:pt>
                <c:pt idx="18">
                  <c:v>312.42</c:v>
                </c:pt>
                <c:pt idx="19">
                  <c:v>306.38</c:v>
                </c:pt>
                <c:pt idx="20">
                  <c:v>309.13</c:v>
                </c:pt>
                <c:pt idx="21">
                  <c:v>313.72000000000003</c:v>
                </c:pt>
                <c:pt idx="22">
                  <c:v>314.98</c:v>
                </c:pt>
                <c:pt idx="23">
                  <c:v>304.86</c:v>
                </c:pt>
                <c:pt idx="24">
                  <c:v>305.69</c:v>
                </c:pt>
                <c:pt idx="25">
                  <c:v>297.17</c:v>
                </c:pt>
                <c:pt idx="26">
                  <c:v>289.95</c:v>
                </c:pt>
                <c:pt idx="27">
                  <c:v>288.52999999999997</c:v>
                </c:pt>
                <c:pt idx="28">
                  <c:v>290.39999999999998</c:v>
                </c:pt>
                <c:pt idx="29">
                  <c:v>297.44</c:v>
                </c:pt>
                <c:pt idx="30">
                  <c:v>304.12</c:v>
                </c:pt>
                <c:pt idx="31">
                  <c:v>304.48</c:v>
                </c:pt>
                <c:pt idx="32">
                  <c:v>303.20999999999998</c:v>
                </c:pt>
                <c:pt idx="33">
                  <c:v>308.58</c:v>
                </c:pt>
                <c:pt idx="34">
                  <c:v>305.67</c:v>
                </c:pt>
                <c:pt idx="35">
                  <c:v>301.77999999999997</c:v>
                </c:pt>
                <c:pt idx="36">
                  <c:v>302.62</c:v>
                </c:pt>
                <c:pt idx="37">
                  <c:v>307.99</c:v>
                </c:pt>
                <c:pt idx="38">
                  <c:v>307.94</c:v>
                </c:pt>
                <c:pt idx="39">
                  <c:v>309.18</c:v>
                </c:pt>
                <c:pt idx="40">
                  <c:v>310.48</c:v>
                </c:pt>
                <c:pt idx="41">
                  <c:v>312.67</c:v>
                </c:pt>
                <c:pt idx="42">
                  <c:v>310.74</c:v>
                </c:pt>
                <c:pt idx="43">
                  <c:v>309.24</c:v>
                </c:pt>
                <c:pt idx="44">
                  <c:v>308.66000000000003</c:v>
                </c:pt>
                <c:pt idx="45">
                  <c:v>303.18</c:v>
                </c:pt>
                <c:pt idx="46">
                  <c:v>303.32</c:v>
                </c:pt>
                <c:pt idx="47">
                  <c:v>300.45</c:v>
                </c:pt>
                <c:pt idx="48">
                  <c:v>300.98</c:v>
                </c:pt>
                <c:pt idx="49">
                  <c:v>302.79000000000002</c:v>
                </c:pt>
                <c:pt idx="50">
                  <c:v>303.77999999999997</c:v>
                </c:pt>
                <c:pt idx="51">
                  <c:v>304.56</c:v>
                </c:pt>
                <c:pt idx="52">
                  <c:v>305.08999999999997</c:v>
                </c:pt>
                <c:pt idx="53">
                  <c:v>305.74</c:v>
                </c:pt>
                <c:pt idx="54">
                  <c:v>302.05</c:v>
                </c:pt>
                <c:pt idx="55">
                  <c:v>296.20999999999998</c:v>
                </c:pt>
                <c:pt idx="56">
                  <c:v>291.5</c:v>
                </c:pt>
                <c:pt idx="57">
                  <c:v>294.97000000000003</c:v>
                </c:pt>
                <c:pt idx="58">
                  <c:v>302.47000000000003</c:v>
                </c:pt>
                <c:pt idx="59">
                  <c:v>296.73</c:v>
                </c:pt>
                <c:pt idx="60">
                  <c:v>302.72000000000003</c:v>
                </c:pt>
                <c:pt idx="61">
                  <c:v>304.22000000000003</c:v>
                </c:pt>
                <c:pt idx="62">
                  <c:v>312.18</c:v>
                </c:pt>
                <c:pt idx="63">
                  <c:v>303.16000000000003</c:v>
                </c:pt>
                <c:pt idx="64">
                  <c:v>309.02999999999997</c:v>
                </c:pt>
                <c:pt idx="65">
                  <c:v>297.95</c:v>
                </c:pt>
                <c:pt idx="66">
                  <c:v>305.67</c:v>
                </c:pt>
                <c:pt idx="67">
                  <c:v>291.35000000000002</c:v>
                </c:pt>
                <c:pt idx="68">
                  <c:v>297.54000000000002</c:v>
                </c:pt>
                <c:pt idx="69">
                  <c:v>294.67</c:v>
                </c:pt>
                <c:pt idx="70">
                  <c:v>292.44</c:v>
                </c:pt>
                <c:pt idx="71">
                  <c:v>296.33</c:v>
                </c:pt>
                <c:pt idx="72">
                  <c:v>293.86</c:v>
                </c:pt>
                <c:pt idx="73">
                  <c:v>294.16000000000003</c:v>
                </c:pt>
                <c:pt idx="74">
                  <c:v>309.24</c:v>
                </c:pt>
                <c:pt idx="75">
                  <c:v>306.7</c:v>
                </c:pt>
                <c:pt idx="76">
                  <c:v>314.73</c:v>
                </c:pt>
                <c:pt idx="77">
                  <c:v>294.31</c:v>
                </c:pt>
                <c:pt idx="78">
                  <c:v>289.05</c:v>
                </c:pt>
                <c:pt idx="79">
                  <c:v>289.89</c:v>
                </c:pt>
                <c:pt idx="80">
                  <c:v>298.93</c:v>
                </c:pt>
                <c:pt idx="81">
                  <c:v>296.33999999999997</c:v>
                </c:pt>
                <c:pt idx="82">
                  <c:v>291.76</c:v>
                </c:pt>
                <c:pt idx="83">
                  <c:v>272.81</c:v>
                </c:pt>
                <c:pt idx="84">
                  <c:v>259.52</c:v>
                </c:pt>
                <c:pt idx="85">
                  <c:v>262.38</c:v>
                </c:pt>
                <c:pt idx="86">
                  <c:v>258.31</c:v>
                </c:pt>
                <c:pt idx="87">
                  <c:v>260.79000000000002</c:v>
                </c:pt>
                <c:pt idx="88">
                  <c:v>256.27999999999997</c:v>
                </c:pt>
                <c:pt idx="89">
                  <c:v>257.16000000000003</c:v>
                </c:pt>
                <c:pt idx="90">
                  <c:v>223.35</c:v>
                </c:pt>
                <c:pt idx="91">
                  <c:v>229.32</c:v>
                </c:pt>
                <c:pt idx="92">
                  <c:v>237.54</c:v>
                </c:pt>
                <c:pt idx="93">
                  <c:v>242.01</c:v>
                </c:pt>
                <c:pt idx="94">
                  <c:v>240.21</c:v>
                </c:pt>
                <c:pt idx="95">
                  <c:v>239.37</c:v>
                </c:pt>
                <c:pt idx="96">
                  <c:v>245.28</c:v>
                </c:pt>
                <c:pt idx="97">
                  <c:v>250.06</c:v>
                </c:pt>
                <c:pt idx="98">
                  <c:v>256.55</c:v>
                </c:pt>
                <c:pt idx="99">
                  <c:v>258.85000000000002</c:v>
                </c:pt>
                <c:pt idx="100">
                  <c:v>253.33</c:v>
                </c:pt>
                <c:pt idx="101">
                  <c:v>250.2</c:v>
                </c:pt>
                <c:pt idx="102">
                  <c:v>248.87</c:v>
                </c:pt>
                <c:pt idx="103">
                  <c:v>247.68</c:v>
                </c:pt>
                <c:pt idx="104">
                  <c:v>246.28</c:v>
                </c:pt>
                <c:pt idx="105">
                  <c:v>249.25</c:v>
                </c:pt>
                <c:pt idx="106">
                  <c:v>256.11</c:v>
                </c:pt>
                <c:pt idx="107">
                  <c:v>251.6</c:v>
                </c:pt>
                <c:pt idx="108">
                  <c:v>250.37</c:v>
                </c:pt>
                <c:pt idx="109">
                  <c:v>241.77</c:v>
                </c:pt>
                <c:pt idx="110">
                  <c:v>248.44</c:v>
                </c:pt>
                <c:pt idx="111">
                  <c:v>240.59</c:v>
                </c:pt>
                <c:pt idx="112">
                  <c:v>241.39</c:v>
                </c:pt>
                <c:pt idx="113">
                  <c:v>241.67</c:v>
                </c:pt>
                <c:pt idx="114">
                  <c:v>236.34</c:v>
                </c:pt>
                <c:pt idx="115">
                  <c:v>237.25</c:v>
                </c:pt>
                <c:pt idx="116">
                  <c:v>242.39</c:v>
                </c:pt>
                <c:pt idx="117">
                  <c:v>243.14</c:v>
                </c:pt>
                <c:pt idx="118">
                  <c:v>248.16</c:v>
                </c:pt>
                <c:pt idx="119">
                  <c:v>246.74</c:v>
                </c:pt>
                <c:pt idx="120">
                  <c:v>245.07</c:v>
                </c:pt>
                <c:pt idx="121">
                  <c:v>241.74</c:v>
                </c:pt>
                <c:pt idx="122">
                  <c:v>237.18</c:v>
                </c:pt>
                <c:pt idx="123">
                  <c:v>230.76</c:v>
                </c:pt>
                <c:pt idx="124">
                  <c:v>237.82</c:v>
                </c:pt>
                <c:pt idx="125">
                  <c:v>240.27</c:v>
                </c:pt>
                <c:pt idx="126">
                  <c:v>244.8</c:v>
                </c:pt>
                <c:pt idx="127">
                  <c:v>251</c:v>
                </c:pt>
                <c:pt idx="128">
                  <c:v>253.47</c:v>
                </c:pt>
                <c:pt idx="129">
                  <c:v>253.71</c:v>
                </c:pt>
                <c:pt idx="130">
                  <c:v>255.68</c:v>
                </c:pt>
                <c:pt idx="131">
                  <c:v>251.86</c:v>
                </c:pt>
                <c:pt idx="132">
                  <c:v>231.08</c:v>
                </c:pt>
                <c:pt idx="133">
                  <c:v>231.98</c:v>
                </c:pt>
                <c:pt idx="134">
                  <c:v>228.05</c:v>
                </c:pt>
                <c:pt idx="135">
                  <c:v>233.04</c:v>
                </c:pt>
                <c:pt idx="136">
                  <c:v>227.1</c:v>
                </c:pt>
                <c:pt idx="137">
                  <c:v>230.98</c:v>
                </c:pt>
                <c:pt idx="138">
                  <c:v>232.2</c:v>
                </c:pt>
                <c:pt idx="139">
                  <c:v>229.48</c:v>
                </c:pt>
                <c:pt idx="140">
                  <c:v>229.03</c:v>
                </c:pt>
                <c:pt idx="141">
                  <c:v>225.74</c:v>
                </c:pt>
                <c:pt idx="142">
                  <c:v>231.31</c:v>
                </c:pt>
                <c:pt idx="143">
                  <c:v>229.76</c:v>
                </c:pt>
                <c:pt idx="144">
                  <c:v>223.55</c:v>
                </c:pt>
                <c:pt idx="145">
                  <c:v>219.22</c:v>
                </c:pt>
                <c:pt idx="146">
                  <c:v>214.64</c:v>
                </c:pt>
                <c:pt idx="147">
                  <c:v>218.37</c:v>
                </c:pt>
                <c:pt idx="148">
                  <c:v>219.3</c:v>
                </c:pt>
                <c:pt idx="149">
                  <c:v>222.75</c:v>
                </c:pt>
                <c:pt idx="150">
                  <c:v>222.33</c:v>
                </c:pt>
                <c:pt idx="151">
                  <c:v>225</c:v>
                </c:pt>
                <c:pt idx="152">
                  <c:v>252.97</c:v>
                </c:pt>
                <c:pt idx="153">
                  <c:v>253.84</c:v>
                </c:pt>
                <c:pt idx="154">
                  <c:v>250.69</c:v>
                </c:pt>
                <c:pt idx="155">
                  <c:v>255.2</c:v>
                </c:pt>
                <c:pt idx="156">
                  <c:v>264.22000000000003</c:v>
                </c:pt>
                <c:pt idx="157">
                  <c:v>297.8</c:v>
                </c:pt>
                <c:pt idx="158">
                  <c:v>320.42</c:v>
                </c:pt>
                <c:pt idx="159">
                  <c:v>329.23</c:v>
                </c:pt>
                <c:pt idx="160">
                  <c:v>305.63</c:v>
                </c:pt>
                <c:pt idx="161">
                  <c:v>301.77</c:v>
                </c:pt>
                <c:pt idx="162">
                  <c:v>284.83999999999997</c:v>
                </c:pt>
                <c:pt idx="163">
                  <c:v>280.82</c:v>
                </c:pt>
                <c:pt idx="164">
                  <c:v>277.49</c:v>
                </c:pt>
                <c:pt idx="165">
                  <c:v>272.36</c:v>
                </c:pt>
                <c:pt idx="166">
                  <c:v>274.85000000000002</c:v>
                </c:pt>
                <c:pt idx="167">
                  <c:v>272.24</c:v>
                </c:pt>
                <c:pt idx="168">
                  <c:v>268.70999999999998</c:v>
                </c:pt>
                <c:pt idx="169">
                  <c:v>270.81</c:v>
                </c:pt>
                <c:pt idx="170">
                  <c:v>262.35000000000002</c:v>
                </c:pt>
                <c:pt idx="171">
                  <c:v>249.1</c:v>
                </c:pt>
                <c:pt idx="172">
                  <c:v>252.22</c:v>
                </c:pt>
                <c:pt idx="173">
                  <c:v>264.94</c:v>
                </c:pt>
                <c:pt idx="174">
                  <c:v>262.95999999999998</c:v>
                </c:pt>
                <c:pt idx="175">
                  <c:v>258.27</c:v>
                </c:pt>
                <c:pt idx="176">
                  <c:v>271.63</c:v>
                </c:pt>
                <c:pt idx="177">
                  <c:v>278</c:v>
                </c:pt>
                <c:pt idx="178">
                  <c:v>281.20999999999998</c:v>
                </c:pt>
                <c:pt idx="179">
                  <c:v>286.25</c:v>
                </c:pt>
                <c:pt idx="180">
                  <c:v>289.52</c:v>
                </c:pt>
                <c:pt idx="181">
                  <c:v>299.52</c:v>
                </c:pt>
                <c:pt idx="182">
                  <c:v>306.13</c:v>
                </c:pt>
                <c:pt idx="183">
                  <c:v>302.05</c:v>
                </c:pt>
                <c:pt idx="184">
                  <c:v>295.3</c:v>
                </c:pt>
                <c:pt idx="185">
                  <c:v>287.56</c:v>
                </c:pt>
                <c:pt idx="186">
                  <c:v>290.23</c:v>
                </c:pt>
                <c:pt idx="187">
                  <c:v>217.07</c:v>
                </c:pt>
                <c:pt idx="188">
                  <c:v>211.2</c:v>
                </c:pt>
                <c:pt idx="189">
                  <c:v>219.05</c:v>
                </c:pt>
                <c:pt idx="190">
                  <c:v>212.67</c:v>
                </c:pt>
                <c:pt idx="191">
                  <c:v>213</c:v>
                </c:pt>
                <c:pt idx="192">
                  <c:v>210.5</c:v>
                </c:pt>
                <c:pt idx="193">
                  <c:v>205.77</c:v>
                </c:pt>
                <c:pt idx="194">
                  <c:v>206.65</c:v>
                </c:pt>
                <c:pt idx="195">
                  <c:v>214.19</c:v>
                </c:pt>
                <c:pt idx="196">
                  <c:v>216.28</c:v>
                </c:pt>
                <c:pt idx="197">
                  <c:v>227.55</c:v>
                </c:pt>
                <c:pt idx="198">
                  <c:v>226.44</c:v>
                </c:pt>
                <c:pt idx="199">
                  <c:v>221.74</c:v>
                </c:pt>
                <c:pt idx="200">
                  <c:v>223.65</c:v>
                </c:pt>
                <c:pt idx="201">
                  <c:v>226.31</c:v>
                </c:pt>
                <c:pt idx="202">
                  <c:v>235.15</c:v>
                </c:pt>
                <c:pt idx="203">
                  <c:v>235.92</c:v>
                </c:pt>
                <c:pt idx="204">
                  <c:v>233.43</c:v>
                </c:pt>
                <c:pt idx="205">
                  <c:v>237.28</c:v>
                </c:pt>
                <c:pt idx="206">
                  <c:v>236.31</c:v>
                </c:pt>
                <c:pt idx="207">
                  <c:v>238.42</c:v>
                </c:pt>
                <c:pt idx="208">
                  <c:v>235.98</c:v>
                </c:pt>
                <c:pt idx="209">
                  <c:v>237.14</c:v>
                </c:pt>
                <c:pt idx="210">
                  <c:v>234.32</c:v>
                </c:pt>
                <c:pt idx="211">
                  <c:v>228.85</c:v>
                </c:pt>
                <c:pt idx="212">
                  <c:v>232.67</c:v>
                </c:pt>
                <c:pt idx="213">
                  <c:v>237.16</c:v>
                </c:pt>
                <c:pt idx="214">
                  <c:v>233.69</c:v>
                </c:pt>
                <c:pt idx="215">
                  <c:v>235.68</c:v>
                </c:pt>
                <c:pt idx="216">
                  <c:v>231.04</c:v>
                </c:pt>
                <c:pt idx="217">
                  <c:v>234.19</c:v>
                </c:pt>
                <c:pt idx="218">
                  <c:v>229.87</c:v>
                </c:pt>
                <c:pt idx="219">
                  <c:v>238.79</c:v>
                </c:pt>
                <c:pt idx="220">
                  <c:v>235.59</c:v>
                </c:pt>
                <c:pt idx="221">
                  <c:v>233.87</c:v>
                </c:pt>
                <c:pt idx="222">
                  <c:v>231.4</c:v>
                </c:pt>
                <c:pt idx="223">
                  <c:v>231.7</c:v>
                </c:pt>
                <c:pt idx="224">
                  <c:v>234.71</c:v>
                </c:pt>
                <c:pt idx="225">
                  <c:v>234.89</c:v>
                </c:pt>
                <c:pt idx="226">
                  <c:v>232.09</c:v>
                </c:pt>
                <c:pt idx="227">
                  <c:v>239.94</c:v>
                </c:pt>
                <c:pt idx="228">
                  <c:v>234.02</c:v>
                </c:pt>
                <c:pt idx="229">
                  <c:v>243.29</c:v>
                </c:pt>
                <c:pt idx="230">
                  <c:v>249.09</c:v>
                </c:pt>
                <c:pt idx="231">
                  <c:v>248.37</c:v>
                </c:pt>
                <c:pt idx="232">
                  <c:v>237.49</c:v>
                </c:pt>
                <c:pt idx="233">
                  <c:v>237.75</c:v>
                </c:pt>
                <c:pt idx="234">
                  <c:v>229.55</c:v>
                </c:pt>
                <c:pt idx="235">
                  <c:v>231.93</c:v>
                </c:pt>
                <c:pt idx="236">
                  <c:v>231.38</c:v>
                </c:pt>
                <c:pt idx="237">
                  <c:v>232.76</c:v>
                </c:pt>
                <c:pt idx="238">
                  <c:v>227.06</c:v>
                </c:pt>
                <c:pt idx="239">
                  <c:v>225.51</c:v>
                </c:pt>
                <c:pt idx="240">
                  <c:v>220.67</c:v>
                </c:pt>
                <c:pt idx="241">
                  <c:v>219.99</c:v>
                </c:pt>
                <c:pt idx="242">
                  <c:v>219.93</c:v>
                </c:pt>
                <c:pt idx="243">
                  <c:v>225.62</c:v>
                </c:pt>
                <c:pt idx="244">
                  <c:v>222.64</c:v>
                </c:pt>
                <c:pt idx="245">
                  <c:v>221.58</c:v>
                </c:pt>
                <c:pt idx="246">
                  <c:v>221.29</c:v>
                </c:pt>
                <c:pt idx="247">
                  <c:v>220.51</c:v>
                </c:pt>
                <c:pt idx="248">
                  <c:v>226.61</c:v>
                </c:pt>
                <c:pt idx="249">
                  <c:v>227.13</c:v>
                </c:pt>
              </c:numCache>
            </c:numRef>
          </c:val>
          <c:smooth val="0"/>
          <c:extLst>
            <c:ext xmlns:c16="http://schemas.microsoft.com/office/drawing/2014/chart" uri="{C3380CC4-5D6E-409C-BE32-E72D297353CC}">
              <c16:uniqueId val="{00000000-73A9-4C1B-96C2-7D8103E54458}"/>
            </c:ext>
          </c:extLst>
        </c:ser>
        <c:dLbls>
          <c:showLegendKey val="0"/>
          <c:showVal val="0"/>
          <c:showCatName val="0"/>
          <c:showSerName val="0"/>
          <c:showPercent val="0"/>
          <c:showBubbleSize val="0"/>
        </c:dLbls>
        <c:smooth val="0"/>
        <c:axId val="48650112"/>
        <c:axId val="48672768"/>
      </c:lineChart>
      <c:dateAx>
        <c:axId val="48650112"/>
        <c:scaling>
          <c:orientation val="minMax"/>
        </c:scaling>
        <c:delete val="0"/>
        <c:axPos val="b"/>
        <c:majorGridlines>
          <c:spPr>
            <a:ln w="9525">
              <a:solidFill>
                <a:srgbClr val="CCCCCC"/>
              </a:solidFill>
              <a:prstDash val="dash"/>
            </a:ln>
          </c:spPr>
        </c:majorGridlines>
        <c:numFmt formatCode="m/d/yyyy" sourceLinked="1"/>
        <c:majorTickMark val="none"/>
        <c:minorTickMark val="none"/>
        <c:tickLblPos val="nextTo"/>
        <c:txPr>
          <a:bodyPr anchorCtr="1"/>
          <a:lstStyle/>
          <a:p>
            <a:pPr>
              <a:defRPr sz="675">
                <a:latin typeface="Arial"/>
                <a:ea typeface="Arial"/>
                <a:cs typeface="Arial"/>
              </a:defRPr>
            </a:pPr>
            <a:endParaRPr lang="en-US"/>
          </a:p>
        </c:txPr>
        <c:crossAx val="48672768"/>
        <c:crosses val="autoZero"/>
        <c:auto val="1"/>
        <c:lblOffset val="100"/>
        <c:baseTimeUnit val="days"/>
        <c:majorUnit val="62"/>
      </c:dateAx>
      <c:valAx>
        <c:axId val="48672768"/>
        <c:scaling>
          <c:orientation val="minMax"/>
          <c:max val="336"/>
          <c:min val="201"/>
        </c:scaling>
        <c:delete val="0"/>
        <c:axPos val="l"/>
        <c:majorGridlines>
          <c:spPr>
            <a:ln w="9525">
              <a:solidFill>
                <a:srgbClr val="CCCCCC"/>
              </a:solidFill>
              <a:prstDash val="dash"/>
            </a:ln>
          </c:spPr>
        </c:majorGridlines>
        <c:numFmt formatCode="0.00" sourceLinked="0"/>
        <c:majorTickMark val="none"/>
        <c:minorTickMark val="none"/>
        <c:tickLblPos val="nextTo"/>
        <c:txPr>
          <a:bodyPr anchorCtr="1"/>
          <a:lstStyle/>
          <a:p>
            <a:pPr>
              <a:defRPr sz="675">
                <a:latin typeface="Arial"/>
                <a:ea typeface="Arial"/>
                <a:cs typeface="Arial"/>
              </a:defRPr>
            </a:pPr>
            <a:endParaRPr lang="en-US"/>
          </a:p>
        </c:txPr>
        <c:crossAx val="48650112"/>
        <c:crosses val="autoZero"/>
        <c:crossBetween val="between"/>
      </c:valAx>
    </c:plotArea>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US" sz="750"/>
              <a:t>Daily close (USD)</a:t>
            </a:r>
          </a:p>
        </c:rich>
      </c:tx>
      <c:overlay val="0"/>
    </c:title>
    <c:autoTitleDeleted val="0"/>
    <c:plotArea>
      <c:layout/>
      <c:lineChart>
        <c:grouping val="standard"/>
        <c:varyColors val="0"/>
        <c:ser>
          <c:idx val="0"/>
          <c:order val="0"/>
          <c:tx>
            <c:v>Chart price / NAV</c:v>
          </c:tx>
          <c:spPr>
            <a:ln w="19050">
              <a:solidFill>
                <a:srgbClr val="2D67DF"/>
              </a:solidFill>
              <a:prstDash val="solid"/>
            </a:ln>
          </c:spPr>
          <c:marker>
            <c:symbol val="none"/>
          </c:marker>
          <c:cat>
            <c:numRef>
              <c:f>'ETF Data'!$AJ$2:$AJ$251</c:f>
              <c:numCache>
                <c:formatCode>m/d/yyyy</c:formatCode>
                <c:ptCount val="250"/>
                <c:pt idx="0">
                  <c:v>45943</c:v>
                </c:pt>
                <c:pt idx="1">
                  <c:v>45944</c:v>
                </c:pt>
                <c:pt idx="2">
                  <c:v>45945</c:v>
                </c:pt>
                <c:pt idx="3">
                  <c:v>45946</c:v>
                </c:pt>
                <c:pt idx="4">
                  <c:v>45947</c:v>
                </c:pt>
                <c:pt idx="5">
                  <c:v>45950</c:v>
                </c:pt>
                <c:pt idx="6">
                  <c:v>45951</c:v>
                </c:pt>
                <c:pt idx="7">
                  <c:v>45952</c:v>
                </c:pt>
                <c:pt idx="8">
                  <c:v>45953</c:v>
                </c:pt>
                <c:pt idx="9">
                  <c:v>45954</c:v>
                </c:pt>
                <c:pt idx="10">
                  <c:v>45957</c:v>
                </c:pt>
                <c:pt idx="11">
                  <c:v>45958</c:v>
                </c:pt>
                <c:pt idx="12">
                  <c:v>45959</c:v>
                </c:pt>
                <c:pt idx="13">
                  <c:v>45960</c:v>
                </c:pt>
                <c:pt idx="14">
                  <c:v>45961</c:v>
                </c:pt>
                <c:pt idx="15">
                  <c:v>45964</c:v>
                </c:pt>
                <c:pt idx="16">
                  <c:v>45965</c:v>
                </c:pt>
                <c:pt idx="17">
                  <c:v>45966</c:v>
                </c:pt>
                <c:pt idx="18">
                  <c:v>45967</c:v>
                </c:pt>
                <c:pt idx="19">
                  <c:v>45968</c:v>
                </c:pt>
                <c:pt idx="20">
                  <c:v>45971</c:v>
                </c:pt>
                <c:pt idx="21">
                  <c:v>45972</c:v>
                </c:pt>
                <c:pt idx="22">
                  <c:v>45973</c:v>
                </c:pt>
                <c:pt idx="23">
                  <c:v>45974</c:v>
                </c:pt>
                <c:pt idx="24">
                  <c:v>45975</c:v>
                </c:pt>
                <c:pt idx="25">
                  <c:v>45978</c:v>
                </c:pt>
                <c:pt idx="26">
                  <c:v>45979</c:v>
                </c:pt>
                <c:pt idx="27">
                  <c:v>45980</c:v>
                </c:pt>
                <c:pt idx="28">
                  <c:v>45981</c:v>
                </c:pt>
                <c:pt idx="29">
                  <c:v>45982</c:v>
                </c:pt>
                <c:pt idx="30">
                  <c:v>45985</c:v>
                </c:pt>
                <c:pt idx="31">
                  <c:v>45986</c:v>
                </c:pt>
                <c:pt idx="32">
                  <c:v>45987</c:v>
                </c:pt>
                <c:pt idx="33">
                  <c:v>45989</c:v>
                </c:pt>
                <c:pt idx="34">
                  <c:v>45992</c:v>
                </c:pt>
                <c:pt idx="35">
                  <c:v>45993</c:v>
                </c:pt>
                <c:pt idx="36">
                  <c:v>45994</c:v>
                </c:pt>
                <c:pt idx="37">
                  <c:v>45995</c:v>
                </c:pt>
                <c:pt idx="38">
                  <c:v>45996</c:v>
                </c:pt>
                <c:pt idx="39">
                  <c:v>45999</c:v>
                </c:pt>
                <c:pt idx="40">
                  <c:v>46000</c:v>
                </c:pt>
                <c:pt idx="41">
                  <c:v>46001</c:v>
                </c:pt>
                <c:pt idx="42">
                  <c:v>46002</c:v>
                </c:pt>
                <c:pt idx="43">
                  <c:v>46003</c:v>
                </c:pt>
                <c:pt idx="44">
                  <c:v>46006</c:v>
                </c:pt>
                <c:pt idx="45">
                  <c:v>46007</c:v>
                </c:pt>
                <c:pt idx="46">
                  <c:v>46008</c:v>
                </c:pt>
                <c:pt idx="47">
                  <c:v>46009</c:v>
                </c:pt>
                <c:pt idx="48">
                  <c:v>46010</c:v>
                </c:pt>
                <c:pt idx="49">
                  <c:v>46013</c:v>
                </c:pt>
                <c:pt idx="50">
                  <c:v>46014</c:v>
                </c:pt>
                <c:pt idx="51">
                  <c:v>46015</c:v>
                </c:pt>
                <c:pt idx="52">
                  <c:v>46017</c:v>
                </c:pt>
                <c:pt idx="53">
                  <c:v>46020</c:v>
                </c:pt>
                <c:pt idx="54">
                  <c:v>46021</c:v>
                </c:pt>
                <c:pt idx="55">
                  <c:v>46022</c:v>
                </c:pt>
                <c:pt idx="56">
                  <c:v>46024</c:v>
                </c:pt>
                <c:pt idx="57">
                  <c:v>46027</c:v>
                </c:pt>
                <c:pt idx="58">
                  <c:v>46028</c:v>
                </c:pt>
                <c:pt idx="59">
                  <c:v>46029</c:v>
                </c:pt>
                <c:pt idx="60">
                  <c:v>46030</c:v>
                </c:pt>
                <c:pt idx="61">
                  <c:v>46031</c:v>
                </c:pt>
                <c:pt idx="62">
                  <c:v>46034</c:v>
                </c:pt>
                <c:pt idx="63">
                  <c:v>46035</c:v>
                </c:pt>
                <c:pt idx="64">
                  <c:v>46036</c:v>
                </c:pt>
                <c:pt idx="65">
                  <c:v>46037</c:v>
                </c:pt>
                <c:pt idx="66">
                  <c:v>46038</c:v>
                </c:pt>
                <c:pt idx="67">
                  <c:v>46042</c:v>
                </c:pt>
                <c:pt idx="68">
                  <c:v>46043</c:v>
                </c:pt>
                <c:pt idx="69">
                  <c:v>46044</c:v>
                </c:pt>
                <c:pt idx="70">
                  <c:v>46045</c:v>
                </c:pt>
                <c:pt idx="71">
                  <c:v>46048</c:v>
                </c:pt>
                <c:pt idx="72">
                  <c:v>46049</c:v>
                </c:pt>
                <c:pt idx="73">
                  <c:v>46050</c:v>
                </c:pt>
                <c:pt idx="74">
                  <c:v>46051</c:v>
                </c:pt>
                <c:pt idx="75">
                  <c:v>46052</c:v>
                </c:pt>
                <c:pt idx="76">
                  <c:v>46055</c:v>
                </c:pt>
                <c:pt idx="77">
                  <c:v>46056</c:v>
                </c:pt>
                <c:pt idx="78">
                  <c:v>46057</c:v>
                </c:pt>
                <c:pt idx="79">
                  <c:v>46058</c:v>
                </c:pt>
                <c:pt idx="80">
                  <c:v>46059</c:v>
                </c:pt>
                <c:pt idx="81">
                  <c:v>46062</c:v>
                </c:pt>
                <c:pt idx="82">
                  <c:v>46063</c:v>
                </c:pt>
                <c:pt idx="83">
                  <c:v>46064</c:v>
                </c:pt>
                <c:pt idx="84">
                  <c:v>46065</c:v>
                </c:pt>
                <c:pt idx="85">
                  <c:v>46066</c:v>
                </c:pt>
                <c:pt idx="86">
                  <c:v>46070</c:v>
                </c:pt>
                <c:pt idx="87">
                  <c:v>46071</c:v>
                </c:pt>
                <c:pt idx="88">
                  <c:v>46072</c:v>
                </c:pt>
                <c:pt idx="89">
                  <c:v>46073</c:v>
                </c:pt>
                <c:pt idx="90">
                  <c:v>46076</c:v>
                </c:pt>
                <c:pt idx="91">
                  <c:v>46077</c:v>
                </c:pt>
                <c:pt idx="92">
                  <c:v>46078</c:v>
                </c:pt>
                <c:pt idx="93">
                  <c:v>46079</c:v>
                </c:pt>
                <c:pt idx="94">
                  <c:v>46080</c:v>
                </c:pt>
                <c:pt idx="95">
                  <c:v>46083</c:v>
                </c:pt>
                <c:pt idx="96">
                  <c:v>46084</c:v>
                </c:pt>
                <c:pt idx="97">
                  <c:v>46085</c:v>
                </c:pt>
                <c:pt idx="98">
                  <c:v>46086</c:v>
                </c:pt>
                <c:pt idx="99">
                  <c:v>46087</c:v>
                </c:pt>
                <c:pt idx="100">
                  <c:v>46090</c:v>
                </c:pt>
                <c:pt idx="101">
                  <c:v>46091</c:v>
                </c:pt>
                <c:pt idx="102">
                  <c:v>46092</c:v>
                </c:pt>
                <c:pt idx="103">
                  <c:v>46093</c:v>
                </c:pt>
                <c:pt idx="104">
                  <c:v>46094</c:v>
                </c:pt>
                <c:pt idx="105">
                  <c:v>46097</c:v>
                </c:pt>
                <c:pt idx="106">
                  <c:v>46098</c:v>
                </c:pt>
                <c:pt idx="107">
                  <c:v>46099</c:v>
                </c:pt>
                <c:pt idx="108">
                  <c:v>46100</c:v>
                </c:pt>
                <c:pt idx="109">
                  <c:v>46101</c:v>
                </c:pt>
                <c:pt idx="110">
                  <c:v>46104</c:v>
                </c:pt>
                <c:pt idx="111">
                  <c:v>46105</c:v>
                </c:pt>
                <c:pt idx="112">
                  <c:v>46106</c:v>
                </c:pt>
                <c:pt idx="113">
                  <c:v>46107</c:v>
                </c:pt>
                <c:pt idx="114">
                  <c:v>46108</c:v>
                </c:pt>
                <c:pt idx="115">
                  <c:v>46111</c:v>
                </c:pt>
                <c:pt idx="116">
                  <c:v>46112</c:v>
                </c:pt>
                <c:pt idx="117">
                  <c:v>46113</c:v>
                </c:pt>
                <c:pt idx="118">
                  <c:v>46114</c:v>
                </c:pt>
                <c:pt idx="119">
                  <c:v>46118</c:v>
                </c:pt>
                <c:pt idx="120">
                  <c:v>46119</c:v>
                </c:pt>
                <c:pt idx="121">
                  <c:v>46120</c:v>
                </c:pt>
                <c:pt idx="122">
                  <c:v>46121</c:v>
                </c:pt>
                <c:pt idx="123">
                  <c:v>46122</c:v>
                </c:pt>
                <c:pt idx="124">
                  <c:v>46125</c:v>
                </c:pt>
                <c:pt idx="125">
                  <c:v>46126</c:v>
                </c:pt>
                <c:pt idx="126">
                  <c:v>46127</c:v>
                </c:pt>
                <c:pt idx="127">
                  <c:v>46128</c:v>
                </c:pt>
                <c:pt idx="128">
                  <c:v>46129</c:v>
                </c:pt>
                <c:pt idx="129">
                  <c:v>46132</c:v>
                </c:pt>
                <c:pt idx="130">
                  <c:v>46133</c:v>
                </c:pt>
                <c:pt idx="131">
                  <c:v>46134</c:v>
                </c:pt>
                <c:pt idx="132">
                  <c:v>46135</c:v>
                </c:pt>
                <c:pt idx="133">
                  <c:v>46136</c:v>
                </c:pt>
                <c:pt idx="134">
                  <c:v>46139</c:v>
                </c:pt>
                <c:pt idx="135">
                  <c:v>46140</c:v>
                </c:pt>
                <c:pt idx="136">
                  <c:v>46141</c:v>
                </c:pt>
                <c:pt idx="137">
                  <c:v>46142</c:v>
                </c:pt>
                <c:pt idx="138">
                  <c:v>46143</c:v>
                </c:pt>
                <c:pt idx="139">
                  <c:v>46146</c:v>
                </c:pt>
                <c:pt idx="140">
                  <c:v>46147</c:v>
                </c:pt>
                <c:pt idx="141">
                  <c:v>46148</c:v>
                </c:pt>
                <c:pt idx="142">
                  <c:v>46149</c:v>
                </c:pt>
                <c:pt idx="143">
                  <c:v>46150</c:v>
                </c:pt>
                <c:pt idx="144">
                  <c:v>46153</c:v>
                </c:pt>
                <c:pt idx="145">
                  <c:v>46154</c:v>
                </c:pt>
                <c:pt idx="146">
                  <c:v>46155</c:v>
                </c:pt>
                <c:pt idx="147">
                  <c:v>46156</c:v>
                </c:pt>
                <c:pt idx="148">
                  <c:v>46157</c:v>
                </c:pt>
                <c:pt idx="149">
                  <c:v>46160</c:v>
                </c:pt>
                <c:pt idx="150">
                  <c:v>46161</c:v>
                </c:pt>
                <c:pt idx="151">
                  <c:v>46162</c:v>
                </c:pt>
                <c:pt idx="152">
                  <c:v>46163</c:v>
                </c:pt>
                <c:pt idx="153">
                  <c:v>46164</c:v>
                </c:pt>
                <c:pt idx="154">
                  <c:v>46168</c:v>
                </c:pt>
                <c:pt idx="155">
                  <c:v>46169</c:v>
                </c:pt>
                <c:pt idx="156">
                  <c:v>46170</c:v>
                </c:pt>
                <c:pt idx="157">
                  <c:v>46171</c:v>
                </c:pt>
                <c:pt idx="158">
                  <c:v>46174</c:v>
                </c:pt>
                <c:pt idx="159">
                  <c:v>46175</c:v>
                </c:pt>
                <c:pt idx="160">
                  <c:v>46176</c:v>
                </c:pt>
                <c:pt idx="161">
                  <c:v>46177</c:v>
                </c:pt>
                <c:pt idx="162">
                  <c:v>46178</c:v>
                </c:pt>
                <c:pt idx="163">
                  <c:v>46181</c:v>
                </c:pt>
                <c:pt idx="164">
                  <c:v>46182</c:v>
                </c:pt>
                <c:pt idx="165">
                  <c:v>46183</c:v>
                </c:pt>
                <c:pt idx="166">
                  <c:v>46184</c:v>
                </c:pt>
                <c:pt idx="167">
                  <c:v>46185</c:v>
                </c:pt>
                <c:pt idx="168">
                  <c:v>46188</c:v>
                </c:pt>
                <c:pt idx="169">
                  <c:v>46189</c:v>
                </c:pt>
                <c:pt idx="170">
                  <c:v>46190</c:v>
                </c:pt>
                <c:pt idx="171">
                  <c:v>46191</c:v>
                </c:pt>
                <c:pt idx="172">
                  <c:v>46195</c:v>
                </c:pt>
                <c:pt idx="173">
                  <c:v>46196</c:v>
                </c:pt>
                <c:pt idx="174">
                  <c:v>46197</c:v>
                </c:pt>
                <c:pt idx="175">
                  <c:v>46198</c:v>
                </c:pt>
                <c:pt idx="176">
                  <c:v>46199</c:v>
                </c:pt>
                <c:pt idx="177">
                  <c:v>46202</c:v>
                </c:pt>
                <c:pt idx="178">
                  <c:v>46203</c:v>
                </c:pt>
                <c:pt idx="179">
                  <c:v>46204</c:v>
                </c:pt>
                <c:pt idx="180">
                  <c:v>46205</c:v>
                </c:pt>
                <c:pt idx="181">
                  <c:v>46209</c:v>
                </c:pt>
                <c:pt idx="182">
                  <c:v>46210</c:v>
                </c:pt>
                <c:pt idx="183">
                  <c:v>46211</c:v>
                </c:pt>
                <c:pt idx="184">
                  <c:v>46212</c:v>
                </c:pt>
                <c:pt idx="185">
                  <c:v>46213</c:v>
                </c:pt>
                <c:pt idx="186">
                  <c:v>46216</c:v>
                </c:pt>
                <c:pt idx="187">
                  <c:v>46217</c:v>
                </c:pt>
                <c:pt idx="188">
                  <c:v>46218</c:v>
                </c:pt>
                <c:pt idx="189">
                  <c:v>46219</c:v>
                </c:pt>
                <c:pt idx="190">
                  <c:v>46220</c:v>
                </c:pt>
                <c:pt idx="191">
                  <c:v>46223</c:v>
                </c:pt>
                <c:pt idx="192">
                  <c:v>46224</c:v>
                </c:pt>
                <c:pt idx="193">
                  <c:v>46225</c:v>
                </c:pt>
                <c:pt idx="194">
                  <c:v>46226</c:v>
                </c:pt>
                <c:pt idx="195">
                  <c:v>46227</c:v>
                </c:pt>
                <c:pt idx="196">
                  <c:v>46230</c:v>
                </c:pt>
                <c:pt idx="197">
                  <c:v>46231</c:v>
                </c:pt>
                <c:pt idx="198">
                  <c:v>46232</c:v>
                </c:pt>
                <c:pt idx="199">
                  <c:v>46233</c:v>
                </c:pt>
                <c:pt idx="200">
                  <c:v>46234</c:v>
                </c:pt>
                <c:pt idx="201">
                  <c:v>46237</c:v>
                </c:pt>
                <c:pt idx="202">
                  <c:v>46238</c:v>
                </c:pt>
                <c:pt idx="203">
                  <c:v>46239</c:v>
                </c:pt>
                <c:pt idx="204">
                  <c:v>46240</c:v>
                </c:pt>
                <c:pt idx="205">
                  <c:v>46241</c:v>
                </c:pt>
                <c:pt idx="206">
                  <c:v>46244</c:v>
                </c:pt>
                <c:pt idx="207">
                  <c:v>46245</c:v>
                </c:pt>
                <c:pt idx="208">
                  <c:v>46246</c:v>
                </c:pt>
                <c:pt idx="209">
                  <c:v>46247</c:v>
                </c:pt>
                <c:pt idx="210">
                  <c:v>46248</c:v>
                </c:pt>
                <c:pt idx="211">
                  <c:v>46251</c:v>
                </c:pt>
                <c:pt idx="212">
                  <c:v>46252</c:v>
                </c:pt>
                <c:pt idx="213">
                  <c:v>46253</c:v>
                </c:pt>
                <c:pt idx="214">
                  <c:v>46254</c:v>
                </c:pt>
                <c:pt idx="215">
                  <c:v>46255</c:v>
                </c:pt>
                <c:pt idx="216">
                  <c:v>46258</c:v>
                </c:pt>
                <c:pt idx="217">
                  <c:v>46259</c:v>
                </c:pt>
                <c:pt idx="218">
                  <c:v>46260</c:v>
                </c:pt>
                <c:pt idx="219">
                  <c:v>46261</c:v>
                </c:pt>
                <c:pt idx="220">
                  <c:v>46262</c:v>
                </c:pt>
                <c:pt idx="221">
                  <c:v>46265</c:v>
                </c:pt>
                <c:pt idx="222">
                  <c:v>46266</c:v>
                </c:pt>
                <c:pt idx="223">
                  <c:v>46267</c:v>
                </c:pt>
                <c:pt idx="224">
                  <c:v>46268</c:v>
                </c:pt>
                <c:pt idx="225">
                  <c:v>46269</c:v>
                </c:pt>
                <c:pt idx="226">
                  <c:v>46273</c:v>
                </c:pt>
                <c:pt idx="227">
                  <c:v>46274</c:v>
                </c:pt>
                <c:pt idx="228">
                  <c:v>46275</c:v>
                </c:pt>
                <c:pt idx="229">
                  <c:v>46276</c:v>
                </c:pt>
                <c:pt idx="230">
                  <c:v>46279</c:v>
                </c:pt>
                <c:pt idx="231">
                  <c:v>46280</c:v>
                </c:pt>
                <c:pt idx="232">
                  <c:v>46281</c:v>
                </c:pt>
                <c:pt idx="233">
                  <c:v>46282</c:v>
                </c:pt>
                <c:pt idx="234">
                  <c:v>46283</c:v>
                </c:pt>
                <c:pt idx="235">
                  <c:v>46286</c:v>
                </c:pt>
                <c:pt idx="236">
                  <c:v>46287</c:v>
                </c:pt>
                <c:pt idx="237">
                  <c:v>46288</c:v>
                </c:pt>
                <c:pt idx="238">
                  <c:v>46289</c:v>
                </c:pt>
                <c:pt idx="239">
                  <c:v>46290</c:v>
                </c:pt>
                <c:pt idx="240">
                  <c:v>46293</c:v>
                </c:pt>
                <c:pt idx="241">
                  <c:v>46294</c:v>
                </c:pt>
                <c:pt idx="242">
                  <c:v>46295</c:v>
                </c:pt>
                <c:pt idx="243">
                  <c:v>46296</c:v>
                </c:pt>
                <c:pt idx="244">
                  <c:v>46297</c:v>
                </c:pt>
                <c:pt idx="245">
                  <c:v>46300</c:v>
                </c:pt>
                <c:pt idx="246">
                  <c:v>46301</c:v>
                </c:pt>
                <c:pt idx="247">
                  <c:v>46302</c:v>
                </c:pt>
                <c:pt idx="248">
                  <c:v>46303</c:v>
                </c:pt>
                <c:pt idx="249">
                  <c:v>46304</c:v>
                </c:pt>
              </c:numCache>
            </c:numRef>
          </c:cat>
          <c:val>
            <c:numRef>
              <c:f>'ETF Data'!$AN$2:$AN$251</c:f>
              <c:numCache>
                <c:formatCode>General</c:formatCode>
                <c:ptCount val="250"/>
                <c:pt idx="0">
                  <c:v>663.04</c:v>
                </c:pt>
                <c:pt idx="1">
                  <c:v>662.23</c:v>
                </c:pt>
                <c:pt idx="2">
                  <c:v>665.17</c:v>
                </c:pt>
                <c:pt idx="3">
                  <c:v>660.64</c:v>
                </c:pt>
                <c:pt idx="4">
                  <c:v>664.39</c:v>
                </c:pt>
                <c:pt idx="5">
                  <c:v>671.3</c:v>
                </c:pt>
                <c:pt idx="6">
                  <c:v>671.29</c:v>
                </c:pt>
                <c:pt idx="7">
                  <c:v>667.8</c:v>
                </c:pt>
                <c:pt idx="8">
                  <c:v>671.76</c:v>
                </c:pt>
                <c:pt idx="9">
                  <c:v>677.25</c:v>
                </c:pt>
                <c:pt idx="10">
                  <c:v>685.24</c:v>
                </c:pt>
                <c:pt idx="11">
                  <c:v>687.06</c:v>
                </c:pt>
                <c:pt idx="12">
                  <c:v>687.39</c:v>
                </c:pt>
                <c:pt idx="13">
                  <c:v>679.83</c:v>
                </c:pt>
                <c:pt idx="14">
                  <c:v>682.06</c:v>
                </c:pt>
                <c:pt idx="15">
                  <c:v>683.34</c:v>
                </c:pt>
                <c:pt idx="16">
                  <c:v>675.24</c:v>
                </c:pt>
                <c:pt idx="17">
                  <c:v>677.58</c:v>
                </c:pt>
                <c:pt idx="18">
                  <c:v>670.31</c:v>
                </c:pt>
                <c:pt idx="19">
                  <c:v>670.97</c:v>
                </c:pt>
                <c:pt idx="20">
                  <c:v>681.44</c:v>
                </c:pt>
                <c:pt idx="21">
                  <c:v>683</c:v>
                </c:pt>
                <c:pt idx="22">
                  <c:v>683.38</c:v>
                </c:pt>
                <c:pt idx="23">
                  <c:v>672.04</c:v>
                </c:pt>
                <c:pt idx="24">
                  <c:v>671.93</c:v>
                </c:pt>
                <c:pt idx="25">
                  <c:v>665.67</c:v>
                </c:pt>
                <c:pt idx="26">
                  <c:v>660.08</c:v>
                </c:pt>
                <c:pt idx="27">
                  <c:v>662.63</c:v>
                </c:pt>
                <c:pt idx="28">
                  <c:v>652.53</c:v>
                </c:pt>
                <c:pt idx="29">
                  <c:v>659.03</c:v>
                </c:pt>
                <c:pt idx="30">
                  <c:v>668.73</c:v>
                </c:pt>
                <c:pt idx="31">
                  <c:v>675.02</c:v>
                </c:pt>
                <c:pt idx="32">
                  <c:v>679.68</c:v>
                </c:pt>
                <c:pt idx="33">
                  <c:v>683.39</c:v>
                </c:pt>
                <c:pt idx="34">
                  <c:v>680.27</c:v>
                </c:pt>
                <c:pt idx="35">
                  <c:v>681.53</c:v>
                </c:pt>
                <c:pt idx="36">
                  <c:v>683.89</c:v>
                </c:pt>
                <c:pt idx="37">
                  <c:v>684.39</c:v>
                </c:pt>
                <c:pt idx="38">
                  <c:v>685.69</c:v>
                </c:pt>
                <c:pt idx="39">
                  <c:v>683.63</c:v>
                </c:pt>
                <c:pt idx="40">
                  <c:v>683.04</c:v>
                </c:pt>
                <c:pt idx="41">
                  <c:v>687.57</c:v>
                </c:pt>
                <c:pt idx="42">
                  <c:v>689.17</c:v>
                </c:pt>
                <c:pt idx="43">
                  <c:v>681.76</c:v>
                </c:pt>
                <c:pt idx="44">
                  <c:v>680.73</c:v>
                </c:pt>
                <c:pt idx="45">
                  <c:v>678.87</c:v>
                </c:pt>
                <c:pt idx="46">
                  <c:v>671.4</c:v>
                </c:pt>
                <c:pt idx="47">
                  <c:v>676.47</c:v>
                </c:pt>
                <c:pt idx="48">
                  <c:v>680.59</c:v>
                </c:pt>
                <c:pt idx="49">
                  <c:v>684.83</c:v>
                </c:pt>
                <c:pt idx="50">
                  <c:v>687.96</c:v>
                </c:pt>
                <c:pt idx="51">
                  <c:v>690.38</c:v>
                </c:pt>
                <c:pt idx="52">
                  <c:v>690.31</c:v>
                </c:pt>
                <c:pt idx="53">
                  <c:v>687.85</c:v>
                </c:pt>
                <c:pt idx="54">
                  <c:v>687.01</c:v>
                </c:pt>
                <c:pt idx="55">
                  <c:v>681.92</c:v>
                </c:pt>
                <c:pt idx="56">
                  <c:v>683.17</c:v>
                </c:pt>
                <c:pt idx="57">
                  <c:v>687.72</c:v>
                </c:pt>
                <c:pt idx="58">
                  <c:v>691.81</c:v>
                </c:pt>
                <c:pt idx="59">
                  <c:v>689.58</c:v>
                </c:pt>
                <c:pt idx="60">
                  <c:v>689.51</c:v>
                </c:pt>
                <c:pt idx="61">
                  <c:v>694.07</c:v>
                </c:pt>
                <c:pt idx="62">
                  <c:v>695.16</c:v>
                </c:pt>
                <c:pt idx="63">
                  <c:v>693.77</c:v>
                </c:pt>
                <c:pt idx="64">
                  <c:v>690.36</c:v>
                </c:pt>
                <c:pt idx="65">
                  <c:v>692.24</c:v>
                </c:pt>
                <c:pt idx="66">
                  <c:v>691.66</c:v>
                </c:pt>
                <c:pt idx="67">
                  <c:v>677.58</c:v>
                </c:pt>
                <c:pt idx="68">
                  <c:v>685.4</c:v>
                </c:pt>
                <c:pt idx="69">
                  <c:v>688.98</c:v>
                </c:pt>
                <c:pt idx="70">
                  <c:v>689.23</c:v>
                </c:pt>
                <c:pt idx="71">
                  <c:v>692.73</c:v>
                </c:pt>
                <c:pt idx="72">
                  <c:v>695.49</c:v>
                </c:pt>
                <c:pt idx="73">
                  <c:v>695.42</c:v>
                </c:pt>
                <c:pt idx="74">
                  <c:v>694.04</c:v>
                </c:pt>
                <c:pt idx="75">
                  <c:v>691.97</c:v>
                </c:pt>
                <c:pt idx="76">
                  <c:v>695.41</c:v>
                </c:pt>
                <c:pt idx="77">
                  <c:v>689.53</c:v>
                </c:pt>
                <c:pt idx="78">
                  <c:v>686.19</c:v>
                </c:pt>
                <c:pt idx="79">
                  <c:v>677.62</c:v>
                </c:pt>
                <c:pt idx="80">
                  <c:v>690.62</c:v>
                </c:pt>
                <c:pt idx="81">
                  <c:v>693.95</c:v>
                </c:pt>
                <c:pt idx="82">
                  <c:v>692.12</c:v>
                </c:pt>
                <c:pt idx="83">
                  <c:v>691.96</c:v>
                </c:pt>
                <c:pt idx="84">
                  <c:v>681.27</c:v>
                </c:pt>
                <c:pt idx="85">
                  <c:v>681.75</c:v>
                </c:pt>
                <c:pt idx="86">
                  <c:v>682.85</c:v>
                </c:pt>
                <c:pt idx="87">
                  <c:v>686.29</c:v>
                </c:pt>
                <c:pt idx="88">
                  <c:v>684.48</c:v>
                </c:pt>
                <c:pt idx="89">
                  <c:v>689.43</c:v>
                </c:pt>
                <c:pt idx="90">
                  <c:v>682.39</c:v>
                </c:pt>
                <c:pt idx="91">
                  <c:v>687.35</c:v>
                </c:pt>
                <c:pt idx="92">
                  <c:v>693.15</c:v>
                </c:pt>
                <c:pt idx="93">
                  <c:v>689.3</c:v>
                </c:pt>
                <c:pt idx="94">
                  <c:v>685.99</c:v>
                </c:pt>
                <c:pt idx="95">
                  <c:v>686.38</c:v>
                </c:pt>
                <c:pt idx="96">
                  <c:v>680.33</c:v>
                </c:pt>
                <c:pt idx="97">
                  <c:v>685.13</c:v>
                </c:pt>
                <c:pt idx="98">
                  <c:v>681.31</c:v>
                </c:pt>
                <c:pt idx="99">
                  <c:v>672.38</c:v>
                </c:pt>
                <c:pt idx="100">
                  <c:v>678.27</c:v>
                </c:pt>
                <c:pt idx="101">
                  <c:v>677.18</c:v>
                </c:pt>
                <c:pt idx="102">
                  <c:v>676.33</c:v>
                </c:pt>
                <c:pt idx="103">
                  <c:v>666.06</c:v>
                </c:pt>
                <c:pt idx="104">
                  <c:v>662.29</c:v>
                </c:pt>
                <c:pt idx="105">
                  <c:v>669.03</c:v>
                </c:pt>
                <c:pt idx="106">
                  <c:v>670.79</c:v>
                </c:pt>
                <c:pt idx="107">
                  <c:v>661.43</c:v>
                </c:pt>
                <c:pt idx="108">
                  <c:v>659.8</c:v>
                </c:pt>
                <c:pt idx="109">
                  <c:v>648.57000000000005</c:v>
                </c:pt>
                <c:pt idx="110">
                  <c:v>655.38</c:v>
                </c:pt>
                <c:pt idx="111">
                  <c:v>653.17999999999995</c:v>
                </c:pt>
                <c:pt idx="112">
                  <c:v>656.82</c:v>
                </c:pt>
                <c:pt idx="113">
                  <c:v>645.09</c:v>
                </c:pt>
                <c:pt idx="114">
                  <c:v>634.09</c:v>
                </c:pt>
                <c:pt idx="115">
                  <c:v>631.97</c:v>
                </c:pt>
                <c:pt idx="116">
                  <c:v>650.34</c:v>
                </c:pt>
                <c:pt idx="117">
                  <c:v>655.24</c:v>
                </c:pt>
                <c:pt idx="118">
                  <c:v>655.83</c:v>
                </c:pt>
                <c:pt idx="119">
                  <c:v>658.93</c:v>
                </c:pt>
                <c:pt idx="120">
                  <c:v>659.22</c:v>
                </c:pt>
                <c:pt idx="121">
                  <c:v>676.01</c:v>
                </c:pt>
                <c:pt idx="122">
                  <c:v>679.91</c:v>
                </c:pt>
                <c:pt idx="123">
                  <c:v>679.46</c:v>
                </c:pt>
                <c:pt idx="124">
                  <c:v>686.1</c:v>
                </c:pt>
                <c:pt idx="125">
                  <c:v>694.46</c:v>
                </c:pt>
                <c:pt idx="126">
                  <c:v>699.94</c:v>
                </c:pt>
                <c:pt idx="127">
                  <c:v>701.66</c:v>
                </c:pt>
                <c:pt idx="128">
                  <c:v>710.14</c:v>
                </c:pt>
                <c:pt idx="129">
                  <c:v>708.72</c:v>
                </c:pt>
                <c:pt idx="130">
                  <c:v>704.08</c:v>
                </c:pt>
                <c:pt idx="131">
                  <c:v>711.21</c:v>
                </c:pt>
                <c:pt idx="132">
                  <c:v>708.45</c:v>
                </c:pt>
                <c:pt idx="133">
                  <c:v>713.94</c:v>
                </c:pt>
                <c:pt idx="134">
                  <c:v>715.17</c:v>
                </c:pt>
                <c:pt idx="135">
                  <c:v>711.69</c:v>
                </c:pt>
                <c:pt idx="136">
                  <c:v>711.58</c:v>
                </c:pt>
                <c:pt idx="137">
                  <c:v>718.66</c:v>
                </c:pt>
                <c:pt idx="138">
                  <c:v>720.65</c:v>
                </c:pt>
                <c:pt idx="139">
                  <c:v>718.01</c:v>
                </c:pt>
                <c:pt idx="140">
                  <c:v>723.77</c:v>
                </c:pt>
                <c:pt idx="141">
                  <c:v>733.83</c:v>
                </c:pt>
                <c:pt idx="142">
                  <c:v>731.58</c:v>
                </c:pt>
                <c:pt idx="143">
                  <c:v>737.62</c:v>
                </c:pt>
                <c:pt idx="144">
                  <c:v>739.3</c:v>
                </c:pt>
                <c:pt idx="145">
                  <c:v>738.18</c:v>
                </c:pt>
                <c:pt idx="146">
                  <c:v>742.31</c:v>
                </c:pt>
                <c:pt idx="147">
                  <c:v>748.17</c:v>
                </c:pt>
                <c:pt idx="148">
                  <c:v>739.17</c:v>
                </c:pt>
                <c:pt idx="149">
                  <c:v>738.65</c:v>
                </c:pt>
                <c:pt idx="150">
                  <c:v>733.73</c:v>
                </c:pt>
                <c:pt idx="151">
                  <c:v>741.25</c:v>
                </c:pt>
                <c:pt idx="152">
                  <c:v>742.72</c:v>
                </c:pt>
                <c:pt idx="153">
                  <c:v>745.64</c:v>
                </c:pt>
                <c:pt idx="154">
                  <c:v>750.59</c:v>
                </c:pt>
                <c:pt idx="155">
                  <c:v>750.46</c:v>
                </c:pt>
                <c:pt idx="156">
                  <c:v>754.6</c:v>
                </c:pt>
                <c:pt idx="157">
                  <c:v>756.48</c:v>
                </c:pt>
                <c:pt idx="158">
                  <c:v>758.54</c:v>
                </c:pt>
                <c:pt idx="159">
                  <c:v>759.57</c:v>
                </c:pt>
                <c:pt idx="160">
                  <c:v>754.24</c:v>
                </c:pt>
                <c:pt idx="161">
                  <c:v>757.09</c:v>
                </c:pt>
                <c:pt idx="162">
                  <c:v>737.55</c:v>
                </c:pt>
                <c:pt idx="163">
                  <c:v>739.22</c:v>
                </c:pt>
                <c:pt idx="164">
                  <c:v>737.05</c:v>
                </c:pt>
                <c:pt idx="165">
                  <c:v>725.43</c:v>
                </c:pt>
                <c:pt idx="166">
                  <c:v>737.76</c:v>
                </c:pt>
                <c:pt idx="167">
                  <c:v>741.75</c:v>
                </c:pt>
                <c:pt idx="168">
                  <c:v>754.83</c:v>
                </c:pt>
                <c:pt idx="169">
                  <c:v>750.33</c:v>
                </c:pt>
                <c:pt idx="170">
                  <c:v>740.96</c:v>
                </c:pt>
                <c:pt idx="171">
                  <c:v>746.74</c:v>
                </c:pt>
                <c:pt idx="172">
                  <c:v>744.39</c:v>
                </c:pt>
                <c:pt idx="173">
                  <c:v>733.58</c:v>
                </c:pt>
                <c:pt idx="174">
                  <c:v>733.24</c:v>
                </c:pt>
                <c:pt idx="175">
                  <c:v>734.3</c:v>
                </c:pt>
                <c:pt idx="176">
                  <c:v>728.99</c:v>
                </c:pt>
                <c:pt idx="177">
                  <c:v>741</c:v>
                </c:pt>
                <c:pt idx="178">
                  <c:v>746.77</c:v>
                </c:pt>
                <c:pt idx="179">
                  <c:v>745.76</c:v>
                </c:pt>
                <c:pt idx="180">
                  <c:v>744.78</c:v>
                </c:pt>
                <c:pt idx="181">
                  <c:v>751.28</c:v>
                </c:pt>
                <c:pt idx="182">
                  <c:v>747.71</c:v>
                </c:pt>
                <c:pt idx="183">
                  <c:v>745.4</c:v>
                </c:pt>
                <c:pt idx="184">
                  <c:v>751.71</c:v>
                </c:pt>
                <c:pt idx="185">
                  <c:v>754.95</c:v>
                </c:pt>
                <c:pt idx="186">
                  <c:v>749.17</c:v>
                </c:pt>
                <c:pt idx="187">
                  <c:v>751.83</c:v>
                </c:pt>
                <c:pt idx="188">
                  <c:v>754.81</c:v>
                </c:pt>
                <c:pt idx="189">
                  <c:v>750.72</c:v>
                </c:pt>
                <c:pt idx="190">
                  <c:v>743.29</c:v>
                </c:pt>
                <c:pt idx="191">
                  <c:v>742.09</c:v>
                </c:pt>
                <c:pt idx="192">
                  <c:v>748.28</c:v>
                </c:pt>
                <c:pt idx="193">
                  <c:v>747.41</c:v>
                </c:pt>
                <c:pt idx="194">
                  <c:v>738.18</c:v>
                </c:pt>
                <c:pt idx="195">
                  <c:v>738.93</c:v>
                </c:pt>
                <c:pt idx="196">
                  <c:v>739.09</c:v>
                </c:pt>
                <c:pt idx="197">
                  <c:v>740.86</c:v>
                </c:pt>
                <c:pt idx="198">
                  <c:v>729.46</c:v>
                </c:pt>
                <c:pt idx="199">
                  <c:v>741.69</c:v>
                </c:pt>
                <c:pt idx="200">
                  <c:v>747.03</c:v>
                </c:pt>
                <c:pt idx="201">
                  <c:v>757.67</c:v>
                </c:pt>
                <c:pt idx="202">
                  <c:v>771.33</c:v>
                </c:pt>
                <c:pt idx="203">
                  <c:v>769.79</c:v>
                </c:pt>
                <c:pt idx="204">
                  <c:v>768.56</c:v>
                </c:pt>
                <c:pt idx="205">
                  <c:v>773.26</c:v>
                </c:pt>
                <c:pt idx="206">
                  <c:v>773.03</c:v>
                </c:pt>
                <c:pt idx="207">
                  <c:v>770.56</c:v>
                </c:pt>
                <c:pt idx="208">
                  <c:v>772.49</c:v>
                </c:pt>
                <c:pt idx="209">
                  <c:v>777.88</c:v>
                </c:pt>
                <c:pt idx="210">
                  <c:v>776.34</c:v>
                </c:pt>
                <c:pt idx="211">
                  <c:v>772.67</c:v>
                </c:pt>
                <c:pt idx="212">
                  <c:v>767.45</c:v>
                </c:pt>
                <c:pt idx="213">
                  <c:v>769.06</c:v>
                </c:pt>
                <c:pt idx="214">
                  <c:v>762.6</c:v>
                </c:pt>
                <c:pt idx="215">
                  <c:v>765.72</c:v>
                </c:pt>
                <c:pt idx="216">
                  <c:v>763.47</c:v>
                </c:pt>
                <c:pt idx="217">
                  <c:v>765.91</c:v>
                </c:pt>
                <c:pt idx="218">
                  <c:v>766.08</c:v>
                </c:pt>
                <c:pt idx="219">
                  <c:v>771.1</c:v>
                </c:pt>
                <c:pt idx="220">
                  <c:v>769.35</c:v>
                </c:pt>
                <c:pt idx="221">
                  <c:v>767.05</c:v>
                </c:pt>
                <c:pt idx="222">
                  <c:v>761.78</c:v>
                </c:pt>
                <c:pt idx="223">
                  <c:v>765.16</c:v>
                </c:pt>
                <c:pt idx="224">
                  <c:v>773.17</c:v>
                </c:pt>
                <c:pt idx="225">
                  <c:v>770.19</c:v>
                </c:pt>
                <c:pt idx="226">
                  <c:v>765.96</c:v>
                </c:pt>
                <c:pt idx="227">
                  <c:v>762.4</c:v>
                </c:pt>
                <c:pt idx="228">
                  <c:v>757.83</c:v>
                </c:pt>
                <c:pt idx="229">
                  <c:v>764.29</c:v>
                </c:pt>
                <c:pt idx="230">
                  <c:v>760.88</c:v>
                </c:pt>
                <c:pt idx="231">
                  <c:v>757.39</c:v>
                </c:pt>
                <c:pt idx="232">
                  <c:v>754.05</c:v>
                </c:pt>
                <c:pt idx="233">
                  <c:v>762.6</c:v>
                </c:pt>
                <c:pt idx="234">
                  <c:v>761.69</c:v>
                </c:pt>
                <c:pt idx="235">
                  <c:v>773.5</c:v>
                </c:pt>
                <c:pt idx="236">
                  <c:v>773.38</c:v>
                </c:pt>
                <c:pt idx="237">
                  <c:v>767.81</c:v>
                </c:pt>
                <c:pt idx="238">
                  <c:v>767.18</c:v>
                </c:pt>
                <c:pt idx="239">
                  <c:v>771.35</c:v>
                </c:pt>
                <c:pt idx="240">
                  <c:v>765.61</c:v>
                </c:pt>
                <c:pt idx="241">
                  <c:v>764.2</c:v>
                </c:pt>
                <c:pt idx="242">
                  <c:v>762.63</c:v>
                </c:pt>
                <c:pt idx="243">
                  <c:v>763.99</c:v>
                </c:pt>
                <c:pt idx="244">
                  <c:v>769.64</c:v>
                </c:pt>
                <c:pt idx="245">
                  <c:v>774.83</c:v>
                </c:pt>
                <c:pt idx="246">
                  <c:v>779.09</c:v>
                </c:pt>
                <c:pt idx="247">
                  <c:v>777.22</c:v>
                </c:pt>
                <c:pt idx="248">
                  <c:v>773.93</c:v>
                </c:pt>
                <c:pt idx="249">
                  <c:v>778.57</c:v>
                </c:pt>
              </c:numCache>
            </c:numRef>
          </c:val>
          <c:smooth val="0"/>
          <c:extLst>
            <c:ext xmlns:c16="http://schemas.microsoft.com/office/drawing/2014/chart" uri="{C3380CC4-5D6E-409C-BE32-E72D297353CC}">
              <c16:uniqueId val="{00000000-C478-4810-81CA-4CED3483CF20}"/>
            </c:ext>
          </c:extLst>
        </c:ser>
        <c:dLbls>
          <c:showLegendKey val="0"/>
          <c:showVal val="0"/>
          <c:showCatName val="0"/>
          <c:showSerName val="0"/>
          <c:showPercent val="0"/>
          <c:showBubbleSize val="0"/>
        </c:dLbls>
        <c:smooth val="0"/>
        <c:axId val="48650112"/>
        <c:axId val="48672768"/>
      </c:lineChart>
      <c:dateAx>
        <c:axId val="48650112"/>
        <c:scaling>
          <c:orientation val="minMax"/>
        </c:scaling>
        <c:delete val="0"/>
        <c:axPos val="b"/>
        <c:majorGridlines>
          <c:spPr>
            <a:ln w="9525">
              <a:solidFill>
                <a:srgbClr val="CCCCCC"/>
              </a:solidFill>
              <a:prstDash val="dash"/>
            </a:ln>
          </c:spPr>
        </c:majorGridlines>
        <c:numFmt formatCode="m/d/yyyy" sourceLinked="1"/>
        <c:majorTickMark val="none"/>
        <c:minorTickMark val="none"/>
        <c:tickLblPos val="nextTo"/>
        <c:txPr>
          <a:bodyPr anchorCtr="1"/>
          <a:lstStyle/>
          <a:p>
            <a:pPr>
              <a:defRPr sz="675">
                <a:latin typeface="Arial"/>
                <a:ea typeface="Arial"/>
                <a:cs typeface="Arial"/>
              </a:defRPr>
            </a:pPr>
            <a:endParaRPr lang="en-US"/>
          </a:p>
        </c:txPr>
        <c:crossAx val="48672768"/>
        <c:crosses val="autoZero"/>
        <c:auto val="1"/>
        <c:lblOffset val="100"/>
        <c:baseTimeUnit val="days"/>
        <c:majorUnit val="12"/>
        <c:majorTimeUnit val="months"/>
      </c:dateAx>
      <c:valAx>
        <c:axId val="48672768"/>
        <c:scaling>
          <c:orientation val="minMax"/>
          <c:max val="795"/>
          <c:min val="619"/>
        </c:scaling>
        <c:delete val="0"/>
        <c:axPos val="l"/>
        <c:majorGridlines>
          <c:spPr>
            <a:ln w="9525">
              <a:solidFill>
                <a:srgbClr val="CCCCCC"/>
              </a:solidFill>
              <a:prstDash val="dash"/>
            </a:ln>
          </c:spPr>
        </c:majorGridlines>
        <c:numFmt formatCode="0.00" sourceLinked="0"/>
        <c:majorTickMark val="none"/>
        <c:minorTickMark val="none"/>
        <c:tickLblPos val="nextTo"/>
        <c:txPr>
          <a:bodyPr anchorCtr="1"/>
          <a:lstStyle/>
          <a:p>
            <a:pPr>
              <a:defRPr sz="675">
                <a:latin typeface="Arial"/>
                <a:ea typeface="Arial"/>
                <a:cs typeface="Arial"/>
              </a:defRPr>
            </a:pPr>
            <a:endParaRPr lang="en-US"/>
          </a:p>
        </c:txPr>
        <c:crossAx val="48650112"/>
        <c:crosses val="autoZero"/>
        <c:crossBetween val="between"/>
      </c:valAx>
    </c:plotArea>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US" sz="750"/>
              <a:t>Daily NAV (USD)</a:t>
            </a:r>
          </a:p>
        </c:rich>
      </c:tx>
      <c:overlay val="0"/>
    </c:title>
    <c:autoTitleDeleted val="0"/>
    <c:plotArea>
      <c:layout/>
      <c:lineChart>
        <c:grouping val="standard"/>
        <c:varyColors val="0"/>
        <c:ser>
          <c:idx val="0"/>
          <c:order val="0"/>
          <c:tx>
            <c:v>Chart price / NAV</c:v>
          </c:tx>
          <c:spPr>
            <a:ln w="19050">
              <a:solidFill>
                <a:srgbClr val="2D67DF"/>
              </a:solidFill>
              <a:prstDash val="solid"/>
            </a:ln>
          </c:spPr>
          <c:marker>
            <c:symbol val="none"/>
          </c:marker>
          <c:cat>
            <c:numRef>
              <c:f>'Fund Data'!$AJ$2:$AJ$251</c:f>
              <c:numCache>
                <c:formatCode>General</c:formatCode>
                <c:ptCount val="250"/>
                <c:pt idx="0">
                  <c:v>45943</c:v>
                </c:pt>
                <c:pt idx="1">
                  <c:v>45944</c:v>
                </c:pt>
                <c:pt idx="2">
                  <c:v>45945</c:v>
                </c:pt>
                <c:pt idx="3">
                  <c:v>45946</c:v>
                </c:pt>
                <c:pt idx="4">
                  <c:v>45947</c:v>
                </c:pt>
                <c:pt idx="5">
                  <c:v>45950</c:v>
                </c:pt>
                <c:pt idx="6">
                  <c:v>45951</c:v>
                </c:pt>
                <c:pt idx="7">
                  <c:v>45952</c:v>
                </c:pt>
                <c:pt idx="8">
                  <c:v>45953</c:v>
                </c:pt>
                <c:pt idx="9">
                  <c:v>45954</c:v>
                </c:pt>
                <c:pt idx="10">
                  <c:v>45957</c:v>
                </c:pt>
                <c:pt idx="11">
                  <c:v>45958</c:v>
                </c:pt>
                <c:pt idx="12">
                  <c:v>45959</c:v>
                </c:pt>
                <c:pt idx="13">
                  <c:v>45960</c:v>
                </c:pt>
                <c:pt idx="14">
                  <c:v>45961</c:v>
                </c:pt>
                <c:pt idx="15">
                  <c:v>45964</c:v>
                </c:pt>
                <c:pt idx="16">
                  <c:v>45965</c:v>
                </c:pt>
                <c:pt idx="17">
                  <c:v>45966</c:v>
                </c:pt>
                <c:pt idx="18">
                  <c:v>45967</c:v>
                </c:pt>
                <c:pt idx="19">
                  <c:v>45968</c:v>
                </c:pt>
                <c:pt idx="20">
                  <c:v>45971</c:v>
                </c:pt>
                <c:pt idx="21">
                  <c:v>45972</c:v>
                </c:pt>
                <c:pt idx="22">
                  <c:v>45973</c:v>
                </c:pt>
                <c:pt idx="23">
                  <c:v>45974</c:v>
                </c:pt>
                <c:pt idx="24">
                  <c:v>45975</c:v>
                </c:pt>
                <c:pt idx="25">
                  <c:v>45978</c:v>
                </c:pt>
                <c:pt idx="26">
                  <c:v>45979</c:v>
                </c:pt>
                <c:pt idx="27">
                  <c:v>45980</c:v>
                </c:pt>
                <c:pt idx="28">
                  <c:v>45981</c:v>
                </c:pt>
                <c:pt idx="29">
                  <c:v>45982</c:v>
                </c:pt>
                <c:pt idx="30">
                  <c:v>45985</c:v>
                </c:pt>
                <c:pt idx="31">
                  <c:v>45986</c:v>
                </c:pt>
                <c:pt idx="32">
                  <c:v>45987</c:v>
                </c:pt>
                <c:pt idx="33">
                  <c:v>45989</c:v>
                </c:pt>
                <c:pt idx="34">
                  <c:v>45992</c:v>
                </c:pt>
                <c:pt idx="35">
                  <c:v>45993</c:v>
                </c:pt>
                <c:pt idx="36">
                  <c:v>45994</c:v>
                </c:pt>
                <c:pt idx="37">
                  <c:v>45995</c:v>
                </c:pt>
                <c:pt idx="38">
                  <c:v>45996</c:v>
                </c:pt>
                <c:pt idx="39">
                  <c:v>45999</c:v>
                </c:pt>
                <c:pt idx="40">
                  <c:v>46000</c:v>
                </c:pt>
                <c:pt idx="41">
                  <c:v>46001</c:v>
                </c:pt>
                <c:pt idx="42">
                  <c:v>46002</c:v>
                </c:pt>
                <c:pt idx="43">
                  <c:v>46003</c:v>
                </c:pt>
                <c:pt idx="44">
                  <c:v>46006</c:v>
                </c:pt>
                <c:pt idx="45">
                  <c:v>46007</c:v>
                </c:pt>
                <c:pt idx="46">
                  <c:v>46008</c:v>
                </c:pt>
                <c:pt idx="47">
                  <c:v>46009</c:v>
                </c:pt>
                <c:pt idx="48">
                  <c:v>46010</c:v>
                </c:pt>
                <c:pt idx="49">
                  <c:v>46013</c:v>
                </c:pt>
                <c:pt idx="50">
                  <c:v>46014</c:v>
                </c:pt>
                <c:pt idx="51">
                  <c:v>46015</c:v>
                </c:pt>
                <c:pt idx="52">
                  <c:v>46017</c:v>
                </c:pt>
                <c:pt idx="53">
                  <c:v>46020</c:v>
                </c:pt>
                <c:pt idx="54">
                  <c:v>46021</c:v>
                </c:pt>
                <c:pt idx="55">
                  <c:v>46022</c:v>
                </c:pt>
                <c:pt idx="56">
                  <c:v>46024</c:v>
                </c:pt>
                <c:pt idx="57">
                  <c:v>46027</c:v>
                </c:pt>
                <c:pt idx="58">
                  <c:v>46028</c:v>
                </c:pt>
                <c:pt idx="59">
                  <c:v>46029</c:v>
                </c:pt>
                <c:pt idx="60">
                  <c:v>46030</c:v>
                </c:pt>
                <c:pt idx="61">
                  <c:v>46031</c:v>
                </c:pt>
                <c:pt idx="62">
                  <c:v>46034</c:v>
                </c:pt>
                <c:pt idx="63">
                  <c:v>46035</c:v>
                </c:pt>
                <c:pt idx="64">
                  <c:v>46036</c:v>
                </c:pt>
                <c:pt idx="65">
                  <c:v>46037</c:v>
                </c:pt>
                <c:pt idx="66">
                  <c:v>46038</c:v>
                </c:pt>
                <c:pt idx="67">
                  <c:v>46042</c:v>
                </c:pt>
                <c:pt idx="68">
                  <c:v>46043</c:v>
                </c:pt>
                <c:pt idx="69">
                  <c:v>46044</c:v>
                </c:pt>
                <c:pt idx="70">
                  <c:v>46045</c:v>
                </c:pt>
                <c:pt idx="71">
                  <c:v>46048</c:v>
                </c:pt>
                <c:pt idx="72">
                  <c:v>46049</c:v>
                </c:pt>
                <c:pt idx="73">
                  <c:v>46050</c:v>
                </c:pt>
                <c:pt idx="74">
                  <c:v>46051</c:v>
                </c:pt>
                <c:pt idx="75">
                  <c:v>46052</c:v>
                </c:pt>
                <c:pt idx="76">
                  <c:v>46055</c:v>
                </c:pt>
                <c:pt idx="77">
                  <c:v>46056</c:v>
                </c:pt>
                <c:pt idx="78">
                  <c:v>46057</c:v>
                </c:pt>
                <c:pt idx="79">
                  <c:v>46058</c:v>
                </c:pt>
                <c:pt idx="80">
                  <c:v>46059</c:v>
                </c:pt>
                <c:pt idx="81">
                  <c:v>46062</c:v>
                </c:pt>
                <c:pt idx="82">
                  <c:v>46063</c:v>
                </c:pt>
                <c:pt idx="83">
                  <c:v>46064</c:v>
                </c:pt>
                <c:pt idx="84">
                  <c:v>46065</c:v>
                </c:pt>
                <c:pt idx="85">
                  <c:v>46066</c:v>
                </c:pt>
                <c:pt idx="86">
                  <c:v>46070</c:v>
                </c:pt>
                <c:pt idx="87">
                  <c:v>46071</c:v>
                </c:pt>
                <c:pt idx="88">
                  <c:v>46072</c:v>
                </c:pt>
                <c:pt idx="89">
                  <c:v>46073</c:v>
                </c:pt>
                <c:pt idx="90">
                  <c:v>46076</c:v>
                </c:pt>
                <c:pt idx="91">
                  <c:v>46077</c:v>
                </c:pt>
                <c:pt idx="92">
                  <c:v>46078</c:v>
                </c:pt>
                <c:pt idx="93">
                  <c:v>46079</c:v>
                </c:pt>
                <c:pt idx="94">
                  <c:v>46080</c:v>
                </c:pt>
                <c:pt idx="95">
                  <c:v>46083</c:v>
                </c:pt>
                <c:pt idx="96">
                  <c:v>46084</c:v>
                </c:pt>
                <c:pt idx="97">
                  <c:v>46085</c:v>
                </c:pt>
                <c:pt idx="98">
                  <c:v>46086</c:v>
                </c:pt>
                <c:pt idx="99">
                  <c:v>46087</c:v>
                </c:pt>
                <c:pt idx="100">
                  <c:v>46090</c:v>
                </c:pt>
                <c:pt idx="101">
                  <c:v>46091</c:v>
                </c:pt>
                <c:pt idx="102">
                  <c:v>46092</c:v>
                </c:pt>
                <c:pt idx="103">
                  <c:v>46093</c:v>
                </c:pt>
                <c:pt idx="104">
                  <c:v>46094</c:v>
                </c:pt>
                <c:pt idx="105">
                  <c:v>46097</c:v>
                </c:pt>
                <c:pt idx="106">
                  <c:v>46098</c:v>
                </c:pt>
                <c:pt idx="107">
                  <c:v>46099</c:v>
                </c:pt>
                <c:pt idx="108">
                  <c:v>46100</c:v>
                </c:pt>
                <c:pt idx="109">
                  <c:v>46101</c:v>
                </c:pt>
                <c:pt idx="110">
                  <c:v>46104</c:v>
                </c:pt>
                <c:pt idx="111">
                  <c:v>46105</c:v>
                </c:pt>
                <c:pt idx="112">
                  <c:v>46106</c:v>
                </c:pt>
                <c:pt idx="113">
                  <c:v>46107</c:v>
                </c:pt>
                <c:pt idx="114">
                  <c:v>46108</c:v>
                </c:pt>
                <c:pt idx="115">
                  <c:v>46111</c:v>
                </c:pt>
                <c:pt idx="116">
                  <c:v>46112</c:v>
                </c:pt>
                <c:pt idx="117">
                  <c:v>46113</c:v>
                </c:pt>
                <c:pt idx="118">
                  <c:v>46114</c:v>
                </c:pt>
                <c:pt idx="119">
                  <c:v>46118</c:v>
                </c:pt>
                <c:pt idx="120">
                  <c:v>46119</c:v>
                </c:pt>
                <c:pt idx="121">
                  <c:v>46120</c:v>
                </c:pt>
                <c:pt idx="122">
                  <c:v>46121</c:v>
                </c:pt>
                <c:pt idx="123">
                  <c:v>46122</c:v>
                </c:pt>
                <c:pt idx="124">
                  <c:v>46125</c:v>
                </c:pt>
                <c:pt idx="125">
                  <c:v>46126</c:v>
                </c:pt>
                <c:pt idx="126">
                  <c:v>46127</c:v>
                </c:pt>
                <c:pt idx="127">
                  <c:v>46128</c:v>
                </c:pt>
                <c:pt idx="128">
                  <c:v>46129</c:v>
                </c:pt>
                <c:pt idx="129">
                  <c:v>46132</c:v>
                </c:pt>
                <c:pt idx="130">
                  <c:v>46133</c:v>
                </c:pt>
                <c:pt idx="131">
                  <c:v>46134</c:v>
                </c:pt>
                <c:pt idx="132">
                  <c:v>46135</c:v>
                </c:pt>
                <c:pt idx="133">
                  <c:v>46136</c:v>
                </c:pt>
                <c:pt idx="134">
                  <c:v>46139</c:v>
                </c:pt>
                <c:pt idx="135">
                  <c:v>46140</c:v>
                </c:pt>
                <c:pt idx="136">
                  <c:v>46141</c:v>
                </c:pt>
                <c:pt idx="137">
                  <c:v>46142</c:v>
                </c:pt>
                <c:pt idx="138">
                  <c:v>46143</c:v>
                </c:pt>
                <c:pt idx="139">
                  <c:v>46146</c:v>
                </c:pt>
                <c:pt idx="140">
                  <c:v>46147</c:v>
                </c:pt>
                <c:pt idx="141">
                  <c:v>46148</c:v>
                </c:pt>
                <c:pt idx="142">
                  <c:v>46149</c:v>
                </c:pt>
                <c:pt idx="143">
                  <c:v>46150</c:v>
                </c:pt>
                <c:pt idx="144">
                  <c:v>46153</c:v>
                </c:pt>
                <c:pt idx="145">
                  <c:v>46154</c:v>
                </c:pt>
                <c:pt idx="146">
                  <c:v>46155</c:v>
                </c:pt>
                <c:pt idx="147">
                  <c:v>46156</c:v>
                </c:pt>
                <c:pt idx="148">
                  <c:v>46157</c:v>
                </c:pt>
                <c:pt idx="149">
                  <c:v>46160</c:v>
                </c:pt>
                <c:pt idx="150">
                  <c:v>46161</c:v>
                </c:pt>
                <c:pt idx="151">
                  <c:v>46162</c:v>
                </c:pt>
                <c:pt idx="152">
                  <c:v>46163</c:v>
                </c:pt>
                <c:pt idx="153">
                  <c:v>46164</c:v>
                </c:pt>
                <c:pt idx="154">
                  <c:v>46168</c:v>
                </c:pt>
                <c:pt idx="155">
                  <c:v>46169</c:v>
                </c:pt>
                <c:pt idx="156">
                  <c:v>46170</c:v>
                </c:pt>
                <c:pt idx="157">
                  <c:v>46171</c:v>
                </c:pt>
                <c:pt idx="158">
                  <c:v>46174</c:v>
                </c:pt>
                <c:pt idx="159">
                  <c:v>46175</c:v>
                </c:pt>
                <c:pt idx="160">
                  <c:v>46176</c:v>
                </c:pt>
                <c:pt idx="161">
                  <c:v>46177</c:v>
                </c:pt>
                <c:pt idx="162">
                  <c:v>46178</c:v>
                </c:pt>
                <c:pt idx="163">
                  <c:v>46181</c:v>
                </c:pt>
                <c:pt idx="164">
                  <c:v>46182</c:v>
                </c:pt>
                <c:pt idx="165">
                  <c:v>46183</c:v>
                </c:pt>
                <c:pt idx="166">
                  <c:v>46184</c:v>
                </c:pt>
                <c:pt idx="167">
                  <c:v>46185</c:v>
                </c:pt>
                <c:pt idx="168">
                  <c:v>46188</c:v>
                </c:pt>
                <c:pt idx="169">
                  <c:v>46189</c:v>
                </c:pt>
                <c:pt idx="170">
                  <c:v>46190</c:v>
                </c:pt>
                <c:pt idx="171">
                  <c:v>46191</c:v>
                </c:pt>
                <c:pt idx="172">
                  <c:v>46195</c:v>
                </c:pt>
                <c:pt idx="173">
                  <c:v>46196</c:v>
                </c:pt>
                <c:pt idx="174">
                  <c:v>46197</c:v>
                </c:pt>
                <c:pt idx="175">
                  <c:v>46198</c:v>
                </c:pt>
                <c:pt idx="176">
                  <c:v>46199</c:v>
                </c:pt>
                <c:pt idx="177">
                  <c:v>46202</c:v>
                </c:pt>
                <c:pt idx="178">
                  <c:v>46203</c:v>
                </c:pt>
                <c:pt idx="179">
                  <c:v>46204</c:v>
                </c:pt>
                <c:pt idx="180">
                  <c:v>46205</c:v>
                </c:pt>
                <c:pt idx="181">
                  <c:v>46209</c:v>
                </c:pt>
                <c:pt idx="182">
                  <c:v>46210</c:v>
                </c:pt>
                <c:pt idx="183">
                  <c:v>46211</c:v>
                </c:pt>
                <c:pt idx="184">
                  <c:v>46212</c:v>
                </c:pt>
                <c:pt idx="185">
                  <c:v>46213</c:v>
                </c:pt>
                <c:pt idx="186" formatCode="m/d/yyyy">
                  <c:v>46216</c:v>
                </c:pt>
                <c:pt idx="187">
                  <c:v>46217</c:v>
                </c:pt>
                <c:pt idx="188">
                  <c:v>46218</c:v>
                </c:pt>
                <c:pt idx="189">
                  <c:v>46219</c:v>
                </c:pt>
                <c:pt idx="190">
                  <c:v>46220</c:v>
                </c:pt>
                <c:pt idx="191">
                  <c:v>46223</c:v>
                </c:pt>
                <c:pt idx="192">
                  <c:v>46224</c:v>
                </c:pt>
                <c:pt idx="193">
                  <c:v>46225</c:v>
                </c:pt>
                <c:pt idx="194">
                  <c:v>46226</c:v>
                </c:pt>
                <c:pt idx="195">
                  <c:v>46227</c:v>
                </c:pt>
                <c:pt idx="196">
                  <c:v>46230</c:v>
                </c:pt>
                <c:pt idx="197">
                  <c:v>46231</c:v>
                </c:pt>
                <c:pt idx="198">
                  <c:v>46232</c:v>
                </c:pt>
                <c:pt idx="199">
                  <c:v>46233</c:v>
                </c:pt>
                <c:pt idx="200">
                  <c:v>46234</c:v>
                </c:pt>
                <c:pt idx="201">
                  <c:v>46237</c:v>
                </c:pt>
                <c:pt idx="202">
                  <c:v>46238</c:v>
                </c:pt>
                <c:pt idx="203">
                  <c:v>46239</c:v>
                </c:pt>
                <c:pt idx="204">
                  <c:v>46240</c:v>
                </c:pt>
                <c:pt idx="205">
                  <c:v>46241</c:v>
                </c:pt>
                <c:pt idx="206">
                  <c:v>46244</c:v>
                </c:pt>
                <c:pt idx="207">
                  <c:v>46245</c:v>
                </c:pt>
                <c:pt idx="208">
                  <c:v>46246</c:v>
                </c:pt>
                <c:pt idx="209">
                  <c:v>46247</c:v>
                </c:pt>
                <c:pt idx="210">
                  <c:v>46248</c:v>
                </c:pt>
                <c:pt idx="211">
                  <c:v>46251</c:v>
                </c:pt>
                <c:pt idx="212">
                  <c:v>46252</c:v>
                </c:pt>
                <c:pt idx="213">
                  <c:v>46253</c:v>
                </c:pt>
                <c:pt idx="214">
                  <c:v>46254</c:v>
                </c:pt>
                <c:pt idx="215">
                  <c:v>46255</c:v>
                </c:pt>
                <c:pt idx="216">
                  <c:v>46258</c:v>
                </c:pt>
                <c:pt idx="217">
                  <c:v>46259</c:v>
                </c:pt>
                <c:pt idx="218">
                  <c:v>46260</c:v>
                </c:pt>
                <c:pt idx="219">
                  <c:v>46261</c:v>
                </c:pt>
                <c:pt idx="220">
                  <c:v>46262</c:v>
                </c:pt>
                <c:pt idx="221">
                  <c:v>46265</c:v>
                </c:pt>
                <c:pt idx="222">
                  <c:v>46266</c:v>
                </c:pt>
                <c:pt idx="223">
                  <c:v>46267</c:v>
                </c:pt>
                <c:pt idx="224">
                  <c:v>46268</c:v>
                </c:pt>
                <c:pt idx="225">
                  <c:v>46269</c:v>
                </c:pt>
                <c:pt idx="226">
                  <c:v>46273</c:v>
                </c:pt>
                <c:pt idx="227">
                  <c:v>46274</c:v>
                </c:pt>
                <c:pt idx="228">
                  <c:v>46275</c:v>
                </c:pt>
                <c:pt idx="229">
                  <c:v>46276</c:v>
                </c:pt>
                <c:pt idx="230">
                  <c:v>46279</c:v>
                </c:pt>
                <c:pt idx="231">
                  <c:v>46280</c:v>
                </c:pt>
                <c:pt idx="232">
                  <c:v>46281</c:v>
                </c:pt>
                <c:pt idx="233">
                  <c:v>46282</c:v>
                </c:pt>
                <c:pt idx="234">
                  <c:v>46283</c:v>
                </c:pt>
                <c:pt idx="235">
                  <c:v>46286</c:v>
                </c:pt>
                <c:pt idx="236">
                  <c:v>46287</c:v>
                </c:pt>
                <c:pt idx="237">
                  <c:v>46288</c:v>
                </c:pt>
                <c:pt idx="238">
                  <c:v>46289</c:v>
                </c:pt>
                <c:pt idx="239">
                  <c:v>46290</c:v>
                </c:pt>
                <c:pt idx="240">
                  <c:v>46293</c:v>
                </c:pt>
                <c:pt idx="241">
                  <c:v>46294</c:v>
                </c:pt>
                <c:pt idx="242">
                  <c:v>46295</c:v>
                </c:pt>
                <c:pt idx="243">
                  <c:v>46296</c:v>
                </c:pt>
                <c:pt idx="244">
                  <c:v>46297</c:v>
                </c:pt>
                <c:pt idx="245">
                  <c:v>46300</c:v>
                </c:pt>
                <c:pt idx="246">
                  <c:v>46301</c:v>
                </c:pt>
                <c:pt idx="247">
                  <c:v>46302</c:v>
                </c:pt>
                <c:pt idx="248">
                  <c:v>46303</c:v>
                </c:pt>
                <c:pt idx="249">
                  <c:v>46304</c:v>
                </c:pt>
              </c:numCache>
            </c:numRef>
          </c:cat>
          <c:val>
            <c:numRef>
              <c:f>'Fund Data'!$AN$2:$AN$251</c:f>
              <c:numCache>
                <c:formatCode>General</c:formatCode>
                <c:ptCount val="250"/>
                <c:pt idx="0">
                  <c:v>14.36</c:v>
                </c:pt>
                <c:pt idx="1">
                  <c:v>14.35</c:v>
                </c:pt>
                <c:pt idx="2">
                  <c:v>14.41</c:v>
                </c:pt>
                <c:pt idx="3">
                  <c:v>14.31</c:v>
                </c:pt>
                <c:pt idx="4">
                  <c:v>14.38</c:v>
                </c:pt>
                <c:pt idx="5">
                  <c:v>14.53</c:v>
                </c:pt>
                <c:pt idx="6">
                  <c:v>14.53</c:v>
                </c:pt>
                <c:pt idx="7">
                  <c:v>14.44</c:v>
                </c:pt>
                <c:pt idx="8">
                  <c:v>14.54</c:v>
                </c:pt>
                <c:pt idx="9">
                  <c:v>14.65</c:v>
                </c:pt>
                <c:pt idx="10">
                  <c:v>14.83</c:v>
                </c:pt>
                <c:pt idx="11">
                  <c:v>14.85</c:v>
                </c:pt>
                <c:pt idx="12">
                  <c:v>14.85</c:v>
                </c:pt>
                <c:pt idx="13">
                  <c:v>14.69</c:v>
                </c:pt>
                <c:pt idx="14">
                  <c:v>14.75</c:v>
                </c:pt>
                <c:pt idx="15">
                  <c:v>14.77</c:v>
                </c:pt>
                <c:pt idx="16">
                  <c:v>14.58</c:v>
                </c:pt>
                <c:pt idx="17">
                  <c:v>14.64</c:v>
                </c:pt>
                <c:pt idx="18">
                  <c:v>14.47</c:v>
                </c:pt>
                <c:pt idx="19">
                  <c:v>14.51</c:v>
                </c:pt>
                <c:pt idx="20">
                  <c:v>14.73</c:v>
                </c:pt>
                <c:pt idx="21">
                  <c:v>14.75</c:v>
                </c:pt>
                <c:pt idx="22">
                  <c:v>14.76</c:v>
                </c:pt>
                <c:pt idx="23">
                  <c:v>14.5</c:v>
                </c:pt>
                <c:pt idx="24">
                  <c:v>14.5</c:v>
                </c:pt>
                <c:pt idx="25">
                  <c:v>14.35</c:v>
                </c:pt>
                <c:pt idx="26">
                  <c:v>14.25</c:v>
                </c:pt>
                <c:pt idx="27">
                  <c:v>14.3</c:v>
                </c:pt>
                <c:pt idx="28">
                  <c:v>14.07</c:v>
                </c:pt>
                <c:pt idx="29">
                  <c:v>14.21</c:v>
                </c:pt>
                <c:pt idx="30">
                  <c:v>14.44</c:v>
                </c:pt>
                <c:pt idx="31">
                  <c:v>14.58</c:v>
                </c:pt>
                <c:pt idx="32">
                  <c:v>14.68</c:v>
                </c:pt>
                <c:pt idx="33">
                  <c:v>14.76</c:v>
                </c:pt>
                <c:pt idx="34">
                  <c:v>14.69</c:v>
                </c:pt>
                <c:pt idx="35">
                  <c:v>14.72</c:v>
                </c:pt>
                <c:pt idx="36">
                  <c:v>14.77</c:v>
                </c:pt>
                <c:pt idx="37">
                  <c:v>14.8</c:v>
                </c:pt>
                <c:pt idx="38">
                  <c:v>14.83</c:v>
                </c:pt>
                <c:pt idx="39">
                  <c:v>14.78</c:v>
                </c:pt>
                <c:pt idx="40">
                  <c:v>14.76</c:v>
                </c:pt>
                <c:pt idx="41">
                  <c:v>14.87</c:v>
                </c:pt>
                <c:pt idx="42">
                  <c:v>14.91</c:v>
                </c:pt>
                <c:pt idx="43">
                  <c:v>14.53</c:v>
                </c:pt>
                <c:pt idx="44">
                  <c:v>14.5</c:v>
                </c:pt>
                <c:pt idx="45">
                  <c:v>14.46</c:v>
                </c:pt>
                <c:pt idx="46">
                  <c:v>14.3</c:v>
                </c:pt>
                <c:pt idx="47">
                  <c:v>14.41</c:v>
                </c:pt>
                <c:pt idx="48">
                  <c:v>14.54</c:v>
                </c:pt>
                <c:pt idx="49">
                  <c:v>14.65</c:v>
                </c:pt>
                <c:pt idx="50">
                  <c:v>14.7</c:v>
                </c:pt>
                <c:pt idx="51">
                  <c:v>14.75</c:v>
                </c:pt>
                <c:pt idx="52">
                  <c:v>14.74</c:v>
                </c:pt>
                <c:pt idx="53">
                  <c:v>14.69</c:v>
                </c:pt>
                <c:pt idx="54">
                  <c:v>14.66</c:v>
                </c:pt>
                <c:pt idx="55">
                  <c:v>14.55</c:v>
                </c:pt>
                <c:pt idx="56">
                  <c:v>14.6</c:v>
                </c:pt>
                <c:pt idx="57">
                  <c:v>14.7</c:v>
                </c:pt>
                <c:pt idx="58">
                  <c:v>14.8</c:v>
                </c:pt>
                <c:pt idx="59">
                  <c:v>14.75</c:v>
                </c:pt>
                <c:pt idx="60">
                  <c:v>14.75</c:v>
                </c:pt>
                <c:pt idx="61">
                  <c:v>14.84</c:v>
                </c:pt>
                <c:pt idx="62">
                  <c:v>14.87</c:v>
                </c:pt>
                <c:pt idx="63">
                  <c:v>14.84</c:v>
                </c:pt>
                <c:pt idx="64">
                  <c:v>14.77</c:v>
                </c:pt>
                <c:pt idx="65">
                  <c:v>14.81</c:v>
                </c:pt>
                <c:pt idx="66">
                  <c:v>14.81</c:v>
                </c:pt>
                <c:pt idx="67">
                  <c:v>14.51</c:v>
                </c:pt>
                <c:pt idx="68">
                  <c:v>14.68</c:v>
                </c:pt>
                <c:pt idx="69">
                  <c:v>14.76</c:v>
                </c:pt>
                <c:pt idx="70">
                  <c:v>14.75</c:v>
                </c:pt>
                <c:pt idx="71">
                  <c:v>14.82</c:v>
                </c:pt>
                <c:pt idx="72">
                  <c:v>14.87</c:v>
                </c:pt>
                <c:pt idx="73">
                  <c:v>14.87</c:v>
                </c:pt>
                <c:pt idx="74">
                  <c:v>14.84</c:v>
                </c:pt>
                <c:pt idx="75">
                  <c:v>14.76</c:v>
                </c:pt>
                <c:pt idx="76">
                  <c:v>14.84</c:v>
                </c:pt>
                <c:pt idx="77">
                  <c:v>14.72</c:v>
                </c:pt>
                <c:pt idx="78">
                  <c:v>14.65</c:v>
                </c:pt>
                <c:pt idx="79">
                  <c:v>14.47</c:v>
                </c:pt>
                <c:pt idx="80">
                  <c:v>14.77</c:v>
                </c:pt>
                <c:pt idx="81">
                  <c:v>14.85</c:v>
                </c:pt>
                <c:pt idx="82">
                  <c:v>14.8</c:v>
                </c:pt>
                <c:pt idx="83">
                  <c:v>14.8</c:v>
                </c:pt>
                <c:pt idx="84">
                  <c:v>14.56</c:v>
                </c:pt>
                <c:pt idx="85">
                  <c:v>14.58</c:v>
                </c:pt>
                <c:pt idx="86">
                  <c:v>14.6</c:v>
                </c:pt>
                <c:pt idx="87">
                  <c:v>14.68</c:v>
                </c:pt>
                <c:pt idx="88">
                  <c:v>14.65</c:v>
                </c:pt>
                <c:pt idx="89">
                  <c:v>14.74</c:v>
                </c:pt>
                <c:pt idx="90">
                  <c:v>14.57</c:v>
                </c:pt>
                <c:pt idx="91">
                  <c:v>14.69</c:v>
                </c:pt>
                <c:pt idx="92">
                  <c:v>14.81</c:v>
                </c:pt>
                <c:pt idx="93">
                  <c:v>14.75</c:v>
                </c:pt>
                <c:pt idx="94">
                  <c:v>14.68</c:v>
                </c:pt>
                <c:pt idx="95">
                  <c:v>14.69</c:v>
                </c:pt>
                <c:pt idx="96">
                  <c:v>14.54</c:v>
                </c:pt>
                <c:pt idx="97">
                  <c:v>14.65</c:v>
                </c:pt>
                <c:pt idx="98">
                  <c:v>14.56</c:v>
                </c:pt>
                <c:pt idx="99">
                  <c:v>14.36</c:v>
                </c:pt>
                <c:pt idx="100">
                  <c:v>14.49</c:v>
                </c:pt>
                <c:pt idx="101">
                  <c:v>14.46</c:v>
                </c:pt>
                <c:pt idx="102">
                  <c:v>14.44</c:v>
                </c:pt>
                <c:pt idx="103">
                  <c:v>14.22</c:v>
                </c:pt>
                <c:pt idx="104">
                  <c:v>14.13</c:v>
                </c:pt>
                <c:pt idx="105">
                  <c:v>14.28</c:v>
                </c:pt>
                <c:pt idx="106">
                  <c:v>14.32</c:v>
                </c:pt>
                <c:pt idx="107">
                  <c:v>14.13</c:v>
                </c:pt>
                <c:pt idx="108">
                  <c:v>14.1</c:v>
                </c:pt>
                <c:pt idx="109">
                  <c:v>13.88</c:v>
                </c:pt>
                <c:pt idx="110">
                  <c:v>14.04</c:v>
                </c:pt>
                <c:pt idx="111">
                  <c:v>13.99</c:v>
                </c:pt>
                <c:pt idx="112">
                  <c:v>14.08</c:v>
                </c:pt>
                <c:pt idx="113">
                  <c:v>13.83</c:v>
                </c:pt>
                <c:pt idx="114">
                  <c:v>13.6</c:v>
                </c:pt>
                <c:pt idx="115">
                  <c:v>13.54</c:v>
                </c:pt>
                <c:pt idx="116">
                  <c:v>13.94</c:v>
                </c:pt>
                <c:pt idx="117">
                  <c:v>14.04</c:v>
                </c:pt>
                <c:pt idx="118">
                  <c:v>14.06</c:v>
                </c:pt>
                <c:pt idx="119">
                  <c:v>14.13</c:v>
                </c:pt>
                <c:pt idx="120">
                  <c:v>14.13</c:v>
                </c:pt>
                <c:pt idx="121">
                  <c:v>14.49</c:v>
                </c:pt>
                <c:pt idx="122">
                  <c:v>14.57</c:v>
                </c:pt>
                <c:pt idx="123">
                  <c:v>14.55</c:v>
                </c:pt>
                <c:pt idx="124">
                  <c:v>14.71</c:v>
                </c:pt>
                <c:pt idx="125">
                  <c:v>14.89</c:v>
                </c:pt>
                <c:pt idx="126">
                  <c:v>15</c:v>
                </c:pt>
                <c:pt idx="127">
                  <c:v>15.04</c:v>
                </c:pt>
                <c:pt idx="128">
                  <c:v>15.23</c:v>
                </c:pt>
                <c:pt idx="129">
                  <c:v>15.21</c:v>
                </c:pt>
                <c:pt idx="130">
                  <c:v>15.11</c:v>
                </c:pt>
                <c:pt idx="131">
                  <c:v>15.26</c:v>
                </c:pt>
                <c:pt idx="132">
                  <c:v>15.19</c:v>
                </c:pt>
                <c:pt idx="133">
                  <c:v>15.3</c:v>
                </c:pt>
                <c:pt idx="134">
                  <c:v>15.32</c:v>
                </c:pt>
                <c:pt idx="135">
                  <c:v>15.24</c:v>
                </c:pt>
                <c:pt idx="136">
                  <c:v>15.23</c:v>
                </c:pt>
                <c:pt idx="137">
                  <c:v>15.39</c:v>
                </c:pt>
                <c:pt idx="138">
                  <c:v>15.44</c:v>
                </c:pt>
                <c:pt idx="139">
                  <c:v>15.38</c:v>
                </c:pt>
                <c:pt idx="140">
                  <c:v>15.51</c:v>
                </c:pt>
                <c:pt idx="141">
                  <c:v>15.73</c:v>
                </c:pt>
                <c:pt idx="142">
                  <c:v>15.66</c:v>
                </c:pt>
                <c:pt idx="143">
                  <c:v>15.78</c:v>
                </c:pt>
                <c:pt idx="144">
                  <c:v>15.81</c:v>
                </c:pt>
                <c:pt idx="145">
                  <c:v>15.78</c:v>
                </c:pt>
                <c:pt idx="146">
                  <c:v>15.87</c:v>
                </c:pt>
                <c:pt idx="147">
                  <c:v>15.99</c:v>
                </c:pt>
                <c:pt idx="148">
                  <c:v>15.79</c:v>
                </c:pt>
                <c:pt idx="149">
                  <c:v>15.77</c:v>
                </c:pt>
                <c:pt idx="150">
                  <c:v>15.67</c:v>
                </c:pt>
                <c:pt idx="151">
                  <c:v>15.85</c:v>
                </c:pt>
                <c:pt idx="152">
                  <c:v>15.88</c:v>
                </c:pt>
                <c:pt idx="153">
                  <c:v>15.95</c:v>
                </c:pt>
                <c:pt idx="154">
                  <c:v>16.059999999999999</c:v>
                </c:pt>
                <c:pt idx="155">
                  <c:v>16.059999999999999</c:v>
                </c:pt>
                <c:pt idx="156">
                  <c:v>16.16</c:v>
                </c:pt>
                <c:pt idx="157">
                  <c:v>16.2</c:v>
                </c:pt>
                <c:pt idx="158">
                  <c:v>16.239999999999998</c:v>
                </c:pt>
                <c:pt idx="159">
                  <c:v>16.28</c:v>
                </c:pt>
                <c:pt idx="160">
                  <c:v>16.16</c:v>
                </c:pt>
                <c:pt idx="161">
                  <c:v>16.239999999999998</c:v>
                </c:pt>
                <c:pt idx="162">
                  <c:v>15.8</c:v>
                </c:pt>
                <c:pt idx="163">
                  <c:v>15.85</c:v>
                </c:pt>
                <c:pt idx="164">
                  <c:v>15.81</c:v>
                </c:pt>
                <c:pt idx="165">
                  <c:v>15.55</c:v>
                </c:pt>
                <c:pt idx="166">
                  <c:v>15.84</c:v>
                </c:pt>
                <c:pt idx="167">
                  <c:v>15.92</c:v>
                </c:pt>
                <c:pt idx="168">
                  <c:v>16.190000000000001</c:v>
                </c:pt>
                <c:pt idx="169">
                  <c:v>16.09</c:v>
                </c:pt>
                <c:pt idx="170">
                  <c:v>15.9</c:v>
                </c:pt>
                <c:pt idx="171">
                  <c:v>16.079999999999998</c:v>
                </c:pt>
                <c:pt idx="172">
                  <c:v>16.02</c:v>
                </c:pt>
                <c:pt idx="173">
                  <c:v>15.8</c:v>
                </c:pt>
                <c:pt idx="174">
                  <c:v>15.79</c:v>
                </c:pt>
                <c:pt idx="175">
                  <c:v>15.79</c:v>
                </c:pt>
                <c:pt idx="176">
                  <c:v>15.79</c:v>
                </c:pt>
                <c:pt idx="177">
                  <c:v>15.97</c:v>
                </c:pt>
                <c:pt idx="178">
                  <c:v>16.100000000000001</c:v>
                </c:pt>
                <c:pt idx="179">
                  <c:v>16.07</c:v>
                </c:pt>
                <c:pt idx="180">
                  <c:v>16.059999999999999</c:v>
                </c:pt>
                <c:pt idx="181">
                  <c:v>16.18</c:v>
                </c:pt>
                <c:pt idx="182">
                  <c:v>16.100000000000001</c:v>
                </c:pt>
                <c:pt idx="183">
                  <c:v>16.04</c:v>
                </c:pt>
                <c:pt idx="184">
                  <c:v>16.18</c:v>
                </c:pt>
                <c:pt idx="185">
                  <c:v>16.239999999999998</c:v>
                </c:pt>
                <c:pt idx="186">
                  <c:v>16.11</c:v>
                </c:pt>
                <c:pt idx="187">
                  <c:v>16.170000000000002</c:v>
                </c:pt>
                <c:pt idx="188">
                  <c:v>16.23</c:v>
                </c:pt>
                <c:pt idx="189">
                  <c:v>16.149999999999999</c:v>
                </c:pt>
                <c:pt idx="190">
                  <c:v>15.99</c:v>
                </c:pt>
                <c:pt idx="191">
                  <c:v>15.95</c:v>
                </c:pt>
                <c:pt idx="192">
                  <c:v>16.09</c:v>
                </c:pt>
                <c:pt idx="193">
                  <c:v>16.07</c:v>
                </c:pt>
                <c:pt idx="194">
                  <c:v>15.88</c:v>
                </c:pt>
                <c:pt idx="195">
                  <c:v>15.89</c:v>
                </c:pt>
                <c:pt idx="196">
                  <c:v>15.91</c:v>
                </c:pt>
                <c:pt idx="197">
                  <c:v>15.94</c:v>
                </c:pt>
                <c:pt idx="198">
                  <c:v>15.7</c:v>
                </c:pt>
                <c:pt idx="199">
                  <c:v>15.95</c:v>
                </c:pt>
                <c:pt idx="200">
                  <c:v>16.05</c:v>
                </c:pt>
                <c:pt idx="201">
                  <c:v>16.29</c:v>
                </c:pt>
                <c:pt idx="202">
                  <c:v>16.59</c:v>
                </c:pt>
                <c:pt idx="203">
                  <c:v>16.559999999999999</c:v>
                </c:pt>
                <c:pt idx="204">
                  <c:v>16.53</c:v>
                </c:pt>
                <c:pt idx="205">
                  <c:v>16.649999999999999</c:v>
                </c:pt>
                <c:pt idx="206">
                  <c:v>16.64</c:v>
                </c:pt>
                <c:pt idx="207">
                  <c:v>16.59</c:v>
                </c:pt>
                <c:pt idx="208">
                  <c:v>16.64</c:v>
                </c:pt>
                <c:pt idx="209">
                  <c:v>16.75</c:v>
                </c:pt>
                <c:pt idx="210">
                  <c:v>16.72</c:v>
                </c:pt>
                <c:pt idx="211">
                  <c:v>16.64</c:v>
                </c:pt>
                <c:pt idx="212">
                  <c:v>16.510000000000002</c:v>
                </c:pt>
                <c:pt idx="213">
                  <c:v>16.55</c:v>
                </c:pt>
                <c:pt idx="214">
                  <c:v>16.41</c:v>
                </c:pt>
                <c:pt idx="215">
                  <c:v>16.489999999999998</c:v>
                </c:pt>
                <c:pt idx="216">
                  <c:v>16.43</c:v>
                </c:pt>
                <c:pt idx="217">
                  <c:v>16.48</c:v>
                </c:pt>
                <c:pt idx="218">
                  <c:v>16.48</c:v>
                </c:pt>
                <c:pt idx="219">
                  <c:v>16.600000000000001</c:v>
                </c:pt>
                <c:pt idx="220">
                  <c:v>16.55</c:v>
                </c:pt>
                <c:pt idx="221">
                  <c:v>16.489999999999998</c:v>
                </c:pt>
                <c:pt idx="222">
                  <c:v>16.37</c:v>
                </c:pt>
                <c:pt idx="223">
                  <c:v>16.440000000000001</c:v>
                </c:pt>
                <c:pt idx="224">
                  <c:v>16.62</c:v>
                </c:pt>
                <c:pt idx="225">
                  <c:v>16.57</c:v>
                </c:pt>
                <c:pt idx="226">
                  <c:v>16.47</c:v>
                </c:pt>
                <c:pt idx="227">
                  <c:v>16.38</c:v>
                </c:pt>
                <c:pt idx="228">
                  <c:v>16.28</c:v>
                </c:pt>
                <c:pt idx="229">
                  <c:v>16.420000000000002</c:v>
                </c:pt>
                <c:pt idx="230">
                  <c:v>16.350000000000001</c:v>
                </c:pt>
                <c:pt idx="231">
                  <c:v>16.27</c:v>
                </c:pt>
                <c:pt idx="232">
                  <c:v>16.2</c:v>
                </c:pt>
                <c:pt idx="233">
                  <c:v>16.38</c:v>
                </c:pt>
                <c:pt idx="234">
                  <c:v>16.399999999999999</c:v>
                </c:pt>
                <c:pt idx="235">
                  <c:v>16.649999999999999</c:v>
                </c:pt>
                <c:pt idx="236">
                  <c:v>16.649999999999999</c:v>
                </c:pt>
                <c:pt idx="237">
                  <c:v>16.52</c:v>
                </c:pt>
                <c:pt idx="238">
                  <c:v>16.52</c:v>
                </c:pt>
                <c:pt idx="239">
                  <c:v>16.600000000000001</c:v>
                </c:pt>
                <c:pt idx="240">
                  <c:v>16.46</c:v>
                </c:pt>
                <c:pt idx="241">
                  <c:v>16.440000000000001</c:v>
                </c:pt>
                <c:pt idx="242">
                  <c:v>16.399999999999999</c:v>
                </c:pt>
                <c:pt idx="243">
                  <c:v>16.440000000000001</c:v>
                </c:pt>
                <c:pt idx="244">
                  <c:v>16.559999999999999</c:v>
                </c:pt>
                <c:pt idx="245">
                  <c:v>16.670000000000002</c:v>
                </c:pt>
                <c:pt idx="246">
                  <c:v>16.77</c:v>
                </c:pt>
                <c:pt idx="247">
                  <c:v>16.71</c:v>
                </c:pt>
                <c:pt idx="248">
                  <c:v>16.64</c:v>
                </c:pt>
                <c:pt idx="249">
                  <c:v>16.739999999999998</c:v>
                </c:pt>
              </c:numCache>
            </c:numRef>
          </c:val>
          <c:smooth val="0"/>
          <c:extLst>
            <c:ext xmlns:c16="http://schemas.microsoft.com/office/drawing/2014/chart" uri="{C3380CC4-5D6E-409C-BE32-E72D297353CC}">
              <c16:uniqueId val="{00000000-764E-437D-A3C5-04F3299750E3}"/>
            </c:ext>
          </c:extLst>
        </c:ser>
        <c:dLbls>
          <c:showLegendKey val="0"/>
          <c:showVal val="0"/>
          <c:showCatName val="0"/>
          <c:showSerName val="0"/>
          <c:showPercent val="0"/>
          <c:showBubbleSize val="0"/>
        </c:dLbls>
        <c:smooth val="0"/>
        <c:axId val="48650112"/>
        <c:axId val="48672768"/>
      </c:lineChart>
      <c:catAx>
        <c:axId val="48650112"/>
        <c:scaling>
          <c:orientation val="minMax"/>
        </c:scaling>
        <c:delete val="0"/>
        <c:axPos val="b"/>
        <c:majorGridlines>
          <c:spPr>
            <a:ln w="9525">
              <a:solidFill>
                <a:srgbClr val="CCCCCC"/>
              </a:solidFill>
              <a:prstDash val="dash"/>
            </a:ln>
          </c:spPr>
        </c:majorGridlines>
        <c:numFmt formatCode="General" sourceLinked="1"/>
        <c:majorTickMark val="none"/>
        <c:minorTickMark val="none"/>
        <c:tickLblPos val="nextTo"/>
        <c:txPr>
          <a:bodyPr anchorCtr="1"/>
          <a:lstStyle/>
          <a:p>
            <a:pPr>
              <a:defRPr sz="675">
                <a:latin typeface="Arial"/>
                <a:ea typeface="Arial"/>
                <a:cs typeface="Arial"/>
              </a:defRPr>
            </a:pPr>
            <a:endParaRPr lang="en-US"/>
          </a:p>
        </c:txPr>
        <c:crossAx val="48672768"/>
        <c:crosses val="autoZero"/>
        <c:auto val="1"/>
        <c:lblAlgn val="ctr"/>
        <c:lblOffset val="100"/>
        <c:tickLblSkip val="62"/>
        <c:noMultiLvlLbl val="1"/>
      </c:catAx>
      <c:valAx>
        <c:axId val="48672768"/>
        <c:scaling>
          <c:orientation val="minMax"/>
          <c:max val="18"/>
          <c:min val="13"/>
        </c:scaling>
        <c:delete val="0"/>
        <c:axPos val="l"/>
        <c:majorGridlines>
          <c:spPr>
            <a:ln w="9525">
              <a:solidFill>
                <a:srgbClr val="CCCCCC"/>
              </a:solidFill>
              <a:prstDash val="dash"/>
            </a:ln>
          </c:spPr>
        </c:majorGridlines>
        <c:numFmt formatCode="0.00" sourceLinked="0"/>
        <c:majorTickMark val="none"/>
        <c:minorTickMark val="none"/>
        <c:tickLblPos val="nextTo"/>
        <c:txPr>
          <a:bodyPr anchorCtr="1"/>
          <a:lstStyle/>
          <a:p>
            <a:pPr>
              <a:defRPr sz="675">
                <a:latin typeface="Arial"/>
                <a:ea typeface="Arial"/>
                <a:cs typeface="Arial"/>
              </a:defRPr>
            </a:pPr>
            <a:endParaRPr lang="en-US"/>
          </a:p>
        </c:txPr>
        <c:crossAx val="48650112"/>
        <c:crosses val="autoZero"/>
        <c:crossBetween val="between"/>
      </c:valAx>
    </c:plotArea>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sz="900">
                <a:latin typeface="Arial"/>
                <a:ea typeface="Arial"/>
                <a:cs typeface="Arial"/>
              </a:rPr>
              <a:t>Daily close (USD)</a:t>
            </a:r>
          </a:p>
        </c:rich>
      </c:tx>
      <c:overlay val="0"/>
    </c:title>
    <c:autoTitleDeleted val="0"/>
    <c:plotArea>
      <c:layout/>
      <c:lineChart>
        <c:grouping val="standard"/>
        <c:varyColors val="0"/>
        <c:ser>
          <c:idx val="0"/>
          <c:order val="0"/>
          <c:tx>
            <c:v>Displayed price / NAV</c:v>
          </c:tx>
          <c:spPr>
            <a:ln w="19050">
              <a:solidFill>
                <a:srgbClr val="2563EB"/>
              </a:solidFill>
              <a:prstDash val="solid"/>
            </a:ln>
          </c:spPr>
          <c:marker>
            <c:symbol val="none"/>
          </c:marker>
          <c:cat>
            <c:numRef>
              <c:f>History!$A$2:$A$251</c:f>
              <c:numCache>
                <c:formatCode>m/d/yyyy</c:formatCode>
                <c:ptCount val="250"/>
                <c:pt idx="0">
                  <c:v>45943</c:v>
                </c:pt>
                <c:pt idx="1">
                  <c:v>45944</c:v>
                </c:pt>
                <c:pt idx="2">
                  <c:v>45945</c:v>
                </c:pt>
                <c:pt idx="3">
                  <c:v>45946</c:v>
                </c:pt>
                <c:pt idx="4">
                  <c:v>45947</c:v>
                </c:pt>
                <c:pt idx="5">
                  <c:v>45950</c:v>
                </c:pt>
                <c:pt idx="6">
                  <c:v>45951</c:v>
                </c:pt>
                <c:pt idx="7">
                  <c:v>45952</c:v>
                </c:pt>
                <c:pt idx="8">
                  <c:v>45953</c:v>
                </c:pt>
                <c:pt idx="9">
                  <c:v>45954</c:v>
                </c:pt>
                <c:pt idx="10">
                  <c:v>45957</c:v>
                </c:pt>
                <c:pt idx="11">
                  <c:v>45958</c:v>
                </c:pt>
                <c:pt idx="12">
                  <c:v>45959</c:v>
                </c:pt>
                <c:pt idx="13">
                  <c:v>45960</c:v>
                </c:pt>
                <c:pt idx="14">
                  <c:v>45961</c:v>
                </c:pt>
                <c:pt idx="15">
                  <c:v>45964</c:v>
                </c:pt>
                <c:pt idx="16">
                  <c:v>45965</c:v>
                </c:pt>
                <c:pt idx="17">
                  <c:v>45966</c:v>
                </c:pt>
                <c:pt idx="18">
                  <c:v>45967</c:v>
                </c:pt>
                <c:pt idx="19">
                  <c:v>45968</c:v>
                </c:pt>
                <c:pt idx="20">
                  <c:v>45971</c:v>
                </c:pt>
                <c:pt idx="21">
                  <c:v>45972</c:v>
                </c:pt>
                <c:pt idx="22">
                  <c:v>45973</c:v>
                </c:pt>
                <c:pt idx="23">
                  <c:v>45974</c:v>
                </c:pt>
                <c:pt idx="24">
                  <c:v>45975</c:v>
                </c:pt>
                <c:pt idx="25">
                  <c:v>45978</c:v>
                </c:pt>
                <c:pt idx="26">
                  <c:v>45979</c:v>
                </c:pt>
                <c:pt idx="27">
                  <c:v>45980</c:v>
                </c:pt>
                <c:pt idx="28">
                  <c:v>45981</c:v>
                </c:pt>
                <c:pt idx="29">
                  <c:v>45982</c:v>
                </c:pt>
                <c:pt idx="30">
                  <c:v>45985</c:v>
                </c:pt>
                <c:pt idx="31">
                  <c:v>45986</c:v>
                </c:pt>
                <c:pt idx="32">
                  <c:v>45987</c:v>
                </c:pt>
                <c:pt idx="33">
                  <c:v>45989</c:v>
                </c:pt>
                <c:pt idx="34">
                  <c:v>45992</c:v>
                </c:pt>
                <c:pt idx="35">
                  <c:v>45993</c:v>
                </c:pt>
                <c:pt idx="36">
                  <c:v>45994</c:v>
                </c:pt>
                <c:pt idx="37">
                  <c:v>45995</c:v>
                </c:pt>
                <c:pt idx="38">
                  <c:v>45996</c:v>
                </c:pt>
                <c:pt idx="39">
                  <c:v>45999</c:v>
                </c:pt>
                <c:pt idx="40">
                  <c:v>46000</c:v>
                </c:pt>
                <c:pt idx="41">
                  <c:v>46001</c:v>
                </c:pt>
                <c:pt idx="42">
                  <c:v>46002</c:v>
                </c:pt>
                <c:pt idx="43">
                  <c:v>46003</c:v>
                </c:pt>
                <c:pt idx="44">
                  <c:v>46006</c:v>
                </c:pt>
                <c:pt idx="45">
                  <c:v>46007</c:v>
                </c:pt>
                <c:pt idx="46">
                  <c:v>46008</c:v>
                </c:pt>
                <c:pt idx="47">
                  <c:v>46009</c:v>
                </c:pt>
                <c:pt idx="48">
                  <c:v>46010</c:v>
                </c:pt>
                <c:pt idx="49">
                  <c:v>46013</c:v>
                </c:pt>
                <c:pt idx="50">
                  <c:v>46014</c:v>
                </c:pt>
                <c:pt idx="51">
                  <c:v>46015</c:v>
                </c:pt>
                <c:pt idx="52">
                  <c:v>46017</c:v>
                </c:pt>
                <c:pt idx="53">
                  <c:v>46020</c:v>
                </c:pt>
                <c:pt idx="54">
                  <c:v>46021</c:v>
                </c:pt>
                <c:pt idx="55">
                  <c:v>46022</c:v>
                </c:pt>
                <c:pt idx="56">
                  <c:v>46024</c:v>
                </c:pt>
                <c:pt idx="57">
                  <c:v>46027</c:v>
                </c:pt>
                <c:pt idx="58">
                  <c:v>46028</c:v>
                </c:pt>
                <c:pt idx="59">
                  <c:v>46029</c:v>
                </c:pt>
                <c:pt idx="60">
                  <c:v>46030</c:v>
                </c:pt>
                <c:pt idx="61">
                  <c:v>46031</c:v>
                </c:pt>
                <c:pt idx="62">
                  <c:v>46034</c:v>
                </c:pt>
                <c:pt idx="63">
                  <c:v>46035</c:v>
                </c:pt>
                <c:pt idx="64">
                  <c:v>46036</c:v>
                </c:pt>
                <c:pt idx="65">
                  <c:v>46037</c:v>
                </c:pt>
                <c:pt idx="66">
                  <c:v>46038</c:v>
                </c:pt>
                <c:pt idx="67">
                  <c:v>46042</c:v>
                </c:pt>
                <c:pt idx="68">
                  <c:v>46043</c:v>
                </c:pt>
                <c:pt idx="69">
                  <c:v>46044</c:v>
                </c:pt>
                <c:pt idx="70">
                  <c:v>46045</c:v>
                </c:pt>
                <c:pt idx="71">
                  <c:v>46048</c:v>
                </c:pt>
                <c:pt idx="72">
                  <c:v>46049</c:v>
                </c:pt>
                <c:pt idx="73">
                  <c:v>46050</c:v>
                </c:pt>
                <c:pt idx="74">
                  <c:v>46051</c:v>
                </c:pt>
                <c:pt idx="75">
                  <c:v>46052</c:v>
                </c:pt>
                <c:pt idx="76">
                  <c:v>46055</c:v>
                </c:pt>
                <c:pt idx="77">
                  <c:v>46056</c:v>
                </c:pt>
                <c:pt idx="78">
                  <c:v>46057</c:v>
                </c:pt>
                <c:pt idx="79">
                  <c:v>46058</c:v>
                </c:pt>
                <c:pt idx="80">
                  <c:v>46059</c:v>
                </c:pt>
                <c:pt idx="81">
                  <c:v>46062</c:v>
                </c:pt>
                <c:pt idx="82">
                  <c:v>46063</c:v>
                </c:pt>
                <c:pt idx="83">
                  <c:v>46064</c:v>
                </c:pt>
                <c:pt idx="84">
                  <c:v>46065</c:v>
                </c:pt>
                <c:pt idx="85">
                  <c:v>46066</c:v>
                </c:pt>
                <c:pt idx="86">
                  <c:v>46070</c:v>
                </c:pt>
                <c:pt idx="87">
                  <c:v>46071</c:v>
                </c:pt>
                <c:pt idx="88">
                  <c:v>46072</c:v>
                </c:pt>
                <c:pt idx="89">
                  <c:v>46073</c:v>
                </c:pt>
                <c:pt idx="90">
                  <c:v>46076</c:v>
                </c:pt>
                <c:pt idx="91">
                  <c:v>46077</c:v>
                </c:pt>
                <c:pt idx="92">
                  <c:v>46078</c:v>
                </c:pt>
                <c:pt idx="93">
                  <c:v>46079</c:v>
                </c:pt>
                <c:pt idx="94">
                  <c:v>46080</c:v>
                </c:pt>
                <c:pt idx="95">
                  <c:v>46083</c:v>
                </c:pt>
                <c:pt idx="96">
                  <c:v>46084</c:v>
                </c:pt>
                <c:pt idx="97">
                  <c:v>46085</c:v>
                </c:pt>
                <c:pt idx="98">
                  <c:v>46086</c:v>
                </c:pt>
                <c:pt idx="99">
                  <c:v>46087</c:v>
                </c:pt>
                <c:pt idx="100">
                  <c:v>46090</c:v>
                </c:pt>
                <c:pt idx="101">
                  <c:v>46091</c:v>
                </c:pt>
                <c:pt idx="102">
                  <c:v>46092</c:v>
                </c:pt>
                <c:pt idx="103">
                  <c:v>46093</c:v>
                </c:pt>
                <c:pt idx="104">
                  <c:v>46094</c:v>
                </c:pt>
                <c:pt idx="105">
                  <c:v>46097</c:v>
                </c:pt>
                <c:pt idx="106">
                  <c:v>46098</c:v>
                </c:pt>
                <c:pt idx="107">
                  <c:v>46099</c:v>
                </c:pt>
                <c:pt idx="108">
                  <c:v>46100</c:v>
                </c:pt>
                <c:pt idx="109">
                  <c:v>46101</c:v>
                </c:pt>
                <c:pt idx="110">
                  <c:v>46104</c:v>
                </c:pt>
                <c:pt idx="111">
                  <c:v>46105</c:v>
                </c:pt>
                <c:pt idx="112">
                  <c:v>46106</c:v>
                </c:pt>
                <c:pt idx="113">
                  <c:v>46107</c:v>
                </c:pt>
                <c:pt idx="114">
                  <c:v>46108</c:v>
                </c:pt>
                <c:pt idx="115">
                  <c:v>46111</c:v>
                </c:pt>
                <c:pt idx="116">
                  <c:v>46112</c:v>
                </c:pt>
                <c:pt idx="117">
                  <c:v>46113</c:v>
                </c:pt>
                <c:pt idx="118">
                  <c:v>46114</c:v>
                </c:pt>
                <c:pt idx="119">
                  <c:v>46118</c:v>
                </c:pt>
                <c:pt idx="120">
                  <c:v>46119</c:v>
                </c:pt>
                <c:pt idx="121">
                  <c:v>46120</c:v>
                </c:pt>
                <c:pt idx="122">
                  <c:v>46121</c:v>
                </c:pt>
                <c:pt idx="123">
                  <c:v>46122</c:v>
                </c:pt>
                <c:pt idx="124">
                  <c:v>46125</c:v>
                </c:pt>
                <c:pt idx="125">
                  <c:v>46126</c:v>
                </c:pt>
                <c:pt idx="126">
                  <c:v>46127</c:v>
                </c:pt>
                <c:pt idx="127">
                  <c:v>46128</c:v>
                </c:pt>
                <c:pt idx="128">
                  <c:v>46129</c:v>
                </c:pt>
                <c:pt idx="129">
                  <c:v>46132</c:v>
                </c:pt>
                <c:pt idx="130">
                  <c:v>46133</c:v>
                </c:pt>
                <c:pt idx="131">
                  <c:v>46134</c:v>
                </c:pt>
                <c:pt idx="132">
                  <c:v>46135</c:v>
                </c:pt>
                <c:pt idx="133">
                  <c:v>46136</c:v>
                </c:pt>
                <c:pt idx="134">
                  <c:v>46139</c:v>
                </c:pt>
                <c:pt idx="135">
                  <c:v>46140</c:v>
                </c:pt>
                <c:pt idx="136">
                  <c:v>46141</c:v>
                </c:pt>
                <c:pt idx="137">
                  <c:v>46142</c:v>
                </c:pt>
                <c:pt idx="138">
                  <c:v>46143</c:v>
                </c:pt>
                <c:pt idx="139">
                  <c:v>46146</c:v>
                </c:pt>
                <c:pt idx="140">
                  <c:v>46147</c:v>
                </c:pt>
                <c:pt idx="141">
                  <c:v>46148</c:v>
                </c:pt>
                <c:pt idx="142">
                  <c:v>46149</c:v>
                </c:pt>
                <c:pt idx="143">
                  <c:v>46150</c:v>
                </c:pt>
                <c:pt idx="144">
                  <c:v>46153</c:v>
                </c:pt>
                <c:pt idx="145">
                  <c:v>46154</c:v>
                </c:pt>
                <c:pt idx="146">
                  <c:v>46155</c:v>
                </c:pt>
                <c:pt idx="147">
                  <c:v>46156</c:v>
                </c:pt>
                <c:pt idx="148">
                  <c:v>46157</c:v>
                </c:pt>
                <c:pt idx="149">
                  <c:v>46160</c:v>
                </c:pt>
                <c:pt idx="150">
                  <c:v>46161</c:v>
                </c:pt>
                <c:pt idx="151">
                  <c:v>46162</c:v>
                </c:pt>
                <c:pt idx="152">
                  <c:v>46163</c:v>
                </c:pt>
                <c:pt idx="153">
                  <c:v>46164</c:v>
                </c:pt>
                <c:pt idx="154">
                  <c:v>46168</c:v>
                </c:pt>
                <c:pt idx="155">
                  <c:v>46169</c:v>
                </c:pt>
                <c:pt idx="156">
                  <c:v>46170</c:v>
                </c:pt>
                <c:pt idx="157">
                  <c:v>46171</c:v>
                </c:pt>
                <c:pt idx="158">
                  <c:v>46174</c:v>
                </c:pt>
                <c:pt idx="159">
                  <c:v>46175</c:v>
                </c:pt>
                <c:pt idx="160">
                  <c:v>46176</c:v>
                </c:pt>
                <c:pt idx="161">
                  <c:v>46177</c:v>
                </c:pt>
                <c:pt idx="162">
                  <c:v>46178</c:v>
                </c:pt>
                <c:pt idx="163">
                  <c:v>46181</c:v>
                </c:pt>
                <c:pt idx="164">
                  <c:v>46182</c:v>
                </c:pt>
                <c:pt idx="165">
                  <c:v>46183</c:v>
                </c:pt>
                <c:pt idx="166">
                  <c:v>46184</c:v>
                </c:pt>
                <c:pt idx="167">
                  <c:v>46185</c:v>
                </c:pt>
                <c:pt idx="168">
                  <c:v>46188</c:v>
                </c:pt>
                <c:pt idx="169">
                  <c:v>46189</c:v>
                </c:pt>
                <c:pt idx="170">
                  <c:v>46190</c:v>
                </c:pt>
                <c:pt idx="171">
                  <c:v>46191</c:v>
                </c:pt>
                <c:pt idx="172">
                  <c:v>46195</c:v>
                </c:pt>
                <c:pt idx="173">
                  <c:v>46196</c:v>
                </c:pt>
                <c:pt idx="174">
                  <c:v>46197</c:v>
                </c:pt>
                <c:pt idx="175">
                  <c:v>46198</c:v>
                </c:pt>
                <c:pt idx="176">
                  <c:v>46199</c:v>
                </c:pt>
                <c:pt idx="177">
                  <c:v>46202</c:v>
                </c:pt>
                <c:pt idx="178">
                  <c:v>46203</c:v>
                </c:pt>
                <c:pt idx="179">
                  <c:v>46204</c:v>
                </c:pt>
                <c:pt idx="180">
                  <c:v>46205</c:v>
                </c:pt>
                <c:pt idx="181">
                  <c:v>46209</c:v>
                </c:pt>
                <c:pt idx="182">
                  <c:v>46210</c:v>
                </c:pt>
                <c:pt idx="183">
                  <c:v>46211</c:v>
                </c:pt>
                <c:pt idx="184">
                  <c:v>46212</c:v>
                </c:pt>
                <c:pt idx="185">
                  <c:v>46213</c:v>
                </c:pt>
                <c:pt idx="186">
                  <c:v>46216</c:v>
                </c:pt>
                <c:pt idx="187">
                  <c:v>46217</c:v>
                </c:pt>
                <c:pt idx="188">
                  <c:v>46218</c:v>
                </c:pt>
                <c:pt idx="189">
                  <c:v>46219</c:v>
                </c:pt>
                <c:pt idx="190">
                  <c:v>46220</c:v>
                </c:pt>
                <c:pt idx="191">
                  <c:v>46223</c:v>
                </c:pt>
                <c:pt idx="192">
                  <c:v>46224</c:v>
                </c:pt>
                <c:pt idx="193">
                  <c:v>46225</c:v>
                </c:pt>
                <c:pt idx="194">
                  <c:v>46226</c:v>
                </c:pt>
                <c:pt idx="195">
                  <c:v>46227</c:v>
                </c:pt>
                <c:pt idx="196">
                  <c:v>46230</c:v>
                </c:pt>
                <c:pt idx="197">
                  <c:v>46231</c:v>
                </c:pt>
                <c:pt idx="198">
                  <c:v>46232</c:v>
                </c:pt>
                <c:pt idx="199">
                  <c:v>46233</c:v>
                </c:pt>
                <c:pt idx="200">
                  <c:v>46234</c:v>
                </c:pt>
                <c:pt idx="201">
                  <c:v>46237</c:v>
                </c:pt>
                <c:pt idx="202">
                  <c:v>46238</c:v>
                </c:pt>
                <c:pt idx="203">
                  <c:v>46239</c:v>
                </c:pt>
                <c:pt idx="204">
                  <c:v>46240</c:v>
                </c:pt>
                <c:pt idx="205">
                  <c:v>46241</c:v>
                </c:pt>
                <c:pt idx="206">
                  <c:v>46244</c:v>
                </c:pt>
                <c:pt idx="207">
                  <c:v>46245</c:v>
                </c:pt>
                <c:pt idx="208">
                  <c:v>46246</c:v>
                </c:pt>
                <c:pt idx="209">
                  <c:v>46247</c:v>
                </c:pt>
                <c:pt idx="210">
                  <c:v>46248</c:v>
                </c:pt>
                <c:pt idx="211">
                  <c:v>46251</c:v>
                </c:pt>
                <c:pt idx="212">
                  <c:v>46252</c:v>
                </c:pt>
                <c:pt idx="213">
                  <c:v>46253</c:v>
                </c:pt>
                <c:pt idx="214">
                  <c:v>46254</c:v>
                </c:pt>
                <c:pt idx="215">
                  <c:v>46255</c:v>
                </c:pt>
                <c:pt idx="216">
                  <c:v>46258</c:v>
                </c:pt>
                <c:pt idx="217">
                  <c:v>46259</c:v>
                </c:pt>
                <c:pt idx="218">
                  <c:v>46260</c:v>
                </c:pt>
                <c:pt idx="219">
                  <c:v>46261</c:v>
                </c:pt>
                <c:pt idx="220">
                  <c:v>46262</c:v>
                </c:pt>
                <c:pt idx="221">
                  <c:v>46265</c:v>
                </c:pt>
                <c:pt idx="222">
                  <c:v>46266</c:v>
                </c:pt>
                <c:pt idx="223">
                  <c:v>46267</c:v>
                </c:pt>
                <c:pt idx="224">
                  <c:v>46268</c:v>
                </c:pt>
                <c:pt idx="225">
                  <c:v>46269</c:v>
                </c:pt>
                <c:pt idx="226">
                  <c:v>46273</c:v>
                </c:pt>
                <c:pt idx="227">
                  <c:v>46274</c:v>
                </c:pt>
                <c:pt idx="228">
                  <c:v>46275</c:v>
                </c:pt>
                <c:pt idx="229">
                  <c:v>46276</c:v>
                </c:pt>
                <c:pt idx="230">
                  <c:v>46279</c:v>
                </c:pt>
                <c:pt idx="231">
                  <c:v>46280</c:v>
                </c:pt>
                <c:pt idx="232">
                  <c:v>46281</c:v>
                </c:pt>
                <c:pt idx="233">
                  <c:v>46282</c:v>
                </c:pt>
                <c:pt idx="234">
                  <c:v>46283</c:v>
                </c:pt>
                <c:pt idx="235">
                  <c:v>46286</c:v>
                </c:pt>
                <c:pt idx="236">
                  <c:v>46287</c:v>
                </c:pt>
                <c:pt idx="237">
                  <c:v>46288</c:v>
                </c:pt>
                <c:pt idx="238">
                  <c:v>46289</c:v>
                </c:pt>
                <c:pt idx="239">
                  <c:v>46290</c:v>
                </c:pt>
                <c:pt idx="240">
                  <c:v>46293</c:v>
                </c:pt>
                <c:pt idx="241">
                  <c:v>46294</c:v>
                </c:pt>
                <c:pt idx="242">
                  <c:v>46295</c:v>
                </c:pt>
                <c:pt idx="243">
                  <c:v>46296</c:v>
                </c:pt>
                <c:pt idx="244">
                  <c:v>46297</c:v>
                </c:pt>
                <c:pt idx="245">
                  <c:v>46300</c:v>
                </c:pt>
                <c:pt idx="246">
                  <c:v>46301</c:v>
                </c:pt>
                <c:pt idx="247">
                  <c:v>46302</c:v>
                </c:pt>
                <c:pt idx="248">
                  <c:v>46303</c:v>
                </c:pt>
                <c:pt idx="249">
                  <c:v>46304</c:v>
                </c:pt>
              </c:numCache>
            </c:numRef>
          </c:cat>
          <c:val>
            <c:numRef>
              <c:f>History!$F$2:$F$251</c:f>
              <c:numCache>
                <c:formatCode>General</c:formatCode>
                <c:ptCount val="250"/>
                <c:pt idx="0">
                  <c:v>14.36</c:v>
                </c:pt>
                <c:pt idx="1">
                  <c:v>14.35</c:v>
                </c:pt>
                <c:pt idx="2">
                  <c:v>14.41</c:v>
                </c:pt>
                <c:pt idx="3">
                  <c:v>14.31</c:v>
                </c:pt>
                <c:pt idx="4">
                  <c:v>14.38</c:v>
                </c:pt>
                <c:pt idx="5">
                  <c:v>14.53</c:v>
                </c:pt>
                <c:pt idx="6">
                  <c:v>14.53</c:v>
                </c:pt>
                <c:pt idx="7">
                  <c:v>14.44</c:v>
                </c:pt>
                <c:pt idx="8">
                  <c:v>14.54</c:v>
                </c:pt>
                <c:pt idx="9">
                  <c:v>14.65</c:v>
                </c:pt>
                <c:pt idx="10">
                  <c:v>14.83</c:v>
                </c:pt>
                <c:pt idx="11">
                  <c:v>14.85</c:v>
                </c:pt>
                <c:pt idx="12">
                  <c:v>14.85</c:v>
                </c:pt>
                <c:pt idx="13">
                  <c:v>14.69</c:v>
                </c:pt>
                <c:pt idx="14">
                  <c:v>14.75</c:v>
                </c:pt>
                <c:pt idx="15">
                  <c:v>14.77</c:v>
                </c:pt>
                <c:pt idx="16">
                  <c:v>14.58</c:v>
                </c:pt>
                <c:pt idx="17">
                  <c:v>14.64</c:v>
                </c:pt>
                <c:pt idx="18">
                  <c:v>14.47</c:v>
                </c:pt>
                <c:pt idx="19">
                  <c:v>14.51</c:v>
                </c:pt>
                <c:pt idx="20">
                  <c:v>14.73</c:v>
                </c:pt>
                <c:pt idx="21">
                  <c:v>14.75</c:v>
                </c:pt>
                <c:pt idx="22">
                  <c:v>14.76</c:v>
                </c:pt>
                <c:pt idx="23">
                  <c:v>14.5</c:v>
                </c:pt>
                <c:pt idx="24">
                  <c:v>14.5</c:v>
                </c:pt>
                <c:pt idx="25">
                  <c:v>14.35</c:v>
                </c:pt>
                <c:pt idx="26">
                  <c:v>14.25</c:v>
                </c:pt>
                <c:pt idx="27">
                  <c:v>14.3</c:v>
                </c:pt>
                <c:pt idx="28">
                  <c:v>14.07</c:v>
                </c:pt>
                <c:pt idx="29">
                  <c:v>14.21</c:v>
                </c:pt>
                <c:pt idx="30">
                  <c:v>14.44</c:v>
                </c:pt>
                <c:pt idx="31">
                  <c:v>14.58</c:v>
                </c:pt>
                <c:pt idx="32">
                  <c:v>14.68</c:v>
                </c:pt>
                <c:pt idx="33">
                  <c:v>14.76</c:v>
                </c:pt>
                <c:pt idx="34">
                  <c:v>14.69</c:v>
                </c:pt>
                <c:pt idx="35">
                  <c:v>14.72</c:v>
                </c:pt>
                <c:pt idx="36">
                  <c:v>14.77</c:v>
                </c:pt>
                <c:pt idx="37">
                  <c:v>14.8</c:v>
                </c:pt>
                <c:pt idx="38">
                  <c:v>14.83</c:v>
                </c:pt>
                <c:pt idx="39">
                  <c:v>14.78</c:v>
                </c:pt>
                <c:pt idx="40">
                  <c:v>14.76</c:v>
                </c:pt>
                <c:pt idx="41">
                  <c:v>14.87</c:v>
                </c:pt>
                <c:pt idx="42">
                  <c:v>14.91</c:v>
                </c:pt>
                <c:pt idx="43">
                  <c:v>14.53</c:v>
                </c:pt>
                <c:pt idx="44">
                  <c:v>14.5</c:v>
                </c:pt>
                <c:pt idx="45">
                  <c:v>14.46</c:v>
                </c:pt>
                <c:pt idx="46">
                  <c:v>14.3</c:v>
                </c:pt>
                <c:pt idx="47">
                  <c:v>14.41</c:v>
                </c:pt>
                <c:pt idx="48">
                  <c:v>14.54</c:v>
                </c:pt>
                <c:pt idx="49">
                  <c:v>14.65</c:v>
                </c:pt>
                <c:pt idx="50">
                  <c:v>14.7</c:v>
                </c:pt>
                <c:pt idx="51">
                  <c:v>14.75</c:v>
                </c:pt>
                <c:pt idx="52">
                  <c:v>14.74</c:v>
                </c:pt>
                <c:pt idx="53">
                  <c:v>14.69</c:v>
                </c:pt>
                <c:pt idx="54">
                  <c:v>14.66</c:v>
                </c:pt>
                <c:pt idx="55">
                  <c:v>14.55</c:v>
                </c:pt>
                <c:pt idx="56">
                  <c:v>14.6</c:v>
                </c:pt>
                <c:pt idx="57">
                  <c:v>14.7</c:v>
                </c:pt>
                <c:pt idx="58">
                  <c:v>14.8</c:v>
                </c:pt>
                <c:pt idx="59">
                  <c:v>14.75</c:v>
                </c:pt>
                <c:pt idx="60">
                  <c:v>14.75</c:v>
                </c:pt>
                <c:pt idx="61">
                  <c:v>14.84</c:v>
                </c:pt>
                <c:pt idx="62">
                  <c:v>14.87</c:v>
                </c:pt>
                <c:pt idx="63">
                  <c:v>14.84</c:v>
                </c:pt>
                <c:pt idx="64">
                  <c:v>14.77</c:v>
                </c:pt>
                <c:pt idx="65">
                  <c:v>14.81</c:v>
                </c:pt>
                <c:pt idx="66">
                  <c:v>14.81</c:v>
                </c:pt>
                <c:pt idx="67">
                  <c:v>14.51</c:v>
                </c:pt>
                <c:pt idx="68">
                  <c:v>14.68</c:v>
                </c:pt>
                <c:pt idx="69">
                  <c:v>14.76</c:v>
                </c:pt>
                <c:pt idx="70">
                  <c:v>14.75</c:v>
                </c:pt>
                <c:pt idx="71">
                  <c:v>14.82</c:v>
                </c:pt>
                <c:pt idx="72">
                  <c:v>14.87</c:v>
                </c:pt>
                <c:pt idx="73">
                  <c:v>14.87</c:v>
                </c:pt>
                <c:pt idx="74">
                  <c:v>14.84</c:v>
                </c:pt>
                <c:pt idx="75">
                  <c:v>14.76</c:v>
                </c:pt>
                <c:pt idx="76">
                  <c:v>14.84</c:v>
                </c:pt>
                <c:pt idx="77">
                  <c:v>14.72</c:v>
                </c:pt>
                <c:pt idx="78">
                  <c:v>14.65</c:v>
                </c:pt>
                <c:pt idx="79">
                  <c:v>14.47</c:v>
                </c:pt>
                <c:pt idx="80">
                  <c:v>14.77</c:v>
                </c:pt>
                <c:pt idx="81">
                  <c:v>14.85</c:v>
                </c:pt>
                <c:pt idx="82">
                  <c:v>14.8</c:v>
                </c:pt>
                <c:pt idx="83">
                  <c:v>14.8</c:v>
                </c:pt>
                <c:pt idx="84">
                  <c:v>14.56</c:v>
                </c:pt>
                <c:pt idx="85">
                  <c:v>14.58</c:v>
                </c:pt>
                <c:pt idx="86">
                  <c:v>14.6</c:v>
                </c:pt>
                <c:pt idx="87">
                  <c:v>14.68</c:v>
                </c:pt>
                <c:pt idx="88">
                  <c:v>14.65</c:v>
                </c:pt>
                <c:pt idx="89">
                  <c:v>14.74</c:v>
                </c:pt>
                <c:pt idx="90">
                  <c:v>14.57</c:v>
                </c:pt>
                <c:pt idx="91">
                  <c:v>14.69</c:v>
                </c:pt>
                <c:pt idx="92">
                  <c:v>14.81</c:v>
                </c:pt>
                <c:pt idx="93">
                  <c:v>14.75</c:v>
                </c:pt>
                <c:pt idx="94">
                  <c:v>14.68</c:v>
                </c:pt>
                <c:pt idx="95">
                  <c:v>14.69</c:v>
                </c:pt>
                <c:pt idx="96">
                  <c:v>14.54</c:v>
                </c:pt>
                <c:pt idx="97">
                  <c:v>14.65</c:v>
                </c:pt>
                <c:pt idx="98">
                  <c:v>14.56</c:v>
                </c:pt>
                <c:pt idx="99">
                  <c:v>14.36</c:v>
                </c:pt>
                <c:pt idx="100">
                  <c:v>14.49</c:v>
                </c:pt>
                <c:pt idx="101">
                  <c:v>14.46</c:v>
                </c:pt>
                <c:pt idx="102">
                  <c:v>14.44</c:v>
                </c:pt>
                <c:pt idx="103">
                  <c:v>14.22</c:v>
                </c:pt>
                <c:pt idx="104">
                  <c:v>14.13</c:v>
                </c:pt>
                <c:pt idx="105">
                  <c:v>14.28</c:v>
                </c:pt>
                <c:pt idx="106">
                  <c:v>14.32</c:v>
                </c:pt>
                <c:pt idx="107">
                  <c:v>14.13</c:v>
                </c:pt>
                <c:pt idx="108">
                  <c:v>14.1</c:v>
                </c:pt>
                <c:pt idx="109">
                  <c:v>13.88</c:v>
                </c:pt>
                <c:pt idx="110">
                  <c:v>14.04</c:v>
                </c:pt>
                <c:pt idx="111">
                  <c:v>13.99</c:v>
                </c:pt>
                <c:pt idx="112">
                  <c:v>14.08</c:v>
                </c:pt>
                <c:pt idx="113">
                  <c:v>13.83</c:v>
                </c:pt>
                <c:pt idx="114">
                  <c:v>13.6</c:v>
                </c:pt>
                <c:pt idx="115">
                  <c:v>13.54</c:v>
                </c:pt>
                <c:pt idx="116">
                  <c:v>13.94</c:v>
                </c:pt>
                <c:pt idx="117">
                  <c:v>14.04</c:v>
                </c:pt>
                <c:pt idx="118">
                  <c:v>14.06</c:v>
                </c:pt>
                <c:pt idx="119">
                  <c:v>14.13</c:v>
                </c:pt>
                <c:pt idx="120">
                  <c:v>14.13</c:v>
                </c:pt>
                <c:pt idx="121">
                  <c:v>14.49</c:v>
                </c:pt>
                <c:pt idx="122">
                  <c:v>14.57</c:v>
                </c:pt>
                <c:pt idx="123">
                  <c:v>14.55</c:v>
                </c:pt>
                <c:pt idx="124">
                  <c:v>14.71</c:v>
                </c:pt>
                <c:pt idx="125">
                  <c:v>14.89</c:v>
                </c:pt>
                <c:pt idx="126">
                  <c:v>15</c:v>
                </c:pt>
                <c:pt idx="127">
                  <c:v>15.04</c:v>
                </c:pt>
                <c:pt idx="128">
                  <c:v>15.23</c:v>
                </c:pt>
                <c:pt idx="129">
                  <c:v>15.21</c:v>
                </c:pt>
                <c:pt idx="130">
                  <c:v>15.11</c:v>
                </c:pt>
                <c:pt idx="131">
                  <c:v>15.26</c:v>
                </c:pt>
                <c:pt idx="132">
                  <c:v>15.19</c:v>
                </c:pt>
                <c:pt idx="133">
                  <c:v>15.3</c:v>
                </c:pt>
                <c:pt idx="134">
                  <c:v>15.32</c:v>
                </c:pt>
                <c:pt idx="135">
                  <c:v>15.24</c:v>
                </c:pt>
                <c:pt idx="136">
                  <c:v>15.23</c:v>
                </c:pt>
                <c:pt idx="137">
                  <c:v>15.39</c:v>
                </c:pt>
                <c:pt idx="138">
                  <c:v>15.44</c:v>
                </c:pt>
                <c:pt idx="139">
                  <c:v>15.38</c:v>
                </c:pt>
                <c:pt idx="140">
                  <c:v>15.51</c:v>
                </c:pt>
                <c:pt idx="141">
                  <c:v>15.73</c:v>
                </c:pt>
                <c:pt idx="142">
                  <c:v>15.66</c:v>
                </c:pt>
                <c:pt idx="143">
                  <c:v>15.78</c:v>
                </c:pt>
                <c:pt idx="144">
                  <c:v>15.81</c:v>
                </c:pt>
                <c:pt idx="145">
                  <c:v>15.78</c:v>
                </c:pt>
                <c:pt idx="146">
                  <c:v>15.87</c:v>
                </c:pt>
                <c:pt idx="147">
                  <c:v>15.99</c:v>
                </c:pt>
                <c:pt idx="148">
                  <c:v>15.79</c:v>
                </c:pt>
                <c:pt idx="149">
                  <c:v>15.77</c:v>
                </c:pt>
                <c:pt idx="150">
                  <c:v>15.67</c:v>
                </c:pt>
                <c:pt idx="151">
                  <c:v>15.85</c:v>
                </c:pt>
                <c:pt idx="152">
                  <c:v>15.88</c:v>
                </c:pt>
                <c:pt idx="153">
                  <c:v>15.95</c:v>
                </c:pt>
                <c:pt idx="154">
                  <c:v>16.059999999999999</c:v>
                </c:pt>
                <c:pt idx="155">
                  <c:v>16.059999999999999</c:v>
                </c:pt>
                <c:pt idx="156">
                  <c:v>16.16</c:v>
                </c:pt>
                <c:pt idx="157">
                  <c:v>16.2</c:v>
                </c:pt>
                <c:pt idx="158">
                  <c:v>16.239999999999998</c:v>
                </c:pt>
                <c:pt idx="159">
                  <c:v>16.28</c:v>
                </c:pt>
                <c:pt idx="160">
                  <c:v>16.16</c:v>
                </c:pt>
                <c:pt idx="161">
                  <c:v>16.239999999999998</c:v>
                </c:pt>
                <c:pt idx="162">
                  <c:v>15.8</c:v>
                </c:pt>
                <c:pt idx="163">
                  <c:v>15.85</c:v>
                </c:pt>
                <c:pt idx="164">
                  <c:v>15.81</c:v>
                </c:pt>
                <c:pt idx="165">
                  <c:v>15.55</c:v>
                </c:pt>
                <c:pt idx="166">
                  <c:v>15.84</c:v>
                </c:pt>
                <c:pt idx="167">
                  <c:v>15.92</c:v>
                </c:pt>
                <c:pt idx="168">
                  <c:v>16.190000000000001</c:v>
                </c:pt>
                <c:pt idx="169">
                  <c:v>16.09</c:v>
                </c:pt>
                <c:pt idx="170">
                  <c:v>15.9</c:v>
                </c:pt>
                <c:pt idx="171">
                  <c:v>16.079999999999998</c:v>
                </c:pt>
                <c:pt idx="172">
                  <c:v>16.02</c:v>
                </c:pt>
                <c:pt idx="173">
                  <c:v>15.8</c:v>
                </c:pt>
                <c:pt idx="174">
                  <c:v>15.79</c:v>
                </c:pt>
                <c:pt idx="175">
                  <c:v>15.79</c:v>
                </c:pt>
                <c:pt idx="176">
                  <c:v>15.79</c:v>
                </c:pt>
                <c:pt idx="177">
                  <c:v>15.97</c:v>
                </c:pt>
                <c:pt idx="178">
                  <c:v>16.100000000000001</c:v>
                </c:pt>
                <c:pt idx="179">
                  <c:v>16.07</c:v>
                </c:pt>
                <c:pt idx="180">
                  <c:v>16.059999999999999</c:v>
                </c:pt>
                <c:pt idx="181">
                  <c:v>16.18</c:v>
                </c:pt>
                <c:pt idx="182">
                  <c:v>16.100000000000001</c:v>
                </c:pt>
                <c:pt idx="183">
                  <c:v>16.04</c:v>
                </c:pt>
                <c:pt idx="184">
                  <c:v>16.18</c:v>
                </c:pt>
                <c:pt idx="185">
                  <c:v>16.239999999999998</c:v>
                </c:pt>
                <c:pt idx="186">
                  <c:v>16.11</c:v>
                </c:pt>
                <c:pt idx="187">
                  <c:v>16.170000000000002</c:v>
                </c:pt>
                <c:pt idx="188">
                  <c:v>16.23</c:v>
                </c:pt>
                <c:pt idx="189">
                  <c:v>16.149999999999999</c:v>
                </c:pt>
                <c:pt idx="190">
                  <c:v>15.99</c:v>
                </c:pt>
                <c:pt idx="191">
                  <c:v>15.95</c:v>
                </c:pt>
                <c:pt idx="192">
                  <c:v>16.09</c:v>
                </c:pt>
                <c:pt idx="193">
                  <c:v>16.07</c:v>
                </c:pt>
                <c:pt idx="194">
                  <c:v>15.88</c:v>
                </c:pt>
                <c:pt idx="195">
                  <c:v>15.89</c:v>
                </c:pt>
                <c:pt idx="196">
                  <c:v>15.91</c:v>
                </c:pt>
                <c:pt idx="197">
                  <c:v>15.94</c:v>
                </c:pt>
                <c:pt idx="198">
                  <c:v>15.7</c:v>
                </c:pt>
                <c:pt idx="199">
                  <c:v>15.95</c:v>
                </c:pt>
                <c:pt idx="200">
                  <c:v>16.05</c:v>
                </c:pt>
                <c:pt idx="201">
                  <c:v>16.29</c:v>
                </c:pt>
                <c:pt idx="202">
                  <c:v>16.59</c:v>
                </c:pt>
                <c:pt idx="203">
                  <c:v>16.559999999999999</c:v>
                </c:pt>
                <c:pt idx="204">
                  <c:v>16.53</c:v>
                </c:pt>
                <c:pt idx="205">
                  <c:v>16.649999999999999</c:v>
                </c:pt>
                <c:pt idx="206">
                  <c:v>16.64</c:v>
                </c:pt>
                <c:pt idx="207">
                  <c:v>16.59</c:v>
                </c:pt>
                <c:pt idx="208">
                  <c:v>16.64</c:v>
                </c:pt>
                <c:pt idx="209">
                  <c:v>16.75</c:v>
                </c:pt>
                <c:pt idx="210">
                  <c:v>16.72</c:v>
                </c:pt>
                <c:pt idx="211">
                  <c:v>16.64</c:v>
                </c:pt>
                <c:pt idx="212">
                  <c:v>16.510000000000002</c:v>
                </c:pt>
                <c:pt idx="213">
                  <c:v>16.55</c:v>
                </c:pt>
                <c:pt idx="214">
                  <c:v>16.41</c:v>
                </c:pt>
                <c:pt idx="215">
                  <c:v>16.489999999999998</c:v>
                </c:pt>
                <c:pt idx="216">
                  <c:v>16.43</c:v>
                </c:pt>
                <c:pt idx="217">
                  <c:v>16.48</c:v>
                </c:pt>
                <c:pt idx="218">
                  <c:v>16.48</c:v>
                </c:pt>
                <c:pt idx="219">
                  <c:v>16.600000000000001</c:v>
                </c:pt>
                <c:pt idx="220">
                  <c:v>16.55</c:v>
                </c:pt>
                <c:pt idx="221">
                  <c:v>16.489999999999998</c:v>
                </c:pt>
                <c:pt idx="222">
                  <c:v>16.37</c:v>
                </c:pt>
                <c:pt idx="223">
                  <c:v>16.440000000000001</c:v>
                </c:pt>
                <c:pt idx="224">
                  <c:v>16.62</c:v>
                </c:pt>
                <c:pt idx="225">
                  <c:v>16.57</c:v>
                </c:pt>
                <c:pt idx="226">
                  <c:v>16.47</c:v>
                </c:pt>
                <c:pt idx="227">
                  <c:v>16.38</c:v>
                </c:pt>
                <c:pt idx="228">
                  <c:v>16.28</c:v>
                </c:pt>
                <c:pt idx="229">
                  <c:v>16.420000000000002</c:v>
                </c:pt>
                <c:pt idx="230">
                  <c:v>16.350000000000001</c:v>
                </c:pt>
                <c:pt idx="231">
                  <c:v>16.27</c:v>
                </c:pt>
                <c:pt idx="232">
                  <c:v>16.2</c:v>
                </c:pt>
                <c:pt idx="233">
                  <c:v>16.38</c:v>
                </c:pt>
                <c:pt idx="234">
                  <c:v>16.399999999999999</c:v>
                </c:pt>
                <c:pt idx="235">
                  <c:v>16.649999999999999</c:v>
                </c:pt>
                <c:pt idx="236">
                  <c:v>16.649999999999999</c:v>
                </c:pt>
                <c:pt idx="237">
                  <c:v>16.52</c:v>
                </c:pt>
                <c:pt idx="238">
                  <c:v>16.52</c:v>
                </c:pt>
                <c:pt idx="239">
                  <c:v>16.600000000000001</c:v>
                </c:pt>
                <c:pt idx="240">
                  <c:v>16.46</c:v>
                </c:pt>
                <c:pt idx="241">
                  <c:v>16.440000000000001</c:v>
                </c:pt>
                <c:pt idx="242">
                  <c:v>16.399999999999999</c:v>
                </c:pt>
                <c:pt idx="243">
                  <c:v>16.440000000000001</c:v>
                </c:pt>
                <c:pt idx="244">
                  <c:v>16.559999999999999</c:v>
                </c:pt>
                <c:pt idx="245">
                  <c:v>16.670000000000002</c:v>
                </c:pt>
                <c:pt idx="246">
                  <c:v>16.77</c:v>
                </c:pt>
                <c:pt idx="247">
                  <c:v>16.71</c:v>
                </c:pt>
                <c:pt idx="248">
                  <c:v>16.64</c:v>
                </c:pt>
                <c:pt idx="249">
                  <c:v>16.739999999999998</c:v>
                </c:pt>
              </c:numCache>
            </c:numRef>
          </c:val>
          <c:smooth val="0"/>
          <c:extLst>
            <c:ext xmlns:c16="http://schemas.microsoft.com/office/drawing/2014/chart" uri="{C3380CC4-5D6E-409C-BE32-E72D297353CC}">
              <c16:uniqueId val="{00000000-C5E9-46B0-B2EE-352AEF3D1436}"/>
            </c:ext>
          </c:extLst>
        </c:ser>
        <c:dLbls>
          <c:showLegendKey val="0"/>
          <c:showVal val="0"/>
          <c:showCatName val="0"/>
          <c:showSerName val="0"/>
          <c:showPercent val="0"/>
          <c:showBubbleSize val="0"/>
        </c:dLbls>
        <c:smooth val="0"/>
        <c:axId val="48650112"/>
        <c:axId val="48672768"/>
      </c:lineChart>
      <c:dateAx>
        <c:axId val="48650112"/>
        <c:scaling>
          <c:orientation val="minMax"/>
        </c:scaling>
        <c:delete val="0"/>
        <c:axPos val="b"/>
        <c:majorGridlines>
          <c:spPr>
            <a:ln w="9525">
              <a:solidFill>
                <a:srgbClr val="CCCCCC"/>
              </a:solidFill>
              <a:prstDash val="dash"/>
            </a:ln>
          </c:spPr>
        </c:majorGridlines>
        <c:numFmt formatCode="m/d/yyyy" sourceLinked="1"/>
        <c:majorTickMark val="none"/>
        <c:minorTickMark val="none"/>
        <c:tickLblPos val="nextTo"/>
        <c:txPr>
          <a:bodyPr anchorCtr="1"/>
          <a:lstStyle/>
          <a:p>
            <a:pPr>
              <a:defRPr sz="675">
                <a:latin typeface="Arial"/>
                <a:ea typeface="Arial"/>
                <a:cs typeface="Arial"/>
              </a:defRPr>
            </a:pPr>
            <a:endParaRPr lang="en-US"/>
          </a:p>
        </c:txPr>
        <c:crossAx val="48672768"/>
        <c:crosses val="autoZero"/>
        <c:auto val="1"/>
        <c:lblOffset val="100"/>
        <c:baseTimeUnit val="days"/>
        <c:majorUnit val="60"/>
      </c:dateAx>
      <c:valAx>
        <c:axId val="48672768"/>
        <c:scaling>
          <c:orientation val="minMax"/>
        </c:scaling>
        <c:delete val="0"/>
        <c:axPos val="l"/>
        <c:majorGridlines>
          <c:spPr>
            <a:ln w="9525">
              <a:solidFill>
                <a:srgbClr val="CCCCCC"/>
              </a:solidFill>
              <a:prstDash val="dash"/>
            </a:ln>
          </c:spPr>
        </c:majorGridlines>
        <c:numFmt formatCode="\$0.00" sourceLinked="0"/>
        <c:majorTickMark val="none"/>
        <c:minorTickMark val="none"/>
        <c:tickLblPos val="nextTo"/>
        <c:txPr>
          <a:bodyPr anchorCtr="1"/>
          <a:lstStyle/>
          <a:p>
            <a:pPr>
              <a:defRPr sz="675">
                <a:latin typeface="Arial"/>
                <a:ea typeface="Arial"/>
                <a:cs typeface="Arial"/>
              </a:defRPr>
            </a:pPr>
            <a:endParaRPr lang="en-US"/>
          </a:p>
        </c:txPr>
        <c:crossAx val="48650112"/>
        <c:crosses val="autoZero"/>
        <c:crossBetween val="between"/>
      </c:valAx>
    </c:plotArea>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38</xdr:row>
      <xdr:rowOff>0</xdr:rowOff>
    </xdr:from>
    <xdr:to>
      <xdr:col>15</xdr:col>
      <xdr:colOff>0</xdr:colOff>
      <xdr:row>55</xdr:row>
      <xdr:rowOff>0</xdr:rowOff>
    </xdr:to>
    <xdr:graphicFrame macro="">
      <xdr:nvGraphicFramePr>
        <xdr:cNvPr id="2" nam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0</xdr:colOff>
      <xdr:row>0</xdr:row>
      <xdr:rowOff>66675</xdr:rowOff>
    </xdr:from>
    <xdr:ext cx="1400175" cy="381000"/>
    <xdr:pic>
      <xdr:nvPicPr>
        <xdr:cNvPr id="3" name="/xl/media/image.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prstGeom prst="rect">
          <a:avLst/>
        </a:prstGeom>
      </xdr:spPr>
    </xdr:pic>
    <xdr:clientData/>
  </xdr:oneCellAnchor>
  <xdr:twoCellAnchor>
    <xdr:from>
      <xdr:col>21</xdr:col>
      <xdr:colOff>0</xdr:colOff>
      <xdr:row>4</xdr:row>
      <xdr:rowOff>0</xdr:rowOff>
    </xdr:from>
    <xdr:to>
      <xdr:col>23</xdr:col>
      <xdr:colOff>0</xdr:colOff>
      <xdr:row>6</xdr:row>
      <xdr:rowOff>0</xdr:rowOff>
    </xdr:to>
    <xdr:sp macro="[0]!RefreshResearchDashboard" textlink="">
      <xdr:nvSpPr>
        <xdr:cNvPr id="1001" name="EnterRefreshButton">
          <a:extLst>
            <a:ext uri="{FF2B5EF4-FFF2-40B4-BE49-F238E27FC236}">
              <a16:creationId xmlns:a16="http://schemas.microsoft.com/office/drawing/2014/main" id="{00000000-0008-0000-0000-0000E9030000}"/>
            </a:ext>
          </a:extLst>
        </xdr:cNvPr>
        <xdr:cNvSpPr/>
      </xdr:nvSpPr>
      <xdr:spPr>
        <a:xfrm>
          <a:off x="0" y="0"/>
          <a:ext cx="3095625" cy="419100"/>
        </a:xfrm>
        <a:prstGeom prst="roundRect">
          <a:avLst/>
        </a:prstGeom>
        <a:solidFill>
          <a:srgbClr val="245DC1"/>
        </a:solidFill>
        <a:ln>
          <a:noFill/>
        </a:ln>
      </xdr:spPr>
      <xdr:txBody>
        <a:bodyPr anchor="ctr"/>
        <a:lstStyle/>
        <a:p>
          <a:pPr algn="ctr"/>
          <a:r>
            <a:rPr lang="en-US" sz="1200" b="1">
              <a:solidFill>
                <a:srgbClr val="FFFFFF"/>
              </a:solidFill>
              <a:latin typeface="Arial"/>
            </a:rPr>
            <a:t>Refresh</a:t>
          </a:r>
          <a:endParaRPr lang="en-US"/>
        </a:p>
      </xdr:txBody>
    </xdr:sp>
    <xdr:clientData/>
  </xdr:twoCellAnchor>
  <xdr:twoCellAnchor>
    <xdr:from>
      <xdr:col>1</xdr:col>
      <xdr:colOff>57150</xdr:colOff>
      <xdr:row>7</xdr:row>
      <xdr:rowOff>175117</xdr:rowOff>
    </xdr:from>
    <xdr:to>
      <xdr:col>2</xdr:col>
      <xdr:colOff>352425</xdr:colOff>
      <xdr:row>9</xdr:row>
      <xdr:rowOff>34433</xdr:rowOff>
    </xdr:to>
    <xdr:pic>
      <xdr:nvPicPr>
        <xdr:cNvPr id="10" name="IssuerLogo" descr="Xignite issuer logo for IBM">
          <a:extLst>
            <a:ext uri="{FF2B5EF4-FFF2-40B4-BE49-F238E27FC236}">
              <a16:creationId xmlns:a16="http://schemas.microsoft.com/office/drawing/2014/main" id="{9F8ADA54-752C-EC4E-C1DE-BF2DB5D140D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8600" y="1641967"/>
          <a:ext cx="704850" cy="2784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38</xdr:row>
      <xdr:rowOff>0</xdr:rowOff>
    </xdr:from>
    <xdr:to>
      <xdr:col>15</xdr:col>
      <xdr:colOff>0</xdr:colOff>
      <xdr:row>55</xdr:row>
      <xdr:rowOff>0</xdr:rowOff>
    </xdr:to>
    <xdr:graphicFrame macro="">
      <xdr:nvGraphicFramePr>
        <xdr:cNvPr id="2" name="Chart">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0</xdr:colOff>
      <xdr:row>0</xdr:row>
      <xdr:rowOff>66675</xdr:rowOff>
    </xdr:from>
    <xdr:ext cx="1400175" cy="381000"/>
    <xdr:pic>
      <xdr:nvPicPr>
        <xdr:cNvPr id="3" name="/xl/media/image2.png">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prstGeom prst="rect">
          <a:avLst/>
        </a:prstGeom>
      </xdr:spPr>
    </xdr:pic>
    <xdr:clientData/>
  </xdr:oneCellAnchor>
  <xdr:twoCellAnchor>
    <xdr:from>
      <xdr:col>21</xdr:col>
      <xdr:colOff>0</xdr:colOff>
      <xdr:row>4</xdr:row>
      <xdr:rowOff>0</xdr:rowOff>
    </xdr:from>
    <xdr:to>
      <xdr:col>23</xdr:col>
      <xdr:colOff>0</xdr:colOff>
      <xdr:row>6</xdr:row>
      <xdr:rowOff>0</xdr:rowOff>
    </xdr:to>
    <xdr:sp macro="[0]!RefreshResearchDashboard" textlink="">
      <xdr:nvSpPr>
        <xdr:cNvPr id="1001" name="EnterRefreshButton">
          <a:extLst>
            <a:ext uri="{FF2B5EF4-FFF2-40B4-BE49-F238E27FC236}">
              <a16:creationId xmlns:a16="http://schemas.microsoft.com/office/drawing/2014/main" id="{00000000-0008-0000-0100-0000E9030000}"/>
            </a:ext>
          </a:extLst>
        </xdr:cNvPr>
        <xdr:cNvSpPr/>
      </xdr:nvSpPr>
      <xdr:spPr>
        <a:xfrm>
          <a:off x="0" y="0"/>
          <a:ext cx="3095625" cy="419100"/>
        </a:xfrm>
        <a:prstGeom prst="roundRect">
          <a:avLst/>
        </a:prstGeom>
        <a:solidFill>
          <a:srgbClr val="245DC1"/>
        </a:solidFill>
        <a:ln>
          <a:noFill/>
        </a:ln>
      </xdr:spPr>
      <xdr:txBody>
        <a:bodyPr anchor="ctr"/>
        <a:lstStyle/>
        <a:p>
          <a:pPr algn="ctr"/>
          <a:r>
            <a:rPr lang="en-US" sz="1200" b="1">
              <a:solidFill>
                <a:srgbClr val="FFFFFF"/>
              </a:solidFill>
              <a:latin typeface="Arial"/>
            </a:rPr>
            <a:t>Refresh</a:t>
          </a:r>
          <a:endParaRPr lang="en-US"/>
        </a:p>
      </xdr:txBody>
    </xdr:sp>
    <xdr:clientData/>
  </xdr:twoCellAnchor>
  <xdr:twoCellAnchor>
    <xdr:from>
      <xdr:col>1</xdr:col>
      <xdr:colOff>152400</xdr:colOff>
      <xdr:row>7</xdr:row>
      <xdr:rowOff>57150</xdr:rowOff>
    </xdr:from>
    <xdr:to>
      <xdr:col>2</xdr:col>
      <xdr:colOff>257175</xdr:colOff>
      <xdr:row>9</xdr:row>
      <xdr:rowOff>152400</xdr:rowOff>
    </xdr:to>
    <xdr:pic>
      <xdr:nvPicPr>
        <xdr:cNvPr id="14" name="IssuerLogo" descr="Xignite issuer logo for SPY">
          <a:extLst>
            <a:ext uri="{FF2B5EF4-FFF2-40B4-BE49-F238E27FC236}">
              <a16:creationId xmlns:a16="http://schemas.microsoft.com/office/drawing/2014/main" id="{42306438-3A1B-7933-7417-B75F371EB04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3850" y="1524000"/>
          <a:ext cx="514350" cy="5143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38</xdr:row>
      <xdr:rowOff>0</xdr:rowOff>
    </xdr:from>
    <xdr:to>
      <xdr:col>15</xdr:col>
      <xdr:colOff>0</xdr:colOff>
      <xdr:row>55</xdr:row>
      <xdr:rowOff>0</xdr:rowOff>
    </xdr:to>
    <xdr:graphicFrame macro="">
      <xdr:nvGraphicFramePr>
        <xdr:cNvPr id="2" name="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0</xdr:colOff>
      <xdr:row>0</xdr:row>
      <xdr:rowOff>66675</xdr:rowOff>
    </xdr:from>
    <xdr:ext cx="1400175" cy="381000"/>
    <xdr:pic>
      <xdr:nvPicPr>
        <xdr:cNvPr id="3" name="/xl/media/image3.png">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prstGeom prst="rect">
          <a:avLst/>
        </a:prstGeom>
      </xdr:spPr>
    </xdr:pic>
    <xdr:clientData/>
  </xdr:oneCellAnchor>
  <xdr:twoCellAnchor>
    <xdr:from>
      <xdr:col>21</xdr:col>
      <xdr:colOff>0</xdr:colOff>
      <xdr:row>4</xdr:row>
      <xdr:rowOff>0</xdr:rowOff>
    </xdr:from>
    <xdr:to>
      <xdr:col>23</xdr:col>
      <xdr:colOff>0</xdr:colOff>
      <xdr:row>6</xdr:row>
      <xdr:rowOff>0</xdr:rowOff>
    </xdr:to>
    <xdr:sp macro="[0]!RefreshResearchDashboard" textlink="">
      <xdr:nvSpPr>
        <xdr:cNvPr id="1001" name="EnterRefreshButton">
          <a:extLst>
            <a:ext uri="{FF2B5EF4-FFF2-40B4-BE49-F238E27FC236}">
              <a16:creationId xmlns:a16="http://schemas.microsoft.com/office/drawing/2014/main" id="{00000000-0008-0000-0200-0000E9030000}"/>
            </a:ext>
          </a:extLst>
        </xdr:cNvPr>
        <xdr:cNvSpPr/>
      </xdr:nvSpPr>
      <xdr:spPr>
        <a:xfrm>
          <a:off x="0" y="0"/>
          <a:ext cx="3095625" cy="419100"/>
        </a:xfrm>
        <a:prstGeom prst="roundRect">
          <a:avLst/>
        </a:prstGeom>
        <a:solidFill>
          <a:srgbClr val="245DC1"/>
        </a:solidFill>
        <a:ln>
          <a:noFill/>
        </a:ln>
      </xdr:spPr>
      <xdr:txBody>
        <a:bodyPr anchor="ctr"/>
        <a:lstStyle/>
        <a:p>
          <a:pPr algn="ctr"/>
          <a:r>
            <a:rPr lang="en-US" sz="1200" b="1">
              <a:solidFill>
                <a:srgbClr val="FFFFFF"/>
              </a:solidFill>
              <a:latin typeface="Arial"/>
            </a:rPr>
            <a:t>Refresh</a:t>
          </a:r>
          <a:endParaRPr lang="en-US"/>
        </a:p>
      </xdr:txBody>
    </xdr:sp>
    <xdr:clientData/>
  </xdr:twoCellAnchor>
  <xdr:twoCellAnchor>
    <xdr:from>
      <xdr:col>1</xdr:col>
      <xdr:colOff>152400</xdr:colOff>
      <xdr:row>7</xdr:row>
      <xdr:rowOff>57150</xdr:rowOff>
    </xdr:from>
    <xdr:to>
      <xdr:col>2</xdr:col>
      <xdr:colOff>257175</xdr:colOff>
      <xdr:row>9</xdr:row>
      <xdr:rowOff>152400</xdr:rowOff>
    </xdr:to>
    <xdr:pic>
      <xdr:nvPicPr>
        <xdr:cNvPr id="8" name="IssuerLogo" descr="Xignite issuer logo for SNXFX">
          <a:extLst>
            <a:ext uri="{FF2B5EF4-FFF2-40B4-BE49-F238E27FC236}">
              <a16:creationId xmlns:a16="http://schemas.microsoft.com/office/drawing/2014/main" id="{EA9D12D6-0C8C-4A22-83FC-C31C29C13D3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3850" y="1524000"/>
          <a:ext cx="514350" cy="514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11</xdr:row>
      <xdr:rowOff>0</xdr:rowOff>
    </xdr:from>
    <xdr:to>
      <xdr:col>16</xdr:col>
      <xdr:colOff>0</xdr:colOff>
      <xdr:row>29</xdr:row>
      <xdr:rowOff>0</xdr:rowOff>
    </xdr:to>
    <xdr:graphicFrame macro="">
      <xdr:nvGraphicFramePr>
        <xdr:cNvPr id="2" name="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245DC1"/>
  </sheetPr>
  <dimension ref="A1:X172"/>
  <sheetViews>
    <sheetView showGridLines="0" showRowColHeaders="0" zoomScale="80" workbookViewId="0">
      <pane ySplit="6" topLeftCell="A59" activePane="bottomLeft" state="frozen"/>
      <selection pane="bottomLeft" activeCell="Q86" sqref="Q86:W92"/>
    </sheetView>
  </sheetViews>
  <sheetFormatPr defaultRowHeight="14.25"/>
  <cols>
    <col min="1" max="1" width="2.25" customWidth="1"/>
    <col min="2" max="15" width="5.375" customWidth="1"/>
    <col min="16" max="16" width="2.25" customWidth="1"/>
    <col min="17" max="23" width="5.375" customWidth="1"/>
    <col min="24" max="24" width="2.25" customWidth="1"/>
  </cols>
  <sheetData>
    <row r="1" spans="1:24" ht="17.100000000000001" customHeight="1">
      <c r="A1" s="17"/>
      <c r="B1" s="17"/>
      <c r="C1" s="17"/>
      <c r="D1" s="17"/>
      <c r="E1" s="17"/>
      <c r="F1" s="17"/>
      <c r="G1" s="17"/>
      <c r="H1" s="17"/>
      <c r="I1" s="17"/>
      <c r="J1" s="17"/>
      <c r="K1" s="17"/>
      <c r="L1" s="17"/>
      <c r="M1" s="17"/>
      <c r="N1" s="17"/>
      <c r="O1" s="17"/>
      <c r="P1" s="17"/>
      <c r="Q1" s="17"/>
      <c r="R1" s="17"/>
      <c r="S1" s="17"/>
      <c r="T1" s="17"/>
      <c r="U1" s="17"/>
      <c r="V1" s="17"/>
      <c r="W1" s="17"/>
      <c r="X1" s="17"/>
    </row>
    <row r="2" spans="1:24" ht="17.100000000000001" customHeight="1">
      <c r="A2" s="17"/>
      <c r="B2" s="17"/>
      <c r="C2" s="17"/>
      <c r="D2" s="17"/>
      <c r="E2" s="17"/>
      <c r="F2" s="17"/>
      <c r="G2" s="17"/>
      <c r="H2" s="17"/>
      <c r="I2" s="17"/>
      <c r="J2" s="17"/>
      <c r="K2" s="17"/>
      <c r="L2" s="17"/>
      <c r="M2" s="17"/>
      <c r="N2" s="17"/>
      <c r="O2" s="17"/>
      <c r="P2" s="17"/>
      <c r="Q2" s="31" t="s">
        <v>0</v>
      </c>
      <c r="R2" s="31"/>
      <c r="S2" s="31"/>
      <c r="T2" s="31"/>
      <c r="U2" s="31"/>
      <c r="V2" s="31"/>
      <c r="W2" s="31"/>
      <c r="X2" s="17"/>
    </row>
    <row r="3" spans="1:24" ht="17.100000000000001" customHeight="1">
      <c r="A3" s="17"/>
      <c r="B3" s="17"/>
      <c r="C3" s="17"/>
      <c r="D3" s="17"/>
      <c r="E3" s="17"/>
      <c r="F3" s="17"/>
      <c r="G3" s="17"/>
      <c r="H3" s="17"/>
      <c r="I3" s="17"/>
      <c r="J3" s="17"/>
      <c r="K3" s="17"/>
      <c r="L3" s="17"/>
      <c r="M3" s="17"/>
      <c r="N3" s="17"/>
      <c r="O3" s="17"/>
      <c r="P3" s="17"/>
      <c r="Q3" s="17"/>
      <c r="R3" s="17"/>
      <c r="S3" s="17"/>
      <c r="T3" s="17"/>
      <c r="U3" s="17"/>
      <c r="V3" s="17"/>
      <c r="W3" s="17"/>
      <c r="X3" s="17"/>
    </row>
    <row r="4" spans="1:24" ht="17.100000000000001" customHeight="1">
      <c r="A4" s="16"/>
      <c r="B4" s="16"/>
      <c r="C4" s="16"/>
      <c r="D4" s="16"/>
      <c r="E4" s="16"/>
      <c r="F4" s="16"/>
      <c r="G4" s="16"/>
      <c r="H4" s="16"/>
      <c r="I4" s="16"/>
      <c r="J4" s="16"/>
      <c r="K4" s="16"/>
      <c r="L4" s="16"/>
      <c r="M4" s="16"/>
      <c r="N4" s="16"/>
      <c r="O4" s="16"/>
      <c r="P4" s="16"/>
      <c r="Q4" s="16"/>
      <c r="R4" s="16"/>
      <c r="S4" s="16"/>
      <c r="T4" s="33" t="s">
        <v>1</v>
      </c>
      <c r="U4" s="33"/>
      <c r="V4" s="16"/>
      <c r="W4" s="16"/>
      <c r="X4" s="16"/>
    </row>
    <row r="5" spans="1:24" ht="17.100000000000001" customHeight="1">
      <c r="A5" s="16"/>
      <c r="B5" s="32" t="s">
        <v>2</v>
      </c>
      <c r="C5" s="32"/>
      <c r="D5" s="32"/>
      <c r="E5" s="32"/>
      <c r="F5" s="32"/>
      <c r="G5" s="32"/>
      <c r="H5" s="32"/>
      <c r="I5" s="32"/>
      <c r="J5" s="32"/>
      <c r="K5" s="32"/>
      <c r="L5" s="32"/>
      <c r="M5" s="32"/>
      <c r="N5" s="16"/>
      <c r="O5" s="16"/>
      <c r="P5" s="16"/>
      <c r="Q5" s="16"/>
      <c r="R5" s="16"/>
      <c r="S5" s="16"/>
      <c r="T5" s="34" t="s">
        <v>753</v>
      </c>
      <c r="U5" s="35"/>
      <c r="V5" s="38" t="s">
        <v>4</v>
      </c>
      <c r="W5" s="38"/>
      <c r="X5" s="16"/>
    </row>
    <row r="6" spans="1:24" ht="17.100000000000001" customHeight="1">
      <c r="A6" s="16"/>
      <c r="B6" s="32"/>
      <c r="C6" s="32"/>
      <c r="D6" s="32"/>
      <c r="E6" s="32"/>
      <c r="F6" s="32"/>
      <c r="G6" s="32"/>
      <c r="H6" s="32"/>
      <c r="I6" s="32"/>
      <c r="J6" s="32"/>
      <c r="K6" s="32"/>
      <c r="L6" s="32"/>
      <c r="M6" s="32"/>
      <c r="N6" s="16"/>
      <c r="O6" s="16"/>
      <c r="P6" s="16"/>
      <c r="Q6" s="16"/>
      <c r="R6" s="16"/>
      <c r="S6" s="16"/>
      <c r="T6" s="36"/>
      <c r="U6" s="37"/>
      <c r="V6" s="38"/>
      <c r="W6" s="38"/>
      <c r="X6" s="16"/>
    </row>
    <row r="7" spans="1:24" ht="17.100000000000001" customHeight="1">
      <c r="A7" s="16"/>
      <c r="B7" s="16"/>
      <c r="C7" s="16"/>
      <c r="D7" s="16"/>
      <c r="E7" s="16"/>
      <c r="F7" s="16"/>
      <c r="G7" s="16"/>
      <c r="H7" s="16"/>
      <c r="I7" s="16"/>
      <c r="J7" s="16"/>
      <c r="K7" s="16"/>
      <c r="L7" s="16"/>
      <c r="M7" s="16"/>
      <c r="N7" s="16"/>
      <c r="O7" s="16"/>
      <c r="P7" s="16"/>
      <c r="Q7" s="16"/>
      <c r="R7" s="16"/>
      <c r="S7" s="16"/>
      <c r="T7" s="16"/>
      <c r="U7" s="16"/>
      <c r="V7" s="16"/>
      <c r="W7" s="16"/>
      <c r="X7" s="16"/>
    </row>
    <row r="8" spans="1:24" ht="17.100000000000001" customHeight="1">
      <c r="A8" s="16"/>
      <c r="B8" s="163" t="str">
        <f>IF('Stock Data'!$H$2,'Stock Data'!$B$88,"Refresh required")</f>
        <v>IBM</v>
      </c>
      <c r="C8" s="163"/>
      <c r="D8" s="39" t="str">
        <f>IF('Stock Data'!$H$2,'Stock Data'!$B$2,"Refresh required")</f>
        <v>International Business Machines Corp.</v>
      </c>
      <c r="E8" s="39"/>
      <c r="F8" s="39"/>
      <c r="G8" s="39"/>
      <c r="H8" s="39"/>
      <c r="I8" s="39"/>
      <c r="J8" s="39"/>
      <c r="K8" s="39"/>
      <c r="L8" s="39"/>
      <c r="M8" s="39"/>
      <c r="N8" s="39"/>
      <c r="O8" s="39"/>
      <c r="P8" s="39"/>
      <c r="Q8" s="39"/>
      <c r="R8" s="39"/>
      <c r="S8" s="39"/>
      <c r="T8" s="39"/>
      <c r="U8" s="39"/>
      <c r="V8" s="39"/>
      <c r="W8" s="39"/>
      <c r="X8" s="16"/>
    </row>
    <row r="9" spans="1:24" ht="17.100000000000001" customHeight="1">
      <c r="A9" s="16"/>
      <c r="B9" s="163"/>
      <c r="C9" s="163"/>
      <c r="D9" s="39"/>
      <c r="E9" s="39"/>
      <c r="F9" s="39"/>
      <c r="G9" s="39"/>
      <c r="H9" s="39"/>
      <c r="I9" s="39"/>
      <c r="J9" s="39"/>
      <c r="K9" s="39"/>
      <c r="L9" s="39"/>
      <c r="M9" s="39"/>
      <c r="N9" s="39"/>
      <c r="O9" s="39"/>
      <c r="P9" s="39"/>
      <c r="Q9" s="39"/>
      <c r="R9" s="39"/>
      <c r="S9" s="39"/>
      <c r="T9" s="39"/>
      <c r="U9" s="39"/>
      <c r="V9" s="39"/>
      <c r="W9" s="39"/>
      <c r="X9" s="16"/>
    </row>
    <row r="10" spans="1:24" ht="17.100000000000001" customHeight="1">
      <c r="A10" s="16"/>
      <c r="B10" s="163"/>
      <c r="C10" s="163"/>
      <c r="D10" s="32" t="str">
        <f>IF('Stock Data'!$H$2,'Stock Data'!$B$88,"Refresh required")&amp;"  ·  Stock  ·  "&amp;IF('Stock Data'!$B$4="XNYS","NYSE",IF('Stock Data'!$B$4="ARCX","NYSE Arca",IF('Stock Data'!$B$89="Mutual Fund","Daily NAV",IF('Stock Data'!$H$2,'Stock Data'!$B$4,"Refresh required"))))&amp;"  ·  "&amp;IF('Stock Data'!$H$2,'Stock Data'!$B$3,"Refresh required")</f>
        <v>IBM  ·  Stock  ·  NYSE  ·  USD</v>
      </c>
      <c r="E10" s="32"/>
      <c r="F10" s="32"/>
      <c r="G10" s="32"/>
      <c r="H10" s="32"/>
      <c r="I10" s="32"/>
      <c r="J10" s="32"/>
      <c r="K10" s="32"/>
      <c r="L10" s="32"/>
      <c r="M10" s="32"/>
      <c r="N10" s="32"/>
      <c r="O10" s="32"/>
      <c r="P10" s="32"/>
      <c r="Q10" s="32"/>
      <c r="R10" s="32"/>
      <c r="S10" s="32"/>
      <c r="T10" s="32"/>
      <c r="U10" s="32"/>
      <c r="V10" s="32"/>
      <c r="W10" s="32"/>
      <c r="X10" s="16"/>
    </row>
    <row r="11" spans="1:24" ht="17.100000000000001" customHeight="1">
      <c r="A11" s="16"/>
      <c r="B11" s="16"/>
      <c r="C11" s="16"/>
      <c r="D11" s="32"/>
      <c r="E11" s="32"/>
      <c r="F11" s="32"/>
      <c r="G11" s="32"/>
      <c r="H11" s="32"/>
      <c r="I11" s="32"/>
      <c r="J11" s="32"/>
      <c r="K11" s="32"/>
      <c r="L11" s="32"/>
      <c r="M11" s="32"/>
      <c r="N11" s="32"/>
      <c r="O11" s="32"/>
      <c r="P11" s="32"/>
      <c r="Q11" s="32"/>
      <c r="R11" s="32"/>
      <c r="S11" s="32"/>
      <c r="T11" s="32"/>
      <c r="U11" s="32"/>
      <c r="V11" s="32"/>
      <c r="W11" s="32"/>
      <c r="X11" s="16"/>
    </row>
    <row r="12" spans="1:24" ht="17.100000000000001" customHeight="1">
      <c r="A12" s="16"/>
      <c r="B12" s="16"/>
      <c r="C12" s="16"/>
      <c r="D12" s="16"/>
      <c r="E12" s="16"/>
      <c r="F12" s="16"/>
      <c r="G12" s="16"/>
      <c r="H12" s="16"/>
      <c r="I12" s="16"/>
      <c r="J12" s="16"/>
      <c r="K12" s="16"/>
      <c r="L12" s="16"/>
      <c r="M12" s="16"/>
      <c r="N12" s="16"/>
      <c r="O12" s="16"/>
      <c r="P12" s="16"/>
      <c r="Q12" s="16"/>
      <c r="R12" s="16"/>
      <c r="S12" s="16"/>
      <c r="T12" s="16"/>
      <c r="U12" s="16"/>
      <c r="V12" s="16"/>
      <c r="W12" s="16"/>
      <c r="X12" s="16"/>
    </row>
    <row r="13" spans="1:24" ht="17.100000000000001" customHeight="1">
      <c r="A13" s="16"/>
      <c r="B13" s="19"/>
      <c r="C13" s="20"/>
      <c r="D13" s="20"/>
      <c r="E13" s="20"/>
      <c r="F13" s="20"/>
      <c r="G13" s="20"/>
      <c r="H13" s="20"/>
      <c r="I13" s="20"/>
      <c r="J13" s="20"/>
      <c r="K13" s="20"/>
      <c r="L13" s="20"/>
      <c r="M13" s="20"/>
      <c r="N13" s="20"/>
      <c r="O13" s="20"/>
      <c r="P13" s="20"/>
      <c r="Q13" s="20"/>
      <c r="R13" s="20"/>
      <c r="S13" s="20"/>
      <c r="T13" s="20"/>
      <c r="U13" s="20"/>
      <c r="V13" s="20"/>
      <c r="W13" s="21"/>
      <c r="X13" s="16"/>
    </row>
    <row r="14" spans="1:24" ht="17.100000000000001" customHeight="1">
      <c r="A14" s="16"/>
      <c r="B14" s="40" t="s">
        <v>5</v>
      </c>
      <c r="C14" s="41"/>
      <c r="D14" s="41"/>
      <c r="E14" s="41"/>
      <c r="F14" s="41"/>
      <c r="G14" s="41"/>
      <c r="H14" s="41"/>
      <c r="I14" s="41"/>
      <c r="J14" s="41"/>
      <c r="K14" s="18"/>
      <c r="L14" s="18"/>
      <c r="M14" s="18"/>
      <c r="N14" s="18"/>
      <c r="O14" s="18"/>
      <c r="P14" s="18"/>
      <c r="Q14" s="18"/>
      <c r="R14" s="18"/>
      <c r="S14" s="18"/>
      <c r="T14" s="18"/>
      <c r="U14" s="18"/>
      <c r="V14" s="18"/>
      <c r="W14" s="23"/>
      <c r="X14" s="16"/>
    </row>
    <row r="15" spans="1:24" ht="17.100000000000001" customHeight="1">
      <c r="A15" s="16"/>
      <c r="B15" s="22"/>
      <c r="C15" s="18"/>
      <c r="D15" s="18"/>
      <c r="E15" s="18"/>
      <c r="F15" s="18"/>
      <c r="G15" s="18"/>
      <c r="H15" s="18"/>
      <c r="I15" s="18"/>
      <c r="J15" s="18"/>
      <c r="K15" s="18"/>
      <c r="L15" s="18"/>
      <c r="M15" s="18"/>
      <c r="N15" s="18"/>
      <c r="O15" s="18"/>
      <c r="P15" s="18"/>
      <c r="Q15" s="18"/>
      <c r="R15" s="18"/>
      <c r="S15" s="18"/>
      <c r="T15" s="18"/>
      <c r="U15" s="18"/>
      <c r="V15" s="18"/>
      <c r="W15" s="23"/>
      <c r="X15" s="16"/>
    </row>
    <row r="16" spans="1:24" ht="17.100000000000001" customHeight="1">
      <c r="A16" s="16"/>
      <c r="B16" s="42">
        <f>IF('Stock Data'!$H$2,'Stock Data'!$B$5,"Refresh required")</f>
        <v>227.02</v>
      </c>
      <c r="C16" s="43"/>
      <c r="D16" s="43"/>
      <c r="E16" s="43"/>
      <c r="F16" s="43"/>
      <c r="G16" s="18"/>
      <c r="H16" s="18"/>
      <c r="I16" s="18"/>
      <c r="J16" s="18"/>
      <c r="K16" s="18"/>
      <c r="L16" s="18"/>
      <c r="M16" s="18"/>
      <c r="N16" s="18"/>
      <c r="O16" s="18"/>
      <c r="P16" s="18"/>
      <c r="Q16" s="18"/>
      <c r="R16" s="18"/>
      <c r="S16" s="18"/>
      <c r="T16" s="18"/>
      <c r="U16" s="18"/>
      <c r="V16" s="18"/>
      <c r="W16" s="23"/>
      <c r="X16" s="16"/>
    </row>
    <row r="17" spans="1:24" ht="17.100000000000001" customHeight="1">
      <c r="A17" s="16"/>
      <c r="B17" s="42"/>
      <c r="C17" s="43"/>
      <c r="D17" s="43"/>
      <c r="E17" s="43"/>
      <c r="F17" s="43"/>
      <c r="G17" s="44" t="str">
        <f>IF(ISNUMBER(IF('Stock Data'!$H$2,'Stock Data'!$B$7,"Refresh required")),TEXT(IF('Stock Data'!$H$2,'Stock Data'!$B$7,"Refresh required"),"+$0.00;-$0.00;$0.00"),IF('Stock Data'!$H$2,'Stock Data'!$B$7,"Refresh required"))&amp;"  ("&amp;IF(ISNUMBER(IF('Stock Data'!$H$2,'Stock Data'!$B$8,"Refresh required")),TEXT(IF('Stock Data'!$H$2,'Stock Data'!$B$8,"Refresh required"),"+0.00%;-0.00%;0.00%"),IF('Stock Data'!$H$2,'Stock Data'!$B$8,"Refresh required"))&amp;")"</f>
        <v>-$0.11  (-0.05%)</v>
      </c>
      <c r="H17" s="44"/>
      <c r="I17" s="44"/>
      <c r="J17" s="44"/>
      <c r="K17" s="44"/>
      <c r="L17" s="44"/>
      <c r="M17" s="44"/>
      <c r="N17" s="44"/>
      <c r="O17" s="44"/>
      <c r="P17" s="18"/>
      <c r="Q17" s="18"/>
      <c r="R17" s="18"/>
      <c r="S17" s="18"/>
      <c r="T17" s="18"/>
      <c r="U17" s="18"/>
      <c r="V17" s="18"/>
      <c r="W17" s="23"/>
      <c r="X17" s="16"/>
    </row>
    <row r="18" spans="1:24" ht="17.100000000000001" customHeight="1">
      <c r="A18" s="16"/>
      <c r="B18" s="42"/>
      <c r="C18" s="43"/>
      <c r="D18" s="43"/>
      <c r="E18" s="43"/>
      <c r="F18" s="43"/>
      <c r="G18" s="44"/>
      <c r="H18" s="44"/>
      <c r="I18" s="44"/>
      <c r="J18" s="44"/>
      <c r="K18" s="44"/>
      <c r="L18" s="44"/>
      <c r="M18" s="44"/>
      <c r="N18" s="44"/>
      <c r="O18" s="44"/>
      <c r="P18" s="18"/>
      <c r="Q18" s="18"/>
      <c r="R18" s="49" t="s">
        <v>6</v>
      </c>
      <c r="S18" s="49"/>
      <c r="T18" s="49"/>
      <c r="U18" s="49"/>
      <c r="V18" s="49"/>
      <c r="W18" s="50"/>
      <c r="X18" s="16"/>
    </row>
    <row r="19" spans="1:24" ht="17.100000000000001" customHeight="1">
      <c r="A19" s="16"/>
      <c r="B19" s="22"/>
      <c r="C19" s="18"/>
      <c r="D19" s="18"/>
      <c r="E19" s="18"/>
      <c r="F19" s="18"/>
      <c r="G19" s="18"/>
      <c r="H19" s="18"/>
      <c r="I19" s="18"/>
      <c r="J19" s="18"/>
      <c r="K19" s="18"/>
      <c r="L19" s="18"/>
      <c r="M19" s="18"/>
      <c r="N19" s="18"/>
      <c r="O19" s="18"/>
      <c r="P19" s="18"/>
      <c r="Q19" s="18"/>
      <c r="R19" s="49"/>
      <c r="S19" s="49"/>
      <c r="T19" s="49"/>
      <c r="U19" s="49"/>
      <c r="V19" s="49"/>
      <c r="W19" s="50"/>
      <c r="X19" s="16"/>
    </row>
    <row r="20" spans="1:24" ht="17.100000000000001" customHeight="1">
      <c r="A20" s="16"/>
      <c r="B20" s="45" t="str">
        <f>"As of "&amp;IF('Stock Data'!$H$2,'Stock Data'!$B$9,"Refresh required")&amp;" · "&amp;LEFT(IF('Stock Data'!$H$2,'Stock Data'!$B$10,"Refresh required"),8)&amp;" (UTC"&amp;IF(ISNUMBER(IF('Stock Data'!$H$2,'Stock Data'!$B$11,"Refresh required")),TEXT(IF('Stock Data'!$H$2,'Stock Data'!$B$11,"Refresh required"),"+0;-0;0"),IF('Stock Data'!$H$2,'Stock Data'!$B$11,"Refresh required"))&amp;")"</f>
        <v>As of 46307 · 0.666666 (UTC-4)</v>
      </c>
      <c r="C20" s="46"/>
      <c r="D20" s="46"/>
      <c r="E20" s="46"/>
      <c r="F20" s="46"/>
      <c r="G20" s="46"/>
      <c r="H20" s="46"/>
      <c r="I20" s="46"/>
      <c r="J20" s="46"/>
      <c r="K20" s="46"/>
      <c r="L20" s="46"/>
      <c r="M20" s="46"/>
      <c r="N20" s="46"/>
      <c r="O20" s="46"/>
      <c r="P20" s="18"/>
      <c r="Q20" s="18"/>
      <c r="R20" s="49"/>
      <c r="S20" s="49"/>
      <c r="T20" s="49"/>
      <c r="U20" s="49"/>
      <c r="V20" s="49"/>
      <c r="W20" s="50"/>
      <c r="X20" s="16"/>
    </row>
    <row r="21" spans="1:24" ht="17.100000000000001" customHeight="1">
      <c r="A21" s="16"/>
      <c r="B21" s="45" t="str">
        <f>IF('Stock Data'!$H$2,'Stock Data'!$B$35,"Refresh required")</f>
        <v>Delay times are 15 mins for New York Stock Exchange, Inc..</v>
      </c>
      <c r="C21" s="46"/>
      <c r="D21" s="46"/>
      <c r="E21" s="46"/>
      <c r="F21" s="46"/>
      <c r="G21" s="46"/>
      <c r="H21" s="46"/>
      <c r="I21" s="46"/>
      <c r="J21" s="46"/>
      <c r="K21" s="46"/>
      <c r="L21" s="46"/>
      <c r="M21" s="46"/>
      <c r="N21" s="46"/>
      <c r="O21" s="46"/>
      <c r="P21" s="18"/>
      <c r="Q21" s="18"/>
      <c r="R21" s="18"/>
      <c r="S21" s="18"/>
      <c r="T21" s="18"/>
      <c r="U21" s="18"/>
      <c r="V21" s="18"/>
      <c r="W21" s="23"/>
      <c r="X21" s="16"/>
    </row>
    <row r="22" spans="1:24" ht="17.100000000000001" customHeight="1">
      <c r="A22" s="16"/>
      <c r="B22" s="22"/>
      <c r="C22" s="18"/>
      <c r="D22" s="18"/>
      <c r="E22" s="18"/>
      <c r="F22" s="18"/>
      <c r="G22" s="18"/>
      <c r="H22" s="18"/>
      <c r="I22" s="18"/>
      <c r="J22" s="18"/>
      <c r="K22" s="18"/>
      <c r="L22" s="18"/>
      <c r="M22" s="18"/>
      <c r="N22" s="18"/>
      <c r="O22" s="18"/>
      <c r="P22" s="18"/>
      <c r="Q22" s="18"/>
      <c r="R22" s="18"/>
      <c r="S22" s="18"/>
      <c r="T22" s="18"/>
      <c r="U22" s="18"/>
      <c r="V22" s="18"/>
      <c r="W22" s="23"/>
      <c r="X22" s="16"/>
    </row>
    <row r="23" spans="1:24" ht="17.100000000000001" customHeight="1">
      <c r="A23" s="16"/>
      <c r="B23" s="45" t="str">
        <f>IF('Stock Data'!$H$2,'Stock Data'!$B$32,"Refresh required")&amp;" "&amp;IF(ISNUMBER(IF('Stock Data'!$H$2,'Stock Data'!$B$29,"Refresh required")),TEXT(IF('Stock Data'!$H$2,'Stock Data'!$B$29,"Refresh required"),"$0.0000"),IF('Stock Data'!$H$2,'Stock Data'!$B$29,"Refresh required"))&amp;" · "&amp;IF('Stock Data'!$H$2,'Stock Data'!$B$33,"Refresh required")&amp;" "&amp;LEFT(IF('Stock Data'!$H$2,'Stock Data'!$B$34,"Refresh required"),8)</f>
        <v>PostMarket $226.7500 · 46307 0.799622</v>
      </c>
      <c r="C23" s="46"/>
      <c r="D23" s="46"/>
      <c r="E23" s="46"/>
      <c r="F23" s="46"/>
      <c r="G23" s="46"/>
      <c r="H23" s="46"/>
      <c r="I23" s="46"/>
      <c r="J23" s="46"/>
      <c r="K23" s="46"/>
      <c r="L23" s="46"/>
      <c r="M23" s="46"/>
      <c r="N23" s="46"/>
      <c r="O23" s="46"/>
      <c r="P23" s="18"/>
      <c r="Q23" s="18"/>
      <c r="R23" s="18"/>
      <c r="S23" s="18"/>
      <c r="T23" s="18"/>
      <c r="U23" s="18"/>
      <c r="V23" s="18"/>
      <c r="W23" s="23"/>
      <c r="X23" s="16"/>
    </row>
    <row r="24" spans="1:24" ht="17.100000000000001" customHeight="1">
      <c r="A24" s="16"/>
      <c r="B24" s="47"/>
      <c r="C24" s="48"/>
      <c r="D24" s="48"/>
      <c r="E24" s="48"/>
      <c r="F24" s="48"/>
      <c r="G24" s="48"/>
      <c r="H24" s="48"/>
      <c r="I24" s="48"/>
      <c r="J24" s="48"/>
      <c r="K24" s="48"/>
      <c r="L24" s="48"/>
      <c r="M24" s="48"/>
      <c r="N24" s="48"/>
      <c r="O24" s="48"/>
      <c r="P24" s="25"/>
      <c r="Q24" s="25"/>
      <c r="R24" s="25"/>
      <c r="S24" s="25"/>
      <c r="T24" s="25"/>
      <c r="U24" s="25"/>
      <c r="V24" s="25"/>
      <c r="W24" s="26"/>
      <c r="X24" s="16"/>
    </row>
    <row r="25" spans="1:24" ht="17.100000000000001" customHeight="1">
      <c r="A25" s="16"/>
      <c r="B25" s="16"/>
      <c r="C25" s="16"/>
      <c r="D25" s="16"/>
      <c r="E25" s="16"/>
      <c r="F25" s="16"/>
      <c r="G25" s="16"/>
      <c r="H25" s="16"/>
      <c r="I25" s="16"/>
      <c r="J25" s="16"/>
      <c r="K25" s="16"/>
      <c r="L25" s="16"/>
      <c r="M25" s="16"/>
      <c r="N25" s="16"/>
      <c r="O25" s="16"/>
      <c r="P25" s="16"/>
      <c r="Q25" s="16"/>
      <c r="R25" s="16"/>
      <c r="S25" s="16"/>
      <c r="T25" s="16"/>
      <c r="U25" s="16"/>
      <c r="V25" s="16"/>
      <c r="W25" s="16"/>
      <c r="X25" s="16"/>
    </row>
    <row r="26" spans="1:24" ht="17.100000000000001" customHeight="1">
      <c r="A26" s="16"/>
      <c r="B26" s="32" t="s">
        <v>978</v>
      </c>
      <c r="C26" s="32"/>
      <c r="D26" s="32"/>
      <c r="E26" s="32"/>
      <c r="F26" s="32"/>
      <c r="G26" s="32"/>
      <c r="H26" s="32"/>
      <c r="I26" s="32"/>
      <c r="J26" s="32"/>
      <c r="K26" s="32"/>
      <c r="L26" s="32"/>
      <c r="M26" s="32"/>
      <c r="N26" s="32"/>
      <c r="O26" s="32"/>
      <c r="P26" s="32"/>
      <c r="Q26" s="32"/>
      <c r="R26" s="32"/>
      <c r="S26" s="32"/>
      <c r="T26" s="32"/>
      <c r="U26" s="32"/>
      <c r="V26" s="32"/>
      <c r="W26" s="32"/>
      <c r="X26" s="16"/>
    </row>
    <row r="27" spans="1:24" ht="17.100000000000001" customHeight="1">
      <c r="A27" s="16"/>
      <c r="B27" s="32"/>
      <c r="C27" s="32"/>
      <c r="D27" s="32"/>
      <c r="E27" s="32"/>
      <c r="F27" s="32"/>
      <c r="G27" s="32"/>
      <c r="H27" s="32"/>
      <c r="I27" s="32"/>
      <c r="J27" s="32"/>
      <c r="K27" s="32"/>
      <c r="L27" s="32"/>
      <c r="M27" s="32"/>
      <c r="N27" s="32"/>
      <c r="O27" s="32"/>
      <c r="P27" s="32"/>
      <c r="Q27" s="32"/>
      <c r="R27" s="32"/>
      <c r="S27" s="32"/>
      <c r="T27" s="32"/>
      <c r="U27" s="32"/>
      <c r="V27" s="32"/>
      <c r="W27" s="32"/>
      <c r="X27" s="16"/>
    </row>
    <row r="28" spans="1:24" ht="17.100000000000001" customHeight="1">
      <c r="A28" s="16"/>
      <c r="B28" s="16"/>
      <c r="C28" s="16"/>
      <c r="D28" s="16"/>
      <c r="E28" s="16"/>
      <c r="F28" s="16"/>
      <c r="G28" s="16"/>
      <c r="H28" s="16"/>
      <c r="I28" s="16"/>
      <c r="J28" s="16"/>
      <c r="K28" s="16"/>
      <c r="L28" s="16"/>
      <c r="M28" s="16"/>
      <c r="N28" s="16"/>
      <c r="O28" s="16"/>
      <c r="P28" s="16"/>
      <c r="Q28" s="16"/>
      <c r="R28" s="16"/>
      <c r="S28" s="16"/>
      <c r="T28" s="16"/>
      <c r="U28" s="16"/>
      <c r="V28" s="16"/>
      <c r="W28" s="16"/>
      <c r="X28" s="16"/>
    </row>
    <row r="29" spans="1:24" ht="17.100000000000001" customHeight="1">
      <c r="A29" s="16"/>
      <c r="B29" s="51" t="s">
        <v>7</v>
      </c>
      <c r="C29" s="51"/>
      <c r="D29" s="51"/>
      <c r="E29" s="51"/>
      <c r="F29" s="53" t="s">
        <v>8</v>
      </c>
      <c r="G29" s="53"/>
      <c r="H29" s="53"/>
      <c r="I29" s="53"/>
      <c r="J29" s="53"/>
      <c r="K29" s="53" t="s">
        <v>9</v>
      </c>
      <c r="L29" s="53"/>
      <c r="M29" s="53"/>
      <c r="N29" s="53"/>
      <c r="O29" s="53"/>
      <c r="P29" s="16"/>
      <c r="Q29" s="32" t="s">
        <v>10</v>
      </c>
      <c r="R29" s="32"/>
      <c r="S29" s="32"/>
      <c r="T29" s="32"/>
      <c r="U29" s="32"/>
      <c r="V29" s="32"/>
      <c r="W29" s="32"/>
      <c r="X29" s="16"/>
    </row>
    <row r="30" spans="1:24" ht="17.100000000000001" customHeight="1">
      <c r="A30" s="16"/>
      <c r="B30" s="52"/>
      <c r="C30" s="52"/>
      <c r="D30" s="52"/>
      <c r="E30" s="52"/>
      <c r="F30" s="54"/>
      <c r="G30" s="54"/>
      <c r="H30" s="54"/>
      <c r="I30" s="54"/>
      <c r="J30" s="54"/>
      <c r="K30" s="54"/>
      <c r="L30" s="54"/>
      <c r="M30" s="54"/>
      <c r="N30" s="54"/>
      <c r="O30" s="54"/>
      <c r="P30" s="29"/>
      <c r="Q30" s="55"/>
      <c r="R30" s="55"/>
      <c r="S30" s="55"/>
      <c r="T30" s="55"/>
      <c r="U30" s="55"/>
      <c r="V30" s="55"/>
      <c r="W30" s="55"/>
      <c r="X30" s="16"/>
    </row>
    <row r="31" spans="1:24" ht="17.100000000000001" customHeight="1">
      <c r="A31" s="16"/>
      <c r="B31" s="16"/>
      <c r="C31" s="16"/>
      <c r="D31" s="16"/>
      <c r="E31" s="16"/>
      <c r="F31" s="16"/>
      <c r="G31" s="16"/>
      <c r="H31" s="16"/>
      <c r="I31" s="16"/>
      <c r="J31" s="16"/>
      <c r="K31" s="16"/>
      <c r="L31" s="16"/>
      <c r="M31" s="16"/>
      <c r="N31" s="16"/>
      <c r="O31" s="16"/>
      <c r="P31" s="16"/>
      <c r="Q31" s="16"/>
      <c r="R31" s="16"/>
      <c r="S31" s="16"/>
      <c r="T31" s="16"/>
      <c r="U31" s="16"/>
      <c r="V31" s="16"/>
      <c r="W31" s="16"/>
      <c r="X31" s="16"/>
    </row>
    <row r="32" spans="1:24" ht="17.100000000000001" customHeight="1">
      <c r="A32" s="16"/>
      <c r="B32" s="56" t="s">
        <v>11</v>
      </c>
      <c r="C32" s="57"/>
      <c r="D32" s="57"/>
      <c r="E32" s="57"/>
      <c r="F32" s="57"/>
      <c r="G32" s="57"/>
      <c r="H32" s="57"/>
      <c r="I32" s="57"/>
      <c r="J32" s="57"/>
      <c r="K32" s="57"/>
      <c r="L32" s="57"/>
      <c r="M32" s="57"/>
      <c r="N32" s="57"/>
      <c r="O32" s="58"/>
      <c r="P32" s="16"/>
      <c r="Q32" s="56" t="s">
        <v>12</v>
      </c>
      <c r="R32" s="57"/>
      <c r="S32" s="57"/>
      <c r="T32" s="57"/>
      <c r="U32" s="57"/>
      <c r="V32" s="57"/>
      <c r="W32" s="58"/>
      <c r="X32" s="16"/>
    </row>
    <row r="33" spans="1:24" ht="17.100000000000001" customHeight="1">
      <c r="A33" s="16"/>
      <c r="B33" s="59"/>
      <c r="C33" s="60"/>
      <c r="D33" s="60"/>
      <c r="E33" s="60"/>
      <c r="F33" s="60"/>
      <c r="G33" s="60"/>
      <c r="H33" s="60"/>
      <c r="I33" s="60"/>
      <c r="J33" s="60"/>
      <c r="K33" s="60"/>
      <c r="L33" s="60"/>
      <c r="M33" s="60"/>
      <c r="N33" s="60"/>
      <c r="O33" s="61"/>
      <c r="P33" s="16"/>
      <c r="Q33" s="59"/>
      <c r="R33" s="60"/>
      <c r="S33" s="60"/>
      <c r="T33" s="60"/>
      <c r="U33" s="60"/>
      <c r="V33" s="60"/>
      <c r="W33" s="61"/>
      <c r="X33" s="16"/>
    </row>
    <row r="34" spans="1:24" ht="17.100000000000001" customHeight="1">
      <c r="A34" s="16"/>
      <c r="B34" s="22"/>
      <c r="C34" s="18"/>
      <c r="D34" s="18"/>
      <c r="E34" s="18"/>
      <c r="F34" s="18"/>
      <c r="G34" s="18"/>
      <c r="H34" s="18"/>
      <c r="I34" s="18"/>
      <c r="J34" s="18"/>
      <c r="K34" s="18"/>
      <c r="L34" s="18"/>
      <c r="M34" s="18"/>
      <c r="N34" s="18"/>
      <c r="O34" s="23"/>
      <c r="P34" s="16"/>
      <c r="Q34" s="22"/>
      <c r="R34" s="18"/>
      <c r="S34" s="18"/>
      <c r="T34" s="18"/>
      <c r="U34" s="18"/>
      <c r="V34" s="18"/>
      <c r="W34" s="23"/>
      <c r="X34" s="16"/>
    </row>
    <row r="35" spans="1:24" ht="17.100000000000001" customHeight="1">
      <c r="A35" s="16"/>
      <c r="B35" s="45" t="s">
        <v>13</v>
      </c>
      <c r="C35" s="46"/>
      <c r="D35" s="46"/>
      <c r="E35" s="46"/>
      <c r="F35" s="46"/>
      <c r="G35" s="46" t="s">
        <v>14</v>
      </c>
      <c r="H35" s="46"/>
      <c r="I35" s="46"/>
      <c r="J35" s="46"/>
      <c r="K35" s="46"/>
      <c r="L35" s="46" t="s">
        <v>15</v>
      </c>
      <c r="M35" s="46"/>
      <c r="N35" s="46"/>
      <c r="O35" s="64"/>
      <c r="P35" s="16"/>
      <c r="Q35" s="45" t="s">
        <v>16</v>
      </c>
      <c r="R35" s="46"/>
      <c r="S35" s="46"/>
      <c r="T35" s="46"/>
      <c r="U35" s="67" t="str">
        <f>IF(ISNUMBER(IF('Stock Data'!$H$2,'Stock Data'!$B$44,"Refresh required")),TEXT(IF('Stock Data'!$H$2,'Stock Data'!$B$44,"Refresh required"),"$0.00,,,""B"""),IF('Stock Data'!$H$2,'Stock Data'!$B$44,"Refresh required"))</f>
        <v>$213.88B</v>
      </c>
      <c r="V35" s="67"/>
      <c r="W35" s="68"/>
      <c r="X35" s="16"/>
    </row>
    <row r="36" spans="1:24" ht="17.100000000000001" customHeight="1">
      <c r="A36" s="16"/>
      <c r="B36" s="62">
        <f>IF('Stock Data'!$H$2,IF('Stock Data'!P2="","",IF('Stock Data'!Q2="","",'Stock Data'!Q2)),"")</f>
        <v>-0.18068681913281881</v>
      </c>
      <c r="C36" s="63"/>
      <c r="D36" s="63"/>
      <c r="E36" s="63"/>
      <c r="F36" s="63"/>
      <c r="G36" s="63" t="str">
        <f>IF('Stock Data'!$H$2,IF('Stock Data'!P3="","",IF('Stock Data'!Q3="","",'Stock Data'!Q3)),"")</f>
        <v/>
      </c>
      <c r="H36" s="63"/>
      <c r="I36" s="63"/>
      <c r="J36" s="63"/>
      <c r="K36" s="63"/>
      <c r="L36" s="65">
        <f>IF('Stock Data'!$H$2,IF('Stock Data'!P2="","",IF('Stock Data'!S2="","",'Stock Data'!S2)),"")</f>
        <v>46304</v>
      </c>
      <c r="M36" s="65"/>
      <c r="N36" s="65"/>
      <c r="O36" s="66"/>
      <c r="P36" s="16"/>
      <c r="Q36" s="22"/>
      <c r="R36" s="18"/>
      <c r="S36" s="18"/>
      <c r="T36" s="18"/>
      <c r="U36" s="18"/>
      <c r="V36" s="18"/>
      <c r="W36" s="23"/>
      <c r="X36" s="16"/>
    </row>
    <row r="37" spans="1:24" ht="17.100000000000001" customHeight="1">
      <c r="A37" s="16"/>
      <c r="B37" s="62"/>
      <c r="C37" s="63"/>
      <c r="D37" s="63"/>
      <c r="E37" s="63"/>
      <c r="F37" s="63"/>
      <c r="G37" s="63"/>
      <c r="H37" s="63"/>
      <c r="I37" s="63"/>
      <c r="J37" s="63"/>
      <c r="K37" s="63"/>
      <c r="L37" s="65"/>
      <c r="M37" s="65"/>
      <c r="N37" s="65"/>
      <c r="O37" s="66"/>
      <c r="P37" s="16"/>
      <c r="Q37" s="45" t="s">
        <v>17</v>
      </c>
      <c r="R37" s="46"/>
      <c r="S37" s="46"/>
      <c r="T37" s="46"/>
      <c r="U37" s="67" t="str">
        <f>IF(ISNUMBER(IF('Stock Data'!$H$2,'Stock Data'!$B$45,"Refresh required")),TEXT(IF('Stock Data'!$H$2,'Stock Data'!$B$45,"Refresh required"),"0.00""x"""),IF('Stock Data'!$H$2,'Stock Data'!$B$45,"Refresh required"))</f>
        <v>20.15x</v>
      </c>
      <c r="V37" s="67"/>
      <c r="W37" s="68"/>
      <c r="X37" s="16"/>
    </row>
    <row r="38" spans="1:24" ht="17.100000000000001" customHeight="1">
      <c r="A38" s="16"/>
      <c r="B38" s="22"/>
      <c r="C38" s="18"/>
      <c r="D38" s="18"/>
      <c r="E38" s="18"/>
      <c r="F38" s="18"/>
      <c r="G38" s="18"/>
      <c r="H38" s="18"/>
      <c r="I38" s="18"/>
      <c r="J38" s="18"/>
      <c r="K38" s="18"/>
      <c r="L38" s="18"/>
      <c r="M38" s="18"/>
      <c r="N38" s="18"/>
      <c r="O38" s="23"/>
      <c r="P38" s="16"/>
      <c r="Q38" s="22"/>
      <c r="R38" s="18"/>
      <c r="S38" s="18"/>
      <c r="T38" s="18"/>
      <c r="U38" s="18"/>
      <c r="V38" s="18"/>
      <c r="W38" s="23"/>
      <c r="X38" s="16"/>
    </row>
    <row r="39" spans="1:24" ht="17.100000000000001" customHeight="1">
      <c r="A39" s="16"/>
      <c r="B39" s="22"/>
      <c r="C39" s="18"/>
      <c r="D39" s="18"/>
      <c r="E39" s="18"/>
      <c r="F39" s="18"/>
      <c r="G39" s="18"/>
      <c r="H39" s="18"/>
      <c r="I39" s="18"/>
      <c r="J39" s="18"/>
      <c r="K39" s="18"/>
      <c r="L39" s="18"/>
      <c r="M39" s="18"/>
      <c r="N39" s="18"/>
      <c r="O39" s="23"/>
      <c r="P39" s="16"/>
      <c r="Q39" s="45" t="s">
        <v>18</v>
      </c>
      <c r="R39" s="46"/>
      <c r="S39" s="46"/>
      <c r="T39" s="46"/>
      <c r="U39" s="67" t="str">
        <f>IF(ISNUMBER(IF('Stock Data'!$H$2,'Stock Data'!$B$46,"Refresh required")),TEXT(IF('Stock Data'!$H$2,'Stock Data'!$B$46,"Refresh required"),"$0.0000"),IF('Stock Data'!$H$2,'Stock Data'!$B$46,"Refresh required"))</f>
        <v>$11.2659</v>
      </c>
      <c r="V39" s="67"/>
      <c r="W39" s="68"/>
      <c r="X39" s="16"/>
    </row>
    <row r="40" spans="1:24" ht="17.100000000000001" customHeight="1">
      <c r="A40" s="16"/>
      <c r="B40" s="22"/>
      <c r="C40" s="18"/>
      <c r="D40" s="18"/>
      <c r="E40" s="18"/>
      <c r="F40" s="18"/>
      <c r="G40" s="18"/>
      <c r="H40" s="18"/>
      <c r="I40" s="18"/>
      <c r="J40" s="18"/>
      <c r="K40" s="18"/>
      <c r="L40" s="18"/>
      <c r="M40" s="18"/>
      <c r="N40" s="18"/>
      <c r="O40" s="23"/>
      <c r="P40" s="16"/>
      <c r="Q40" s="22"/>
      <c r="R40" s="18"/>
      <c r="S40" s="18"/>
      <c r="T40" s="18"/>
      <c r="U40" s="18"/>
      <c r="V40" s="18"/>
      <c r="W40" s="23"/>
      <c r="X40" s="16"/>
    </row>
    <row r="41" spans="1:24" ht="17.100000000000001" customHeight="1">
      <c r="A41" s="16"/>
      <c r="B41" s="22"/>
      <c r="C41" s="18"/>
      <c r="D41" s="18"/>
      <c r="E41" s="18"/>
      <c r="F41" s="18"/>
      <c r="G41" s="18"/>
      <c r="H41" s="18"/>
      <c r="I41" s="18"/>
      <c r="J41" s="18"/>
      <c r="K41" s="18"/>
      <c r="L41" s="18"/>
      <c r="M41" s="18"/>
      <c r="N41" s="18"/>
      <c r="O41" s="23"/>
      <c r="P41" s="16"/>
      <c r="Q41" s="45" t="s">
        <v>19</v>
      </c>
      <c r="R41" s="46"/>
      <c r="S41" s="46"/>
      <c r="T41" s="46"/>
      <c r="U41" s="67" t="str">
        <f>IF(ISNUMBER(IF('Stock Data'!$H$2,'Stock Data'!$B$14,"Refresh required")),TEXT(IF('Stock Data'!$H$2,'Stock Data'!$B$14,"Refresh required"),"$0.00"),IF('Stock Data'!$H$2,'Stock Data'!$B$14,"Refresh required"))&amp;" / "&amp;IF(ISNUMBER(IF('Stock Data'!$H$2,'Stock Data'!$B$12,"Refresh required")),TEXT(IF('Stock Data'!$H$2,'Stock Data'!$B$12,"Refresh required"),"$0.00"),IF('Stock Data'!$H$2,'Stock Data'!$B$12,"Refresh required"))</f>
        <v>$228.31 / $227.13</v>
      </c>
      <c r="V41" s="67"/>
      <c r="W41" s="68"/>
      <c r="X41" s="16"/>
    </row>
    <row r="42" spans="1:24" ht="17.100000000000001" customHeight="1">
      <c r="A42" s="16"/>
      <c r="B42" s="22"/>
      <c r="C42" s="18"/>
      <c r="D42" s="18"/>
      <c r="E42" s="18"/>
      <c r="F42" s="18"/>
      <c r="G42" s="18"/>
      <c r="H42" s="18"/>
      <c r="I42" s="18"/>
      <c r="J42" s="18"/>
      <c r="K42" s="18"/>
      <c r="L42" s="18"/>
      <c r="M42" s="18"/>
      <c r="N42" s="18"/>
      <c r="O42" s="23"/>
      <c r="P42" s="16"/>
      <c r="Q42" s="22"/>
      <c r="R42" s="18"/>
      <c r="S42" s="18"/>
      <c r="T42" s="18"/>
      <c r="U42" s="18"/>
      <c r="V42" s="18"/>
      <c r="W42" s="23"/>
      <c r="X42" s="16"/>
    </row>
    <row r="43" spans="1:24" ht="17.100000000000001" customHeight="1">
      <c r="A43" s="16"/>
      <c r="B43" s="22"/>
      <c r="C43" s="18"/>
      <c r="D43" s="18"/>
      <c r="E43" s="18"/>
      <c r="F43" s="18"/>
      <c r="G43" s="18"/>
      <c r="H43" s="18"/>
      <c r="I43" s="18"/>
      <c r="J43" s="18"/>
      <c r="K43" s="18"/>
      <c r="L43" s="18"/>
      <c r="M43" s="18"/>
      <c r="N43" s="18"/>
      <c r="O43" s="23"/>
      <c r="P43" s="16"/>
      <c r="Q43" s="45" t="s">
        <v>20</v>
      </c>
      <c r="R43" s="46"/>
      <c r="S43" s="46"/>
      <c r="T43" s="46"/>
      <c r="U43" s="67" t="str">
        <f>IF(ISNUMBER(IF('Stock Data'!$H$2,'Stock Data'!$B$16,"Refresh required")),TEXT(IF('Stock Data'!$H$2,'Stock Data'!$B$16,"Refresh required"),"$0.00"),IF('Stock Data'!$H$2,'Stock Data'!$B$16,"Refresh required"))&amp;" / "&amp;IF(ISNUMBER(IF('Stock Data'!$H$2,'Stock Data'!$B$15,"Refresh required")),TEXT(IF('Stock Data'!$H$2,'Stock Data'!$B$15,"Refresh required"),"$0.00"),IF('Stock Data'!$H$2,'Stock Data'!$B$15,"Refresh required"))</f>
        <v>$224.77 / $229.29</v>
      </c>
      <c r="V43" s="67"/>
      <c r="W43" s="68"/>
      <c r="X43" s="16"/>
    </row>
    <row r="44" spans="1:24" ht="17.100000000000001" customHeight="1">
      <c r="A44" s="16"/>
      <c r="B44" s="22"/>
      <c r="C44" s="18"/>
      <c r="D44" s="18"/>
      <c r="E44" s="18"/>
      <c r="F44" s="18"/>
      <c r="G44" s="18"/>
      <c r="H44" s="18"/>
      <c r="I44" s="18"/>
      <c r="J44" s="18"/>
      <c r="K44" s="18"/>
      <c r="L44" s="18"/>
      <c r="M44" s="18"/>
      <c r="N44" s="18"/>
      <c r="O44" s="23"/>
      <c r="P44" s="16"/>
      <c r="Q44" s="22"/>
      <c r="R44" s="18"/>
      <c r="S44" s="18"/>
      <c r="T44" s="18"/>
      <c r="U44" s="18"/>
      <c r="V44" s="18"/>
      <c r="W44" s="23"/>
      <c r="X44" s="16"/>
    </row>
    <row r="45" spans="1:24" ht="17.100000000000001" customHeight="1">
      <c r="A45" s="16"/>
      <c r="B45" s="22"/>
      <c r="C45" s="18"/>
      <c r="D45" s="18"/>
      <c r="E45" s="18"/>
      <c r="F45" s="18"/>
      <c r="G45" s="18"/>
      <c r="H45" s="18"/>
      <c r="I45" s="18"/>
      <c r="J45" s="18"/>
      <c r="K45" s="18"/>
      <c r="L45" s="18"/>
      <c r="M45" s="18"/>
      <c r="N45" s="18"/>
      <c r="O45" s="23"/>
      <c r="P45" s="16"/>
      <c r="Q45" s="45" t="s">
        <v>21</v>
      </c>
      <c r="R45" s="46"/>
      <c r="S45" s="46"/>
      <c r="T45" s="46"/>
      <c r="U45" s="67" t="str">
        <f>IF(ISNUMBER(IF('Stock Data'!$H$2,'Stock Data'!$B$18,"Refresh required")),TEXT(IF('Stock Data'!$H$2,'Stock Data'!$B$18,"Refresh required"),"$0.00"),IF('Stock Data'!$H$2,'Stock Data'!$B$18,"Refresh required"))&amp;" / "&amp;IF(ISNUMBER(IF('Stock Data'!$H$2,'Stock Data'!$B$17,"Refresh required")),TEXT(IF('Stock Data'!$H$2,'Stock Data'!$B$17,"Refresh required"),"$0.00"),IF('Stock Data'!$H$2,'Stock Data'!$B$17,"Refresh required"))</f>
        <v>$199.19 / $332.46</v>
      </c>
      <c r="V45" s="67"/>
      <c r="W45" s="68"/>
      <c r="X45" s="16"/>
    </row>
    <row r="46" spans="1:24" ht="17.100000000000001" customHeight="1">
      <c r="A46" s="16"/>
      <c r="B46" s="22"/>
      <c r="C46" s="18"/>
      <c r="D46" s="18"/>
      <c r="E46" s="18"/>
      <c r="F46" s="18"/>
      <c r="G46" s="18"/>
      <c r="H46" s="18"/>
      <c r="I46" s="18"/>
      <c r="J46" s="18"/>
      <c r="K46" s="18"/>
      <c r="L46" s="18"/>
      <c r="M46" s="18"/>
      <c r="N46" s="18"/>
      <c r="O46" s="23"/>
      <c r="P46" s="16"/>
      <c r="Q46" s="22"/>
      <c r="R46" s="18"/>
      <c r="S46" s="18"/>
      <c r="T46" s="18"/>
      <c r="U46" s="18"/>
      <c r="V46" s="18"/>
      <c r="W46" s="23"/>
      <c r="X46" s="16"/>
    </row>
    <row r="47" spans="1:24" ht="17.100000000000001" customHeight="1">
      <c r="A47" s="16"/>
      <c r="B47" s="22"/>
      <c r="C47" s="18"/>
      <c r="D47" s="18"/>
      <c r="E47" s="18"/>
      <c r="F47" s="18"/>
      <c r="G47" s="18"/>
      <c r="H47" s="18"/>
      <c r="I47" s="18"/>
      <c r="J47" s="18"/>
      <c r="K47" s="18"/>
      <c r="L47" s="18"/>
      <c r="M47" s="18"/>
      <c r="N47" s="18"/>
      <c r="O47" s="23"/>
      <c r="P47" s="16"/>
      <c r="Q47" s="45" t="s">
        <v>22</v>
      </c>
      <c r="R47" s="46"/>
      <c r="S47" s="46"/>
      <c r="T47" s="46"/>
      <c r="U47" s="67" t="str">
        <f>IF(ISNUMBER(IF('Stock Data'!$H$2,'Stock Data'!$B$21,"Refresh required")),TEXT(IF('Stock Data'!$H$2,'Stock Data'!$B$21,"Refresh required"),"$0.00"),IF('Stock Data'!$H$2,'Stock Data'!$B$21,"Refresh required"))&amp;" / "&amp;IF(ISNUMBER(IF('Stock Data'!$H$2,'Stock Data'!$B$22,"Refresh required")),TEXT(IF('Stock Data'!$H$2,'Stock Data'!$B$22,"Refresh required"),"$0.00"),IF('Stock Data'!$H$2,'Stock Data'!$B$22,"Refresh required"))</f>
        <v>$226.60 / $227.00</v>
      </c>
      <c r="V47" s="67"/>
      <c r="W47" s="68"/>
      <c r="X47" s="16"/>
    </row>
    <row r="48" spans="1:24" ht="17.100000000000001" customHeight="1">
      <c r="A48" s="16"/>
      <c r="B48" s="22"/>
      <c r="C48" s="18"/>
      <c r="D48" s="18"/>
      <c r="E48" s="18"/>
      <c r="F48" s="18"/>
      <c r="G48" s="18"/>
      <c r="H48" s="18"/>
      <c r="I48" s="18"/>
      <c r="J48" s="18"/>
      <c r="K48" s="18"/>
      <c r="L48" s="18"/>
      <c r="M48" s="18"/>
      <c r="N48" s="18"/>
      <c r="O48" s="23"/>
      <c r="P48" s="16"/>
      <c r="Q48" s="22"/>
      <c r="R48" s="18"/>
      <c r="S48" s="18"/>
      <c r="T48" s="18"/>
      <c r="U48" s="18"/>
      <c r="V48" s="18"/>
      <c r="W48" s="23"/>
      <c r="X48" s="16"/>
    </row>
    <row r="49" spans="1:24" ht="17.100000000000001" customHeight="1">
      <c r="A49" s="16"/>
      <c r="B49" s="22"/>
      <c r="C49" s="18"/>
      <c r="D49" s="18"/>
      <c r="E49" s="18"/>
      <c r="F49" s="18"/>
      <c r="G49" s="18"/>
      <c r="H49" s="18"/>
      <c r="I49" s="18"/>
      <c r="J49" s="18"/>
      <c r="K49" s="18"/>
      <c r="L49" s="18"/>
      <c r="M49" s="18"/>
      <c r="N49" s="18"/>
      <c r="O49" s="23"/>
      <c r="P49" s="16"/>
      <c r="Q49" s="45" t="s">
        <v>23</v>
      </c>
      <c r="R49" s="46"/>
      <c r="S49" s="46"/>
      <c r="T49" s="46"/>
      <c r="U49" s="67" t="str">
        <f>IF(ISNUMBER(IF('Stock Data'!$H$2,'Stock Data'!$B$23,"Refresh required")),TEXT(IF('Stock Data'!$H$2,'Stock Data'!$B$23,"Refresh required"),"0"),IF('Stock Data'!$H$2,'Stock Data'!$B$23,"Refresh required"))&amp;" / "&amp;IF(ISNUMBER(IF('Stock Data'!$H$2,'Stock Data'!$B$24,"Refresh required")),TEXT(IF('Stock Data'!$H$2,'Stock Data'!$B$24,"Refresh required"),"0"),IF('Stock Data'!$H$2,'Stock Data'!$B$24,"Refresh required"))</f>
        <v>100 / 200</v>
      </c>
      <c r="V49" s="67"/>
      <c r="W49" s="68"/>
      <c r="X49" s="16"/>
    </row>
    <row r="50" spans="1:24" ht="17.100000000000001" customHeight="1">
      <c r="A50" s="16"/>
      <c r="B50" s="22"/>
      <c r="C50" s="18"/>
      <c r="D50" s="18"/>
      <c r="E50" s="18"/>
      <c r="F50" s="18"/>
      <c r="G50" s="18"/>
      <c r="H50" s="18"/>
      <c r="I50" s="18"/>
      <c r="J50" s="18"/>
      <c r="K50" s="18"/>
      <c r="L50" s="18"/>
      <c r="M50" s="18"/>
      <c r="N50" s="18"/>
      <c r="O50" s="23"/>
      <c r="P50" s="16"/>
      <c r="Q50" s="22"/>
      <c r="R50" s="18"/>
      <c r="S50" s="18"/>
      <c r="T50" s="18"/>
      <c r="U50" s="18"/>
      <c r="V50" s="18"/>
      <c r="W50" s="23"/>
      <c r="X50" s="16"/>
    </row>
    <row r="51" spans="1:24" ht="17.100000000000001" customHeight="1">
      <c r="A51" s="16"/>
      <c r="B51" s="22"/>
      <c r="C51" s="18"/>
      <c r="D51" s="18"/>
      <c r="E51" s="18"/>
      <c r="F51" s="18"/>
      <c r="G51" s="18"/>
      <c r="H51" s="18"/>
      <c r="I51" s="18"/>
      <c r="J51" s="18"/>
      <c r="K51" s="18"/>
      <c r="L51" s="18"/>
      <c r="M51" s="18"/>
      <c r="N51" s="18"/>
      <c r="O51" s="23"/>
      <c r="P51" s="16"/>
      <c r="Q51" s="45" t="s">
        <v>24</v>
      </c>
      <c r="R51" s="46"/>
      <c r="S51" s="46"/>
      <c r="T51" s="46"/>
      <c r="U51" s="67" t="str">
        <f>IF(ISNUMBER(IF('Stock Data'!$H$2,'Stock Data'!$B$50,"Refresh required")),TEXT(IF('Stock Data'!$H$2,'Stock Data'!$B$50,"Refresh required"),"0.00,,""M"""),IF('Stock Data'!$H$2,'Stock Data'!$B$50,"Refresh required"))</f>
        <v>6.93M</v>
      </c>
      <c r="V51" s="67"/>
      <c r="W51" s="68"/>
      <c r="X51" s="16"/>
    </row>
    <row r="52" spans="1:24" ht="17.100000000000001" customHeight="1">
      <c r="A52" s="16"/>
      <c r="B52" s="22"/>
      <c r="C52" s="18"/>
      <c r="D52" s="18"/>
      <c r="E52" s="18"/>
      <c r="F52" s="18"/>
      <c r="G52" s="18"/>
      <c r="H52" s="18"/>
      <c r="I52" s="18"/>
      <c r="J52" s="18"/>
      <c r="K52" s="18"/>
      <c r="L52" s="18"/>
      <c r="M52" s="18"/>
      <c r="N52" s="18"/>
      <c r="O52" s="23"/>
      <c r="P52" s="16"/>
      <c r="Q52" s="22"/>
      <c r="R52" s="18"/>
      <c r="S52" s="18"/>
      <c r="T52" s="18"/>
      <c r="U52" s="18"/>
      <c r="V52" s="18"/>
      <c r="W52" s="23"/>
      <c r="X52" s="16"/>
    </row>
    <row r="53" spans="1:24" ht="17.100000000000001" customHeight="1">
      <c r="A53" s="16"/>
      <c r="B53" s="22"/>
      <c r="C53" s="18"/>
      <c r="D53" s="18"/>
      <c r="E53" s="18"/>
      <c r="F53" s="18"/>
      <c r="G53" s="18"/>
      <c r="H53" s="18"/>
      <c r="I53" s="18"/>
      <c r="J53" s="18"/>
      <c r="K53" s="18"/>
      <c r="L53" s="18"/>
      <c r="M53" s="18"/>
      <c r="N53" s="18"/>
      <c r="O53" s="23"/>
      <c r="P53" s="16"/>
      <c r="Q53" s="45" t="s">
        <v>25</v>
      </c>
      <c r="R53" s="46"/>
      <c r="S53" s="46"/>
      <c r="T53" s="46"/>
      <c r="U53" s="67" t="str">
        <f>IF(ISNUMBER(IF('Stock Data'!$H$2,'Stock Data'!$B$19,"Refresh required")),TEXT(IF('Stock Data'!$H$2,'Stock Data'!$B$19,"Refresh required"),"#,##0.00"),IF('Stock Data'!$H$2,'Stock Data'!$B$19,"Refresh required"))</f>
        <v>2,764,183.36</v>
      </c>
      <c r="V53" s="67"/>
      <c r="W53" s="68"/>
      <c r="X53" s="16"/>
    </row>
    <row r="54" spans="1:24" ht="17.100000000000001" customHeight="1">
      <c r="A54" s="16"/>
      <c r="B54" s="22"/>
      <c r="C54" s="18"/>
      <c r="D54" s="18"/>
      <c r="E54" s="18"/>
      <c r="F54" s="18"/>
      <c r="G54" s="18"/>
      <c r="H54" s="18"/>
      <c r="I54" s="18"/>
      <c r="J54" s="18"/>
      <c r="K54" s="18"/>
      <c r="L54" s="18"/>
      <c r="M54" s="18"/>
      <c r="N54" s="18"/>
      <c r="O54" s="23"/>
      <c r="P54" s="16"/>
      <c r="Q54" s="22"/>
      <c r="R54" s="18"/>
      <c r="S54" s="18"/>
      <c r="T54" s="18"/>
      <c r="U54" s="18"/>
      <c r="V54" s="18"/>
      <c r="W54" s="23"/>
      <c r="X54" s="16"/>
    </row>
    <row r="55" spans="1:24" ht="17.100000000000001" customHeight="1">
      <c r="A55" s="16"/>
      <c r="B55" s="22"/>
      <c r="C55" s="18"/>
      <c r="D55" s="18"/>
      <c r="E55" s="18"/>
      <c r="F55" s="18"/>
      <c r="G55" s="18"/>
      <c r="H55" s="18"/>
      <c r="I55" s="18"/>
      <c r="J55" s="18"/>
      <c r="K55" s="18"/>
      <c r="L55" s="18"/>
      <c r="M55" s="18"/>
      <c r="N55" s="18"/>
      <c r="O55" s="23"/>
      <c r="P55" s="16"/>
      <c r="Q55" s="45" t="s">
        <v>26</v>
      </c>
      <c r="R55" s="46"/>
      <c r="S55" s="46"/>
      <c r="T55" s="46"/>
      <c r="U55" s="67" t="str">
        <f>IF(ISNUMBER(IF('Stock Data'!$H$2,'Stock Data'!$B$49,"Refresh required")),TEXT(IF('Stock Data'!$H$2,'Stock Data'!$B$49,"Refresh required"),"0.00,,,""B"""),IF('Stock Data'!$H$2,'Stock Data'!$B$49,"Refresh required"))</f>
        <v>0.94B</v>
      </c>
      <c r="V55" s="67"/>
      <c r="W55" s="68"/>
      <c r="X55" s="16"/>
    </row>
    <row r="56" spans="1:24" ht="17.100000000000001" customHeight="1">
      <c r="A56" s="16"/>
      <c r="B56" s="22"/>
      <c r="C56" s="18"/>
      <c r="D56" s="18"/>
      <c r="E56" s="18"/>
      <c r="F56" s="18"/>
      <c r="G56" s="18"/>
      <c r="H56" s="18"/>
      <c r="I56" s="18"/>
      <c r="J56" s="18"/>
      <c r="K56" s="18"/>
      <c r="L56" s="18"/>
      <c r="M56" s="18"/>
      <c r="N56" s="18"/>
      <c r="O56" s="23"/>
      <c r="P56" s="16"/>
      <c r="Q56" s="22"/>
      <c r="R56" s="18"/>
      <c r="S56" s="18"/>
      <c r="T56" s="18"/>
      <c r="U56" s="18"/>
      <c r="V56" s="18"/>
      <c r="W56" s="23"/>
      <c r="X56" s="16"/>
    </row>
    <row r="57" spans="1:24" ht="17.100000000000001" customHeight="1">
      <c r="A57" s="16"/>
      <c r="B57" s="45" t="s">
        <v>27</v>
      </c>
      <c r="C57" s="46"/>
      <c r="D57" s="46"/>
      <c r="E57" s="46"/>
      <c r="F57" s="46"/>
      <c r="G57" s="46"/>
      <c r="H57" s="46"/>
      <c r="I57" s="46"/>
      <c r="J57" s="46"/>
      <c r="K57" s="46"/>
      <c r="L57" s="46"/>
      <c r="M57" s="46"/>
      <c r="N57" s="46"/>
      <c r="O57" s="64"/>
      <c r="P57" s="16"/>
      <c r="Q57" s="45" t="s">
        <v>28</v>
      </c>
      <c r="R57" s="46"/>
      <c r="S57" s="46"/>
      <c r="T57" s="46"/>
      <c r="U57" s="67" t="str">
        <f>IF(ISNUMBER(IF('Stock Data'!$H$2,'Stock Data'!$B$51,"Refresh required")),TEXT(IF('Stock Data'!$H$2,'Stock Data'!$B$51,"Refresh required"),"0.0000"),IF('Stock Data'!$H$2,'Stock Data'!$B$51,"Refresh required"))</f>
        <v>0.7696</v>
      </c>
      <c r="V57" s="67"/>
      <c r="W57" s="68"/>
      <c r="X57" s="16"/>
    </row>
    <row r="58" spans="1:24" ht="17.100000000000001" customHeight="1">
      <c r="A58" s="16"/>
      <c r="B58" s="45"/>
      <c r="C58" s="46"/>
      <c r="D58" s="46"/>
      <c r="E58" s="46"/>
      <c r="F58" s="46"/>
      <c r="G58" s="46"/>
      <c r="H58" s="46"/>
      <c r="I58" s="46"/>
      <c r="J58" s="46"/>
      <c r="K58" s="46"/>
      <c r="L58" s="46"/>
      <c r="M58" s="46"/>
      <c r="N58" s="46"/>
      <c r="O58" s="64"/>
      <c r="P58" s="16"/>
      <c r="Q58" s="45" t="str">
        <f>"Volume date "&amp;IF('Stock Data'!$H$2,'Stock Data'!$B$20,"Refresh required")&amp;". Beta under review if unusually low."</f>
        <v>Volume date 46307. Beta under review if unusually low.</v>
      </c>
      <c r="R58" s="46"/>
      <c r="S58" s="46"/>
      <c r="T58" s="46"/>
      <c r="U58" s="46"/>
      <c r="V58" s="46"/>
      <c r="W58" s="64"/>
      <c r="X58" s="16"/>
    </row>
    <row r="59" spans="1:24" ht="17.100000000000001" customHeight="1">
      <c r="A59" s="16"/>
      <c r="B59" s="24"/>
      <c r="C59" s="25"/>
      <c r="D59" s="25"/>
      <c r="E59" s="25"/>
      <c r="F59" s="25"/>
      <c r="G59" s="25"/>
      <c r="H59" s="25"/>
      <c r="I59" s="25"/>
      <c r="J59" s="25"/>
      <c r="K59" s="25"/>
      <c r="L59" s="25"/>
      <c r="M59" s="25"/>
      <c r="N59" s="25"/>
      <c r="O59" s="26"/>
      <c r="P59" s="16"/>
      <c r="Q59" s="47"/>
      <c r="R59" s="48"/>
      <c r="S59" s="48"/>
      <c r="T59" s="48"/>
      <c r="U59" s="48"/>
      <c r="V59" s="48"/>
      <c r="W59" s="69"/>
      <c r="X59" s="16"/>
    </row>
    <row r="60" spans="1:24" ht="17.100000000000001" customHeight="1">
      <c r="A60" s="16"/>
      <c r="B60" s="16"/>
      <c r="C60" s="16"/>
      <c r="D60" s="16"/>
      <c r="E60" s="16"/>
      <c r="F60" s="16"/>
      <c r="G60" s="16"/>
      <c r="H60" s="16"/>
      <c r="I60" s="16"/>
      <c r="J60" s="16"/>
      <c r="K60" s="16"/>
      <c r="L60" s="16"/>
      <c r="M60" s="16"/>
      <c r="N60" s="16"/>
      <c r="O60" s="16"/>
      <c r="P60" s="16"/>
      <c r="Q60" s="16"/>
      <c r="R60" s="16"/>
      <c r="S60" s="16"/>
      <c r="T60" s="16"/>
      <c r="U60" s="16"/>
      <c r="V60" s="16"/>
      <c r="W60" s="16"/>
      <c r="X60" s="16"/>
    </row>
    <row r="61" spans="1:24" ht="17.100000000000001" customHeight="1">
      <c r="A61" s="16"/>
      <c r="B61" s="16"/>
      <c r="C61" s="16"/>
      <c r="D61" s="16"/>
      <c r="E61" s="16"/>
      <c r="F61" s="16"/>
      <c r="G61" s="16"/>
      <c r="H61" s="16"/>
      <c r="I61" s="16"/>
      <c r="J61" s="16"/>
      <c r="K61" s="16"/>
      <c r="L61" s="16"/>
      <c r="M61" s="16"/>
      <c r="N61" s="16"/>
      <c r="O61" s="16"/>
      <c r="P61" s="16"/>
      <c r="Q61" s="16"/>
      <c r="R61" s="16"/>
      <c r="S61" s="16"/>
      <c r="T61" s="16"/>
      <c r="U61" s="16"/>
      <c r="V61" s="16"/>
      <c r="W61" s="16"/>
      <c r="X61" s="16"/>
    </row>
    <row r="62" spans="1:24" ht="17.100000000000001" customHeight="1">
      <c r="A62" s="16"/>
      <c r="B62" s="56" t="s">
        <v>29</v>
      </c>
      <c r="C62" s="57"/>
      <c r="D62" s="57"/>
      <c r="E62" s="57"/>
      <c r="F62" s="57"/>
      <c r="G62" s="57"/>
      <c r="H62" s="57"/>
      <c r="I62" s="57"/>
      <c r="J62" s="57"/>
      <c r="K62" s="57"/>
      <c r="L62" s="57"/>
      <c r="M62" s="57"/>
      <c r="N62" s="57"/>
      <c r="O62" s="58"/>
      <c r="P62" s="16"/>
      <c r="Q62" s="56" t="s">
        <v>30</v>
      </c>
      <c r="R62" s="57"/>
      <c r="S62" s="57"/>
      <c r="T62" s="57"/>
      <c r="U62" s="57"/>
      <c r="V62" s="57"/>
      <c r="W62" s="58"/>
      <c r="X62" s="16"/>
    </row>
    <row r="63" spans="1:24" ht="17.100000000000001" customHeight="1">
      <c r="A63" s="16"/>
      <c r="B63" s="59"/>
      <c r="C63" s="60"/>
      <c r="D63" s="60"/>
      <c r="E63" s="60"/>
      <c r="F63" s="60"/>
      <c r="G63" s="60"/>
      <c r="H63" s="60"/>
      <c r="I63" s="60"/>
      <c r="J63" s="60"/>
      <c r="K63" s="60"/>
      <c r="L63" s="60"/>
      <c r="M63" s="60"/>
      <c r="N63" s="60"/>
      <c r="O63" s="61"/>
      <c r="P63" s="16"/>
      <c r="Q63" s="59"/>
      <c r="R63" s="60"/>
      <c r="S63" s="60"/>
      <c r="T63" s="60"/>
      <c r="U63" s="60"/>
      <c r="V63" s="60"/>
      <c r="W63" s="61"/>
      <c r="X63" s="16"/>
    </row>
    <row r="64" spans="1:24" ht="17.100000000000001" customHeight="1">
      <c r="A64" s="16"/>
      <c r="B64" s="22"/>
      <c r="C64" s="18"/>
      <c r="D64" s="18"/>
      <c r="E64" s="18"/>
      <c r="F64" s="18"/>
      <c r="G64" s="18"/>
      <c r="H64" s="18"/>
      <c r="I64" s="18"/>
      <c r="J64" s="18"/>
      <c r="K64" s="18"/>
      <c r="L64" s="18"/>
      <c r="M64" s="18"/>
      <c r="N64" s="18"/>
      <c r="O64" s="23"/>
      <c r="P64" s="16"/>
      <c r="Q64" s="22"/>
      <c r="R64" s="18"/>
      <c r="S64" s="18"/>
      <c r="T64" s="18"/>
      <c r="U64" s="18"/>
      <c r="V64" s="18"/>
      <c r="W64" s="23"/>
      <c r="X64" s="16"/>
    </row>
    <row r="65" spans="1:24" ht="17.100000000000001" customHeight="1">
      <c r="A65" s="16"/>
      <c r="B65" s="45" t="s">
        <v>31</v>
      </c>
      <c r="C65" s="46"/>
      <c r="D65" s="46"/>
      <c r="E65" s="46"/>
      <c r="F65" s="46"/>
      <c r="G65" s="46" t="s">
        <v>32</v>
      </c>
      <c r="H65" s="46"/>
      <c r="I65" s="46"/>
      <c r="J65" s="46"/>
      <c r="K65" s="46"/>
      <c r="L65" s="46"/>
      <c r="M65" s="46"/>
      <c r="N65" s="46"/>
      <c r="O65" s="64"/>
      <c r="P65" s="16"/>
      <c r="Q65" s="45" t="s">
        <v>33</v>
      </c>
      <c r="R65" s="46"/>
      <c r="S65" s="46"/>
      <c r="T65" s="46"/>
      <c r="U65" s="93" t="str">
        <f>IF('Stock Data'!$H$2,'Stock Data'!$B$87,"Refresh required")</f>
        <v>Overweight</v>
      </c>
      <c r="V65" s="93"/>
      <c r="W65" s="94"/>
      <c r="X65" s="16"/>
    </row>
    <row r="66" spans="1:24" ht="17.100000000000001" customHeight="1">
      <c r="A66" s="16"/>
      <c r="B66" s="70">
        <f>IF('Stock Data'!$H$2,'Stock Data'!$B$79,"Refresh required")</f>
        <v>46316</v>
      </c>
      <c r="C66" s="71"/>
      <c r="D66" s="71"/>
      <c r="E66" s="71"/>
      <c r="F66" s="71"/>
      <c r="G66" s="72" t="str">
        <f>IF('Stock Data'!$H$2,'Stock Data'!$B$81,"Refresh required")</f>
        <v>Verified</v>
      </c>
      <c r="H66" s="72"/>
      <c r="I66" s="72"/>
      <c r="J66" s="72"/>
      <c r="K66" s="72"/>
      <c r="L66" s="72"/>
      <c r="M66" s="72"/>
      <c r="N66" s="72"/>
      <c r="O66" s="73"/>
      <c r="P66" s="16"/>
      <c r="Q66" s="91"/>
      <c r="R66" s="92"/>
      <c r="S66" s="92"/>
      <c r="T66" s="92"/>
      <c r="U66" s="95"/>
      <c r="V66" s="95"/>
      <c r="W66" s="96"/>
      <c r="X66" s="16"/>
    </row>
    <row r="67" spans="1:24" ht="17.100000000000001" customHeight="1">
      <c r="A67" s="16"/>
      <c r="B67" s="70"/>
      <c r="C67" s="71"/>
      <c r="D67" s="71"/>
      <c r="E67" s="71"/>
      <c r="F67" s="71"/>
      <c r="G67" s="72"/>
      <c r="H67" s="72"/>
      <c r="I67" s="72"/>
      <c r="J67" s="72"/>
      <c r="K67" s="72"/>
      <c r="L67" s="72"/>
      <c r="M67" s="72"/>
      <c r="N67" s="72"/>
      <c r="O67" s="73"/>
      <c r="P67" s="16"/>
      <c r="Q67" s="22"/>
      <c r="R67" s="18"/>
      <c r="S67" s="18"/>
      <c r="T67" s="18"/>
      <c r="U67" s="18"/>
      <c r="V67" s="18"/>
      <c r="W67" s="23"/>
      <c r="X67" s="16"/>
    </row>
    <row r="68" spans="1:24" ht="17.100000000000001" customHeight="1">
      <c r="A68" s="16"/>
      <c r="B68" s="22"/>
      <c r="C68" s="18"/>
      <c r="D68" s="18"/>
      <c r="E68" s="18"/>
      <c r="F68" s="18"/>
      <c r="G68" s="18"/>
      <c r="H68" s="18"/>
      <c r="I68" s="18"/>
      <c r="J68" s="18"/>
      <c r="K68" s="18"/>
      <c r="L68" s="18"/>
      <c r="M68" s="18"/>
      <c r="N68" s="18"/>
      <c r="O68" s="23"/>
      <c r="P68" s="16"/>
      <c r="Q68" s="45" t="s">
        <v>34</v>
      </c>
      <c r="R68" s="46"/>
      <c r="S68" s="46"/>
      <c r="T68" s="46"/>
      <c r="U68" s="93" t="str">
        <f>IF(ISNUMBER(IF('Stock Data'!$H$2,'Stock Data'!$B$83,"Refresh required")),TEXT(IF('Stock Data'!$H$2,'Stock Data'!$B$83,"Refresh required"),"$0.00"),IF('Stock Data'!$H$2,'Stock Data'!$B$83,"Refresh required"))</f>
        <v>$240.52</v>
      </c>
      <c r="V68" s="93"/>
      <c r="W68" s="94"/>
      <c r="X68" s="16"/>
    </row>
    <row r="69" spans="1:24" ht="17.100000000000001" customHeight="1">
      <c r="A69" s="16"/>
      <c r="B69" s="45" t="str">
        <f>IF('Stock Data'!$H$2,'Stock Data'!$B$80,"Refresh required")&amp;" · EPS broker reporting basis"</f>
        <v>AfterMarket · EPS broker reporting basis</v>
      </c>
      <c r="C69" s="46"/>
      <c r="D69" s="46"/>
      <c r="E69" s="46"/>
      <c r="F69" s="46"/>
      <c r="G69" s="46"/>
      <c r="H69" s="46"/>
      <c r="I69" s="46"/>
      <c r="J69" s="46"/>
      <c r="K69" s="46"/>
      <c r="L69" s="46"/>
      <c r="M69" s="46"/>
      <c r="N69" s="46"/>
      <c r="O69" s="64"/>
      <c r="P69" s="16"/>
      <c r="Q69" s="91"/>
      <c r="R69" s="92"/>
      <c r="S69" s="92"/>
      <c r="T69" s="92"/>
      <c r="U69" s="95"/>
      <c r="V69" s="95"/>
      <c r="W69" s="96"/>
      <c r="X69" s="16"/>
    </row>
    <row r="70" spans="1:24" ht="17.100000000000001" customHeight="1">
      <c r="A70" s="16"/>
      <c r="B70" s="45"/>
      <c r="C70" s="46"/>
      <c r="D70" s="46"/>
      <c r="E70" s="46"/>
      <c r="F70" s="46"/>
      <c r="G70" s="46"/>
      <c r="H70" s="46"/>
      <c r="I70" s="46"/>
      <c r="J70" s="46"/>
      <c r="K70" s="46"/>
      <c r="L70" s="46"/>
      <c r="M70" s="46"/>
      <c r="N70" s="46"/>
      <c r="O70" s="64"/>
      <c r="P70" s="16"/>
      <c r="Q70" s="22"/>
      <c r="R70" s="18"/>
      <c r="S70" s="18"/>
      <c r="T70" s="18"/>
      <c r="U70" s="18"/>
      <c r="V70" s="18"/>
      <c r="W70" s="23"/>
      <c r="X70" s="16"/>
    </row>
    <row r="71" spans="1:24" ht="17.100000000000001" customHeight="1">
      <c r="A71" s="16"/>
      <c r="B71" s="22"/>
      <c r="C71" s="18"/>
      <c r="D71" s="18"/>
      <c r="E71" s="18"/>
      <c r="F71" s="18"/>
      <c r="G71" s="18"/>
      <c r="H71" s="18"/>
      <c r="I71" s="18"/>
      <c r="J71" s="18"/>
      <c r="K71" s="18"/>
      <c r="L71" s="18"/>
      <c r="M71" s="18"/>
      <c r="N71" s="18"/>
      <c r="O71" s="23"/>
      <c r="P71" s="16"/>
      <c r="Q71" s="45" t="s">
        <v>35</v>
      </c>
      <c r="R71" s="46"/>
      <c r="S71" s="46"/>
      <c r="T71" s="46"/>
      <c r="U71" s="93" t="str">
        <f>IF(ISNUMBER(IF('Stock Data'!$H$2,'Stock Data'!$B$84,"Refresh required")),TEXT(IF('Stock Data'!$H$2,'Stock Data'!$B$84,"Refresh required"),"$0.00"),IF('Stock Data'!$H$2,'Stock Data'!$B$84,"Refresh required"))</f>
        <v>$174.00</v>
      </c>
      <c r="V71" s="93"/>
      <c r="W71" s="94"/>
      <c r="X71" s="16"/>
    </row>
    <row r="72" spans="1:24" ht="17.100000000000001" customHeight="1">
      <c r="A72" s="16"/>
      <c r="B72" s="22"/>
      <c r="C72" s="18"/>
      <c r="D72" s="18"/>
      <c r="E72" s="18"/>
      <c r="F72" s="18"/>
      <c r="G72" s="18"/>
      <c r="H72" s="18"/>
      <c r="I72" s="18"/>
      <c r="J72" s="18"/>
      <c r="K72" s="18"/>
      <c r="L72" s="18"/>
      <c r="M72" s="18"/>
      <c r="N72" s="18"/>
      <c r="O72" s="23"/>
      <c r="P72" s="16"/>
      <c r="Q72" s="91"/>
      <c r="R72" s="92"/>
      <c r="S72" s="92"/>
      <c r="T72" s="92"/>
      <c r="U72" s="95"/>
      <c r="V72" s="95"/>
      <c r="W72" s="96"/>
      <c r="X72" s="16"/>
    </row>
    <row r="73" spans="1:24" ht="17.100000000000001" customHeight="1">
      <c r="A73" s="16"/>
      <c r="B73" s="45" t="s">
        <v>36</v>
      </c>
      <c r="C73" s="46"/>
      <c r="D73" s="46"/>
      <c r="E73" s="46"/>
      <c r="F73" s="46" t="s">
        <v>37</v>
      </c>
      <c r="G73" s="46"/>
      <c r="H73" s="46"/>
      <c r="I73" s="46"/>
      <c r="J73" s="46" t="s">
        <v>38</v>
      </c>
      <c r="K73" s="46"/>
      <c r="L73" s="46"/>
      <c r="M73" s="46" t="s">
        <v>39</v>
      </c>
      <c r="N73" s="46"/>
      <c r="O73" s="64"/>
      <c r="P73" s="16"/>
      <c r="Q73" s="22"/>
      <c r="R73" s="18"/>
      <c r="S73" s="18"/>
      <c r="T73" s="18"/>
      <c r="U73" s="18"/>
      <c r="V73" s="18"/>
      <c r="W73" s="23"/>
      <c r="X73" s="16"/>
    </row>
    <row r="74" spans="1:24" ht="17.100000000000001" customHeight="1">
      <c r="A74" s="16"/>
      <c r="B74" s="22"/>
      <c r="C74" s="18"/>
      <c r="D74" s="18"/>
      <c r="E74" s="18"/>
      <c r="F74" s="18"/>
      <c r="G74" s="18"/>
      <c r="H74" s="18"/>
      <c r="I74" s="18"/>
      <c r="J74" s="18"/>
      <c r="K74" s="18"/>
      <c r="L74" s="18"/>
      <c r="M74" s="18"/>
      <c r="N74" s="18"/>
      <c r="O74" s="23"/>
      <c r="P74" s="16"/>
      <c r="Q74" s="45" t="s">
        <v>40</v>
      </c>
      <c r="R74" s="46"/>
      <c r="S74" s="46"/>
      <c r="T74" s="46"/>
      <c r="U74" s="93" t="str">
        <f>IF(ISNUMBER(IF('Stock Data'!$H$2,'Stock Data'!$B$85,"Refresh required")),TEXT(IF('Stock Data'!$H$2,'Stock Data'!$B$85,"Refresh required"),"$0.00"),IF('Stock Data'!$H$2,'Stock Data'!$B$85,"Refresh required"))</f>
        <v>$297.00</v>
      </c>
      <c r="V74" s="93"/>
      <c r="W74" s="94"/>
      <c r="X74" s="16"/>
    </row>
    <row r="75" spans="1:24" ht="17.100000000000001" customHeight="1">
      <c r="A75" s="16"/>
      <c r="B75" s="74" t="str">
        <f>IF('Stock Data'!$H$2,IF('Stock Data'!AQ2="","",IF('Stock Data'!AQ2="","",'Stock Data'!AQ2)),"")</f>
        <v>2025Q3</v>
      </c>
      <c r="C75" s="75"/>
      <c r="D75" s="75"/>
      <c r="E75" s="75"/>
      <c r="F75" s="76" t="str">
        <f>IF('Stock Data'!$H$2,IF('Stock Data'!AQ2="","",IF('Stock Data'!AR2="","",'Stock Data'!AR2)),"")</f>
        <v>Actual EPS</v>
      </c>
      <c r="G75" s="76"/>
      <c r="H75" s="76"/>
      <c r="I75" s="76"/>
      <c r="J75" s="77">
        <f>IF('Stock Data'!$H$2,IF('Stock Data'!AQ2="","",IF('Stock Data'!AS2="","",'Stock Data'!AS2)),"")</f>
        <v>2.65</v>
      </c>
      <c r="K75" s="77"/>
      <c r="L75" s="77"/>
      <c r="M75" s="78" t="str">
        <f>IF('Stock Data'!$H$2,IF('Stock Data'!AQ2="","",IF('Stock Data'!AW2="","",'Stock Data'!AW2)),"")</f>
        <v/>
      </c>
      <c r="N75" s="78"/>
      <c r="O75" s="79"/>
      <c r="P75" s="16"/>
      <c r="Q75" s="91"/>
      <c r="R75" s="92"/>
      <c r="S75" s="92"/>
      <c r="T75" s="92"/>
      <c r="U75" s="95"/>
      <c r="V75" s="95"/>
      <c r="W75" s="96"/>
      <c r="X75" s="16"/>
    </row>
    <row r="76" spans="1:24" ht="17.100000000000001" customHeight="1">
      <c r="A76" s="16"/>
      <c r="B76" s="74"/>
      <c r="C76" s="75"/>
      <c r="D76" s="75"/>
      <c r="E76" s="75"/>
      <c r="F76" s="76"/>
      <c r="G76" s="76"/>
      <c r="H76" s="76"/>
      <c r="I76" s="76"/>
      <c r="J76" s="77"/>
      <c r="K76" s="77"/>
      <c r="L76" s="77"/>
      <c r="M76" s="78"/>
      <c r="N76" s="78"/>
      <c r="O76" s="79"/>
      <c r="P76" s="16"/>
      <c r="Q76" s="22"/>
      <c r="R76" s="18"/>
      <c r="S76" s="18"/>
      <c r="T76" s="18"/>
      <c r="U76" s="18"/>
      <c r="V76" s="18"/>
      <c r="W76" s="23"/>
      <c r="X76" s="16"/>
    </row>
    <row r="77" spans="1:24" ht="17.100000000000001" customHeight="1">
      <c r="A77" s="16"/>
      <c r="B77" s="74" t="str">
        <f>IF('Stock Data'!$H$2,IF('Stock Data'!AQ3="","",IF('Stock Data'!AQ3="","",'Stock Data'!AQ3)),"")</f>
        <v>2025Q4</v>
      </c>
      <c r="C77" s="75"/>
      <c r="D77" s="75"/>
      <c r="E77" s="75"/>
      <c r="F77" s="76" t="str">
        <f>IF('Stock Data'!$H$2,IF('Stock Data'!AQ3="","",IF('Stock Data'!AR3="","",'Stock Data'!AR3)),"")</f>
        <v>Actual EPS</v>
      </c>
      <c r="G77" s="76"/>
      <c r="H77" s="76"/>
      <c r="I77" s="76"/>
      <c r="J77" s="77">
        <f>IF('Stock Data'!$H$2,IF('Stock Data'!AQ3="","",IF('Stock Data'!AS3="","",'Stock Data'!AS3)),"")</f>
        <v>4.5199999999999996</v>
      </c>
      <c r="K77" s="77"/>
      <c r="L77" s="77"/>
      <c r="M77" s="78" t="str">
        <f>IF('Stock Data'!$H$2,IF('Stock Data'!AQ3="","",IF('Stock Data'!AW3="","",'Stock Data'!AW3)),"")</f>
        <v/>
      </c>
      <c r="N77" s="78"/>
      <c r="O77" s="79"/>
      <c r="P77" s="16"/>
      <c r="Q77" s="45" t="str">
        <f>"Target as of "&amp;'Stock Data'!$D$83&amp;". Forecasts are not guarantees."</f>
        <v>Target as of 46305. Forecasts are not guarantees.</v>
      </c>
      <c r="R77" s="46"/>
      <c r="S77" s="46"/>
      <c r="T77" s="46"/>
      <c r="U77" s="46"/>
      <c r="V77" s="46"/>
      <c r="W77" s="64"/>
      <c r="X77" s="16"/>
    </row>
    <row r="78" spans="1:24" ht="17.100000000000001" customHeight="1">
      <c r="A78" s="16"/>
      <c r="B78" s="74"/>
      <c r="C78" s="75"/>
      <c r="D78" s="75"/>
      <c r="E78" s="75"/>
      <c r="F78" s="76"/>
      <c r="G78" s="76"/>
      <c r="H78" s="76"/>
      <c r="I78" s="76"/>
      <c r="J78" s="77"/>
      <c r="K78" s="77"/>
      <c r="L78" s="77"/>
      <c r="M78" s="78"/>
      <c r="N78" s="78"/>
      <c r="O78" s="79"/>
      <c r="P78" s="16"/>
      <c r="Q78" s="45"/>
      <c r="R78" s="46"/>
      <c r="S78" s="46"/>
      <c r="T78" s="46"/>
      <c r="U78" s="46"/>
      <c r="V78" s="46"/>
      <c r="W78" s="64"/>
      <c r="X78" s="16"/>
    </row>
    <row r="79" spans="1:24" ht="17.100000000000001" customHeight="1">
      <c r="A79" s="16"/>
      <c r="B79" s="74" t="str">
        <f>IF('Stock Data'!$H$2,IF('Stock Data'!AQ4="","",IF('Stock Data'!AQ4="","",'Stock Data'!AQ4)),"")</f>
        <v>2026Q1</v>
      </c>
      <c r="C79" s="75"/>
      <c r="D79" s="75"/>
      <c r="E79" s="75"/>
      <c r="F79" s="76" t="str">
        <f>IF('Stock Data'!$H$2,IF('Stock Data'!AQ4="","",IF('Stock Data'!AR4="","",'Stock Data'!AR4)),"")</f>
        <v>Actual EPS</v>
      </c>
      <c r="G79" s="76"/>
      <c r="H79" s="76"/>
      <c r="I79" s="76"/>
      <c r="J79" s="77">
        <f>IF('Stock Data'!$H$2,IF('Stock Data'!AQ4="","",IF('Stock Data'!AS4="","",'Stock Data'!AS4)),"")</f>
        <v>1.91</v>
      </c>
      <c r="K79" s="77"/>
      <c r="L79" s="77"/>
      <c r="M79" s="78" t="str">
        <f>IF('Stock Data'!$H$2,IF('Stock Data'!AQ4="","",IF('Stock Data'!AW4="","",'Stock Data'!AW4)),"")</f>
        <v/>
      </c>
      <c r="N79" s="78"/>
      <c r="O79" s="79"/>
      <c r="P79" s="16"/>
      <c r="Q79" s="45"/>
      <c r="R79" s="46"/>
      <c r="S79" s="46"/>
      <c r="T79" s="46"/>
      <c r="U79" s="46"/>
      <c r="V79" s="46"/>
      <c r="W79" s="64"/>
      <c r="X79" s="16"/>
    </row>
    <row r="80" spans="1:24" ht="17.100000000000001" customHeight="1">
      <c r="A80" s="16"/>
      <c r="B80" s="74"/>
      <c r="C80" s="75"/>
      <c r="D80" s="75"/>
      <c r="E80" s="75"/>
      <c r="F80" s="76"/>
      <c r="G80" s="76"/>
      <c r="H80" s="76"/>
      <c r="I80" s="76"/>
      <c r="J80" s="77"/>
      <c r="K80" s="77"/>
      <c r="L80" s="77"/>
      <c r="M80" s="78"/>
      <c r="N80" s="78"/>
      <c r="O80" s="79"/>
      <c r="P80" s="16"/>
      <c r="Q80" s="24"/>
      <c r="R80" s="25"/>
      <c r="S80" s="25"/>
      <c r="T80" s="25"/>
      <c r="U80" s="25"/>
      <c r="V80" s="25"/>
      <c r="W80" s="26"/>
      <c r="X80" s="16"/>
    </row>
    <row r="81" spans="1:24" ht="17.100000000000001" customHeight="1">
      <c r="A81" s="16"/>
      <c r="B81" s="74" t="str">
        <f>IF('Stock Data'!$H$2,IF('Stock Data'!AQ5="","",IF('Stock Data'!AQ5="","",'Stock Data'!AQ5)),"")</f>
        <v>2026Q2</v>
      </c>
      <c r="C81" s="75"/>
      <c r="D81" s="75"/>
      <c r="E81" s="75"/>
      <c r="F81" s="76" t="str">
        <f>IF('Stock Data'!$H$2,IF('Stock Data'!AQ5="","",IF('Stock Data'!AR5="","",'Stock Data'!AR5)),"")</f>
        <v>Actual EPS</v>
      </c>
      <c r="G81" s="76"/>
      <c r="H81" s="76"/>
      <c r="I81" s="76"/>
      <c r="J81" s="77">
        <f>IF('Stock Data'!$H$2,IF('Stock Data'!AQ5="","",IF('Stock Data'!AS5="","",'Stock Data'!AS5)),"")</f>
        <v>2.93</v>
      </c>
      <c r="K81" s="77"/>
      <c r="L81" s="77"/>
      <c r="M81" s="78" t="str">
        <f>IF('Stock Data'!$H$2,IF('Stock Data'!AQ5="","",IF('Stock Data'!AW5="","",'Stock Data'!AW5)),"")</f>
        <v/>
      </c>
      <c r="N81" s="78"/>
      <c r="O81" s="79"/>
      <c r="P81" s="16"/>
      <c r="Q81" s="16"/>
      <c r="R81" s="16"/>
      <c r="S81" s="16"/>
      <c r="T81" s="16"/>
      <c r="U81" s="16"/>
      <c r="V81" s="16"/>
      <c r="W81" s="16"/>
      <c r="X81" s="16"/>
    </row>
    <row r="82" spans="1:24" ht="17.100000000000001" customHeight="1">
      <c r="A82" s="16"/>
      <c r="B82" s="74"/>
      <c r="C82" s="75"/>
      <c r="D82" s="75"/>
      <c r="E82" s="75"/>
      <c r="F82" s="76"/>
      <c r="G82" s="76"/>
      <c r="H82" s="76"/>
      <c r="I82" s="76"/>
      <c r="J82" s="77"/>
      <c r="K82" s="77"/>
      <c r="L82" s="77"/>
      <c r="M82" s="78"/>
      <c r="N82" s="78"/>
      <c r="O82" s="79"/>
      <c r="P82" s="16"/>
      <c r="Q82" s="16"/>
      <c r="R82" s="16"/>
      <c r="S82" s="16"/>
      <c r="T82" s="16"/>
      <c r="U82" s="16"/>
      <c r="V82" s="16"/>
      <c r="W82" s="16"/>
      <c r="X82" s="16"/>
    </row>
    <row r="83" spans="1:24" ht="17.100000000000001" customHeight="1">
      <c r="A83" s="16"/>
      <c r="B83" s="74" t="str">
        <f>IF('Stock Data'!$H$2,IF('Stock Data'!AQ6="","",IF('Stock Data'!AQ6="","",'Stock Data'!AQ6)),"")</f>
        <v>2026Q3</v>
      </c>
      <c r="C83" s="75"/>
      <c r="D83" s="75"/>
      <c r="E83" s="75"/>
      <c r="F83" s="76" t="str">
        <f>IF('Stock Data'!$H$2,IF('Stock Data'!AQ6="","",IF('Stock Data'!AR6="","",'Stock Data'!AR6)),"")</f>
        <v>Consensus EPS</v>
      </c>
      <c r="G83" s="76"/>
      <c r="H83" s="76"/>
      <c r="I83" s="76"/>
      <c r="J83" s="77">
        <f>IF('Stock Data'!$H$2,IF('Stock Data'!AQ6="","",IF('Stock Data'!AS6="","",'Stock Data'!AS6)),"")</f>
        <v>2.8605999999999998</v>
      </c>
      <c r="K83" s="77"/>
      <c r="L83" s="77"/>
      <c r="M83" s="78">
        <f>IF('Stock Data'!$H$2,IF('Stock Data'!AQ6="","",IF('Stock Data'!AW6="","",'Stock Data'!AW6)),"")</f>
        <v>16820675458.999998</v>
      </c>
      <c r="N83" s="78"/>
      <c r="O83" s="79"/>
      <c r="P83" s="16"/>
      <c r="Q83" s="56" t="s">
        <v>41</v>
      </c>
      <c r="R83" s="57"/>
      <c r="S83" s="57"/>
      <c r="T83" s="57"/>
      <c r="U83" s="57"/>
      <c r="V83" s="57"/>
      <c r="W83" s="58"/>
      <c r="X83" s="16"/>
    </row>
    <row r="84" spans="1:24" ht="17.100000000000001" customHeight="1">
      <c r="A84" s="16"/>
      <c r="B84" s="74"/>
      <c r="C84" s="75"/>
      <c r="D84" s="75"/>
      <c r="E84" s="75"/>
      <c r="F84" s="76"/>
      <c r="G84" s="76"/>
      <c r="H84" s="76"/>
      <c r="I84" s="76"/>
      <c r="J84" s="77"/>
      <c r="K84" s="77"/>
      <c r="L84" s="77"/>
      <c r="M84" s="78"/>
      <c r="N84" s="78"/>
      <c r="O84" s="79"/>
      <c r="P84" s="16"/>
      <c r="Q84" s="59"/>
      <c r="R84" s="60"/>
      <c r="S84" s="60"/>
      <c r="T84" s="60"/>
      <c r="U84" s="60"/>
      <c r="V84" s="60"/>
      <c r="W84" s="61"/>
      <c r="X84" s="16"/>
    </row>
    <row r="85" spans="1:24" ht="17.100000000000001" customHeight="1">
      <c r="A85" s="16"/>
      <c r="B85" s="74" t="str">
        <f>IF('Stock Data'!$H$2,IF('Stock Data'!AQ7="","",IF('Stock Data'!AQ7="","",'Stock Data'!AQ7)),"")</f>
        <v>2026Q4</v>
      </c>
      <c r="C85" s="75"/>
      <c r="D85" s="75"/>
      <c r="E85" s="75"/>
      <c r="F85" s="76" t="str">
        <f>IF('Stock Data'!$H$2,IF('Stock Data'!AQ7="","",IF('Stock Data'!AR7="","",'Stock Data'!AR7)),"")</f>
        <v>Consensus EPS</v>
      </c>
      <c r="G85" s="76"/>
      <c r="H85" s="76"/>
      <c r="I85" s="76"/>
      <c r="J85" s="77">
        <f>IF('Stock Data'!$H$2,IF('Stock Data'!AQ7="","",IF('Stock Data'!AS7="","",'Stock Data'!AS7)),"")</f>
        <v>4.6186699999999998</v>
      </c>
      <c r="K85" s="77"/>
      <c r="L85" s="77"/>
      <c r="M85" s="78">
        <f>IF('Stock Data'!$H$2,IF('Stock Data'!AQ7="","",IF('Stock Data'!AW7="","",'Stock Data'!AW7)),"")</f>
        <v>20474923723</v>
      </c>
      <c r="N85" s="78"/>
      <c r="O85" s="79"/>
      <c r="P85" s="16"/>
      <c r="Q85" s="22"/>
      <c r="R85" s="18"/>
      <c r="S85" s="18"/>
      <c r="T85" s="18"/>
      <c r="U85" s="18"/>
      <c r="V85" s="18"/>
      <c r="W85" s="23"/>
      <c r="X85" s="16"/>
    </row>
    <row r="86" spans="1:24" ht="17.100000000000001" customHeight="1">
      <c r="A86" s="16"/>
      <c r="B86" s="74"/>
      <c r="C86" s="75"/>
      <c r="D86" s="75"/>
      <c r="E86" s="75"/>
      <c r="F86" s="76"/>
      <c r="G86" s="76"/>
      <c r="H86" s="76"/>
      <c r="I86" s="76"/>
      <c r="J86" s="77"/>
      <c r="K86" s="77"/>
      <c r="L86" s="77"/>
      <c r="M86" s="78"/>
      <c r="N86" s="78"/>
      <c r="O86" s="79"/>
      <c r="P86" s="16"/>
      <c r="Q86" s="45" t="str">
        <f>LEFT(IF('Stock Data'!$H$2,'Stock Data'!$B$36,"Refresh required"),IFERROR(SEARCH(". It ",'Stock Data'!$B$36)+1,250))</f>
        <v xml:space="preserve">International Business Machines Corp. is an information technology company, which engages in the provision of integrated solutions that leverage information technology and knowledge of business processes. </v>
      </c>
      <c r="R86" s="46"/>
      <c r="S86" s="46"/>
      <c r="T86" s="46"/>
      <c r="U86" s="46"/>
      <c r="V86" s="46"/>
      <c r="W86" s="64"/>
      <c r="X86" s="16"/>
    </row>
    <row r="87" spans="1:24" ht="17.100000000000001" customHeight="1">
      <c r="A87" s="16"/>
      <c r="B87" s="74" t="str">
        <f>IF('Stock Data'!$H$2,IF('Stock Data'!AQ8="","",IF('Stock Data'!AQ8="","",'Stock Data'!AQ8)),"")</f>
        <v>2027Q1</v>
      </c>
      <c r="C87" s="75"/>
      <c r="D87" s="75"/>
      <c r="E87" s="75"/>
      <c r="F87" s="76" t="str">
        <f>IF('Stock Data'!$H$2,IF('Stock Data'!AQ8="","",IF('Stock Data'!AR8="","",'Stock Data'!AR8)),"")</f>
        <v>Consensus EPS</v>
      </c>
      <c r="G87" s="76"/>
      <c r="H87" s="76"/>
      <c r="I87" s="76"/>
      <c r="J87" s="77">
        <f>IF('Stock Data'!$H$2,IF('Stock Data'!AQ8="","",IF('Stock Data'!AS8="","",'Stock Data'!AS8)),"")</f>
        <v>2.161775</v>
      </c>
      <c r="K87" s="77"/>
      <c r="L87" s="77"/>
      <c r="M87" s="78">
        <f>IF('Stock Data'!$H$2,IF('Stock Data'!AQ8="","",IF('Stock Data'!AW8="","",'Stock Data'!AW8)),"")</f>
        <v>16511759598</v>
      </c>
      <c r="N87" s="78"/>
      <c r="O87" s="79"/>
      <c r="P87" s="16"/>
      <c r="Q87" s="45"/>
      <c r="R87" s="46"/>
      <c r="S87" s="46"/>
      <c r="T87" s="46"/>
      <c r="U87" s="46"/>
      <c r="V87" s="46"/>
      <c r="W87" s="64"/>
      <c r="X87" s="16"/>
    </row>
    <row r="88" spans="1:24" ht="17.100000000000001" customHeight="1">
      <c r="A88" s="16"/>
      <c r="B88" s="74"/>
      <c r="C88" s="75"/>
      <c r="D88" s="75"/>
      <c r="E88" s="75"/>
      <c r="F88" s="76"/>
      <c r="G88" s="76"/>
      <c r="H88" s="76"/>
      <c r="I88" s="76"/>
      <c r="J88" s="77"/>
      <c r="K88" s="77"/>
      <c r="L88" s="77"/>
      <c r="M88" s="78"/>
      <c r="N88" s="78"/>
      <c r="O88" s="79"/>
      <c r="P88" s="16"/>
      <c r="Q88" s="45"/>
      <c r="R88" s="46"/>
      <c r="S88" s="46"/>
      <c r="T88" s="46"/>
      <c r="U88" s="46"/>
      <c r="V88" s="46"/>
      <c r="W88" s="64"/>
      <c r="X88" s="16"/>
    </row>
    <row r="89" spans="1:24" ht="17.100000000000001" customHeight="1">
      <c r="A89" s="16"/>
      <c r="B89" s="74" t="str">
        <f>IF('Stock Data'!$H$2,IF('Stock Data'!AQ9="","",IF('Stock Data'!AQ9="","",'Stock Data'!AQ9)),"")</f>
        <v>2027Q2</v>
      </c>
      <c r="C89" s="75"/>
      <c r="D89" s="75"/>
      <c r="E89" s="75"/>
      <c r="F89" s="76" t="str">
        <f>IF('Stock Data'!$H$2,IF('Stock Data'!AQ9="","",IF('Stock Data'!AR9="","",'Stock Data'!AR9)),"")</f>
        <v>Consensus EPS</v>
      </c>
      <c r="G89" s="76"/>
      <c r="H89" s="76"/>
      <c r="I89" s="76"/>
      <c r="J89" s="77">
        <f>IF('Stock Data'!$H$2,IF('Stock Data'!AQ9="","",IF('Stock Data'!AS9="","",'Stock Data'!AS9)),"")</f>
        <v>3.1030440000000001</v>
      </c>
      <c r="K89" s="77"/>
      <c r="L89" s="77"/>
      <c r="M89" s="78">
        <f>IF('Stock Data'!$H$2,IF('Stock Data'!AQ9="","",IF('Stock Data'!AW9="","",'Stock Data'!AW9)),"")</f>
        <v>17839671235</v>
      </c>
      <c r="N89" s="78"/>
      <c r="O89" s="79"/>
      <c r="P89" s="16"/>
      <c r="Q89" s="45"/>
      <c r="R89" s="46"/>
      <c r="S89" s="46"/>
      <c r="T89" s="46"/>
      <c r="U89" s="46"/>
      <c r="V89" s="46"/>
      <c r="W89" s="64"/>
      <c r="X89" s="16"/>
    </row>
    <row r="90" spans="1:24" ht="17.100000000000001" customHeight="1">
      <c r="A90" s="16"/>
      <c r="B90" s="74"/>
      <c r="C90" s="75"/>
      <c r="D90" s="75"/>
      <c r="E90" s="75"/>
      <c r="F90" s="76"/>
      <c r="G90" s="76"/>
      <c r="H90" s="76"/>
      <c r="I90" s="76"/>
      <c r="J90" s="77"/>
      <c r="K90" s="77"/>
      <c r="L90" s="77"/>
      <c r="M90" s="78"/>
      <c r="N90" s="78"/>
      <c r="O90" s="79"/>
      <c r="P90" s="16"/>
      <c r="Q90" s="45"/>
      <c r="R90" s="46"/>
      <c r="S90" s="46"/>
      <c r="T90" s="46"/>
      <c r="U90" s="46"/>
      <c r="V90" s="46"/>
      <c r="W90" s="64"/>
      <c r="X90" s="16"/>
    </row>
    <row r="91" spans="1:24" ht="17.100000000000001" customHeight="1">
      <c r="A91" s="16"/>
      <c r="B91" s="24"/>
      <c r="C91" s="25"/>
      <c r="D91" s="25"/>
      <c r="E91" s="25"/>
      <c r="F91" s="25"/>
      <c r="G91" s="25"/>
      <c r="H91" s="25"/>
      <c r="I91" s="25"/>
      <c r="J91" s="25"/>
      <c r="K91" s="25"/>
      <c r="L91" s="25"/>
      <c r="M91" s="25"/>
      <c r="N91" s="25"/>
      <c r="O91" s="26"/>
      <c r="P91" s="16"/>
      <c r="Q91" s="45"/>
      <c r="R91" s="46"/>
      <c r="S91" s="46"/>
      <c r="T91" s="46"/>
      <c r="U91" s="46"/>
      <c r="V91" s="46"/>
      <c r="W91" s="64"/>
      <c r="X91" s="16"/>
    </row>
    <row r="92" spans="1:24" ht="17.100000000000001" customHeight="1">
      <c r="A92" s="16"/>
      <c r="B92" s="16"/>
      <c r="C92" s="16"/>
      <c r="D92" s="16"/>
      <c r="E92" s="16"/>
      <c r="F92" s="16"/>
      <c r="G92" s="16"/>
      <c r="H92" s="16"/>
      <c r="I92" s="16"/>
      <c r="J92" s="16"/>
      <c r="K92" s="16"/>
      <c r="L92" s="16"/>
      <c r="M92" s="16"/>
      <c r="N92" s="16"/>
      <c r="O92" s="16"/>
      <c r="P92" s="16"/>
      <c r="Q92" s="45"/>
      <c r="R92" s="46"/>
      <c r="S92" s="46"/>
      <c r="T92" s="46"/>
      <c r="U92" s="46"/>
      <c r="V92" s="46"/>
      <c r="W92" s="64"/>
      <c r="X92" s="16"/>
    </row>
    <row r="93" spans="1:24" ht="17.100000000000001" customHeight="1">
      <c r="A93" s="16"/>
      <c r="B93" s="16"/>
      <c r="C93" s="16"/>
      <c r="D93" s="16"/>
      <c r="E93" s="16"/>
      <c r="F93" s="16"/>
      <c r="G93" s="16"/>
      <c r="H93" s="16"/>
      <c r="I93" s="16"/>
      <c r="J93" s="16"/>
      <c r="K93" s="16"/>
      <c r="L93" s="16"/>
      <c r="M93" s="16"/>
      <c r="N93" s="16"/>
      <c r="O93" s="16"/>
      <c r="P93" s="16"/>
      <c r="Q93" s="22"/>
      <c r="R93" s="18"/>
      <c r="S93" s="18"/>
      <c r="T93" s="18"/>
      <c r="U93" s="18"/>
      <c r="V93" s="18"/>
      <c r="W93" s="23"/>
      <c r="X93" s="16"/>
    </row>
    <row r="94" spans="1:24" ht="17.100000000000001" customHeight="1">
      <c r="A94" s="16"/>
      <c r="B94" s="56" t="s">
        <v>42</v>
      </c>
      <c r="C94" s="57"/>
      <c r="D94" s="57"/>
      <c r="E94" s="57"/>
      <c r="F94" s="57"/>
      <c r="G94" s="57"/>
      <c r="H94" s="57"/>
      <c r="I94" s="57"/>
      <c r="J94" s="57"/>
      <c r="K94" s="57"/>
      <c r="L94" s="57"/>
      <c r="M94" s="57"/>
      <c r="N94" s="57"/>
      <c r="O94" s="58"/>
      <c r="P94" s="16"/>
      <c r="Q94" s="45" t="s">
        <v>43</v>
      </c>
      <c r="R94" s="46"/>
      <c r="S94" s="46"/>
      <c r="T94" s="46"/>
      <c r="U94" s="93" t="str">
        <f>IF('Stock Data'!$H$2,'Stock Data'!$B$37,"Refresh required")</f>
        <v>Arvind Krishna, PhD</v>
      </c>
      <c r="V94" s="93"/>
      <c r="W94" s="94"/>
      <c r="X94" s="16"/>
    </row>
    <row r="95" spans="1:24" ht="17.100000000000001" customHeight="1">
      <c r="A95" s="16"/>
      <c r="B95" s="59"/>
      <c r="C95" s="60"/>
      <c r="D95" s="60"/>
      <c r="E95" s="60"/>
      <c r="F95" s="60"/>
      <c r="G95" s="60"/>
      <c r="H95" s="60"/>
      <c r="I95" s="60"/>
      <c r="J95" s="60"/>
      <c r="K95" s="60"/>
      <c r="L95" s="60"/>
      <c r="M95" s="60"/>
      <c r="N95" s="60"/>
      <c r="O95" s="61"/>
      <c r="P95" s="16"/>
      <c r="Q95" s="91"/>
      <c r="R95" s="92"/>
      <c r="S95" s="92"/>
      <c r="T95" s="92"/>
      <c r="U95" s="95"/>
      <c r="V95" s="95"/>
      <c r="W95" s="96"/>
      <c r="X95" s="16"/>
    </row>
    <row r="96" spans="1:24" ht="17.100000000000001" customHeight="1">
      <c r="A96" s="16"/>
      <c r="B96" s="22"/>
      <c r="C96" s="18"/>
      <c r="D96" s="18"/>
      <c r="E96" s="18"/>
      <c r="F96" s="18"/>
      <c r="G96" s="18"/>
      <c r="H96" s="18"/>
      <c r="I96" s="18"/>
      <c r="J96" s="18"/>
      <c r="K96" s="18"/>
      <c r="L96" s="18"/>
      <c r="M96" s="18"/>
      <c r="N96" s="18"/>
      <c r="O96" s="23"/>
      <c r="P96" s="16"/>
      <c r="Q96" s="22"/>
      <c r="R96" s="18"/>
      <c r="S96" s="18"/>
      <c r="T96" s="18"/>
      <c r="U96" s="18"/>
      <c r="V96" s="18"/>
      <c r="W96" s="23"/>
      <c r="X96" s="16"/>
    </row>
    <row r="97" spans="1:24" ht="17.100000000000001" customHeight="1">
      <c r="A97" s="16"/>
      <c r="B97" s="45" t="s">
        <v>44</v>
      </c>
      <c r="C97" s="46"/>
      <c r="D97" s="46"/>
      <c r="E97" s="46"/>
      <c r="F97" s="46"/>
      <c r="G97" s="18"/>
      <c r="H97" s="46" t="s">
        <v>45</v>
      </c>
      <c r="I97" s="46"/>
      <c r="J97" s="46"/>
      <c r="K97" s="46"/>
      <c r="L97" s="46"/>
      <c r="M97" s="46"/>
      <c r="N97" s="46"/>
      <c r="O97" s="64"/>
      <c r="P97" s="16"/>
      <c r="Q97" s="45" t="s">
        <v>46</v>
      </c>
      <c r="R97" s="46"/>
      <c r="S97" s="46"/>
      <c r="T97" s="46"/>
      <c r="U97" s="93" t="str">
        <f>IF('Stock Data'!$H$2,'Stock Data'!$B$39,"Refresh required")</f>
        <v>Armonk</v>
      </c>
      <c r="V97" s="93"/>
      <c r="W97" s="94"/>
      <c r="X97" s="16"/>
    </row>
    <row r="98" spans="1:24" ht="17.100000000000001" customHeight="1">
      <c r="A98" s="16"/>
      <c r="B98" s="80" t="str">
        <f>IF(ISNUMBER(IF('Stock Data'!$H$2,'Stock Data'!$B$48,"Refresh required")),TEXT(IF('Stock Data'!$H$2,'Stock Data'!$B$48,"Refresh required"),"0.00%"),IF('Stock Data'!$H$2,'Stock Data'!$B$48,"Refresh required"))</f>
        <v>2.97%</v>
      </c>
      <c r="C98" s="81"/>
      <c r="D98" s="81"/>
      <c r="E98" s="81"/>
      <c r="F98" s="81"/>
      <c r="G98" s="18"/>
      <c r="H98" s="81" t="str">
        <f>IF(ISNUMBER(IF('Stock Data'!$H$2,'Stock Data'!$B$47,"Refresh required")),TEXT(IF('Stock Data'!$H$2,'Stock Data'!$B$47,"Refresh required"),"$0.00"),IF('Stock Data'!$H$2,'Stock Data'!$B$47,"Refresh required"))</f>
        <v>$6.74</v>
      </c>
      <c r="I98" s="81"/>
      <c r="J98" s="81"/>
      <c r="K98" s="81"/>
      <c r="L98" s="81"/>
      <c r="M98" s="81"/>
      <c r="N98" s="81"/>
      <c r="O98" s="82"/>
      <c r="P98" s="16"/>
      <c r="Q98" s="91"/>
      <c r="R98" s="92"/>
      <c r="S98" s="92"/>
      <c r="T98" s="92"/>
      <c r="U98" s="95"/>
      <c r="V98" s="95"/>
      <c r="W98" s="96"/>
      <c r="X98" s="16"/>
    </row>
    <row r="99" spans="1:24" ht="17.100000000000001" customHeight="1">
      <c r="A99" s="16"/>
      <c r="B99" s="80"/>
      <c r="C99" s="81"/>
      <c r="D99" s="81"/>
      <c r="E99" s="81"/>
      <c r="F99" s="81"/>
      <c r="G99" s="18"/>
      <c r="H99" s="81"/>
      <c r="I99" s="81"/>
      <c r="J99" s="81"/>
      <c r="K99" s="81"/>
      <c r="L99" s="81"/>
      <c r="M99" s="81"/>
      <c r="N99" s="81"/>
      <c r="O99" s="82"/>
      <c r="P99" s="16"/>
      <c r="Q99" s="22"/>
      <c r="R99" s="18"/>
      <c r="S99" s="18"/>
      <c r="T99" s="18"/>
      <c r="U99" s="18"/>
      <c r="V99" s="18"/>
      <c r="W99" s="23"/>
      <c r="X99" s="16"/>
    </row>
    <row r="100" spans="1:24" ht="17.100000000000001" customHeight="1">
      <c r="A100" s="16"/>
      <c r="B100" s="22"/>
      <c r="C100" s="18"/>
      <c r="D100" s="18"/>
      <c r="E100" s="18"/>
      <c r="F100" s="18"/>
      <c r="G100" s="18"/>
      <c r="H100" s="18"/>
      <c r="I100" s="18"/>
      <c r="J100" s="18"/>
      <c r="K100" s="18"/>
      <c r="L100" s="18"/>
      <c r="M100" s="18"/>
      <c r="N100" s="18"/>
      <c r="O100" s="23"/>
      <c r="P100" s="16"/>
      <c r="Q100" s="45" t="s">
        <v>47</v>
      </c>
      <c r="R100" s="46"/>
      <c r="S100" s="46"/>
      <c r="T100" s="46"/>
      <c r="U100" s="93" t="str">
        <f>IF(ISNUMBER(IF('Stock Data'!$H$2,'Stock Data'!$B$38,"Refresh required")),TEXT(IF('Stock Data'!$H$2,'Stock Data'!$B$38,"Refresh required"),"#,##0"),IF('Stock Data'!$H$2,'Stock Data'!$B$38,"Refresh required"))</f>
        <v>286,800</v>
      </c>
      <c r="V100" s="93"/>
      <c r="W100" s="94"/>
      <c r="X100" s="16"/>
    </row>
    <row r="101" spans="1:24" ht="17.100000000000001" customHeight="1">
      <c r="A101" s="16"/>
      <c r="B101" s="45" t="s">
        <v>48</v>
      </c>
      <c r="C101" s="46"/>
      <c r="D101" s="46"/>
      <c r="E101" s="46"/>
      <c r="F101" s="46"/>
      <c r="G101" s="46" t="s">
        <v>49</v>
      </c>
      <c r="H101" s="46"/>
      <c r="I101" s="46"/>
      <c r="J101" s="46"/>
      <c r="K101" s="46" t="s">
        <v>50</v>
      </c>
      <c r="L101" s="46"/>
      <c r="M101" s="46"/>
      <c r="N101" s="46"/>
      <c r="O101" s="64"/>
      <c r="P101" s="16"/>
      <c r="Q101" s="91"/>
      <c r="R101" s="92"/>
      <c r="S101" s="92"/>
      <c r="T101" s="92"/>
      <c r="U101" s="95"/>
      <c r="V101" s="95"/>
      <c r="W101" s="96"/>
      <c r="X101" s="16"/>
    </row>
    <row r="102" spans="1:24" ht="17.100000000000001" customHeight="1">
      <c r="A102" s="16"/>
      <c r="B102" s="74">
        <f>IF('Stock Data'!$H$2,IF('Stock Data'!V2="","",IF('Stock Data'!V2="","",'Stock Data'!V2)),"")</f>
        <v>46244</v>
      </c>
      <c r="C102" s="75"/>
      <c r="D102" s="75"/>
      <c r="E102" s="75"/>
      <c r="F102" s="75"/>
      <c r="G102" s="83">
        <f>IF('Stock Data'!$H$2,IF('Stock Data'!V2="","",IF('Stock Data'!W2="","",'Stock Data'!W2)),"")</f>
        <v>1.69</v>
      </c>
      <c r="H102" s="83"/>
      <c r="I102" s="83"/>
      <c r="J102" s="83"/>
      <c r="K102" s="75">
        <f>IF('Stock Data'!$H$2,IF('Stock Data'!V2="","",IF('Stock Data'!X2="","",'Stock Data'!X2)),"")</f>
        <v>46275</v>
      </c>
      <c r="L102" s="75"/>
      <c r="M102" s="75"/>
      <c r="N102" s="75"/>
      <c r="O102" s="84"/>
      <c r="P102" s="16"/>
      <c r="Q102" s="22"/>
      <c r="R102" s="18"/>
      <c r="S102" s="18"/>
      <c r="T102" s="18"/>
      <c r="U102" s="18"/>
      <c r="V102" s="18"/>
      <c r="W102" s="23"/>
      <c r="X102" s="16"/>
    </row>
    <row r="103" spans="1:24" ht="17.100000000000001" customHeight="1">
      <c r="A103" s="16"/>
      <c r="B103" s="74"/>
      <c r="C103" s="75"/>
      <c r="D103" s="75"/>
      <c r="E103" s="75"/>
      <c r="F103" s="75"/>
      <c r="G103" s="83"/>
      <c r="H103" s="83"/>
      <c r="I103" s="83"/>
      <c r="J103" s="83"/>
      <c r="K103" s="75"/>
      <c r="L103" s="75"/>
      <c r="M103" s="75"/>
      <c r="N103" s="75"/>
      <c r="O103" s="84"/>
      <c r="P103" s="16"/>
      <c r="Q103" s="45" t="s">
        <v>51</v>
      </c>
      <c r="R103" s="46"/>
      <c r="S103" s="46"/>
      <c r="T103" s="46"/>
      <c r="U103" s="93" t="str">
        <f>IF('Stock Data'!$H$2,'Stock Data'!$B$42,"Refresh required")</f>
        <v>Technology Services</v>
      </c>
      <c r="V103" s="93"/>
      <c r="W103" s="94"/>
      <c r="X103" s="16"/>
    </row>
    <row r="104" spans="1:24" ht="17.100000000000001" customHeight="1">
      <c r="A104" s="16"/>
      <c r="B104" s="74">
        <f>IF('Stock Data'!$H$2,IF('Stock Data'!V3="","",IF('Stock Data'!V3="","",'Stock Data'!V3)),"")</f>
        <v>46150</v>
      </c>
      <c r="C104" s="75"/>
      <c r="D104" s="75"/>
      <c r="E104" s="75"/>
      <c r="F104" s="75"/>
      <c r="G104" s="83">
        <f>IF('Stock Data'!$H$2,IF('Stock Data'!V3="","",IF('Stock Data'!W3="","",'Stock Data'!W3)),"")</f>
        <v>1.69</v>
      </c>
      <c r="H104" s="83"/>
      <c r="I104" s="83"/>
      <c r="J104" s="83"/>
      <c r="K104" s="75">
        <f>IF('Stock Data'!$H$2,IF('Stock Data'!V3="","",IF('Stock Data'!X3="","",'Stock Data'!X3)),"")</f>
        <v>46183</v>
      </c>
      <c r="L104" s="75"/>
      <c r="M104" s="75"/>
      <c r="N104" s="75"/>
      <c r="O104" s="84"/>
      <c r="P104" s="16"/>
      <c r="Q104" s="91"/>
      <c r="R104" s="92"/>
      <c r="S104" s="92"/>
      <c r="T104" s="92"/>
      <c r="U104" s="95"/>
      <c r="V104" s="95"/>
      <c r="W104" s="96"/>
      <c r="X104" s="16"/>
    </row>
    <row r="105" spans="1:24" ht="17.100000000000001" customHeight="1">
      <c r="A105" s="16"/>
      <c r="B105" s="74"/>
      <c r="C105" s="75"/>
      <c r="D105" s="75"/>
      <c r="E105" s="75"/>
      <c r="F105" s="75"/>
      <c r="G105" s="83"/>
      <c r="H105" s="83"/>
      <c r="I105" s="83"/>
      <c r="J105" s="83"/>
      <c r="K105" s="75"/>
      <c r="L105" s="75"/>
      <c r="M105" s="75"/>
      <c r="N105" s="75"/>
      <c r="O105" s="84"/>
      <c r="P105" s="16"/>
      <c r="Q105" s="22"/>
      <c r="R105" s="18"/>
      <c r="S105" s="18"/>
      <c r="T105" s="18"/>
      <c r="U105" s="18"/>
      <c r="V105" s="18"/>
      <c r="W105" s="23"/>
      <c r="X105" s="16"/>
    </row>
    <row r="106" spans="1:24" ht="17.100000000000001" customHeight="1">
      <c r="A106" s="16"/>
      <c r="B106" s="74">
        <f>IF('Stock Data'!$H$2,IF('Stock Data'!V4="","",IF('Stock Data'!V4="","",'Stock Data'!V4)),"")</f>
        <v>46063</v>
      </c>
      <c r="C106" s="75"/>
      <c r="D106" s="75"/>
      <c r="E106" s="75"/>
      <c r="F106" s="75"/>
      <c r="G106" s="83">
        <f>IF('Stock Data'!$H$2,IF('Stock Data'!V4="","",IF('Stock Data'!W4="","",'Stock Data'!W4)),"")</f>
        <v>1.68</v>
      </c>
      <c r="H106" s="83"/>
      <c r="I106" s="83"/>
      <c r="J106" s="83"/>
      <c r="K106" s="75">
        <f>IF('Stock Data'!$H$2,IF('Stock Data'!V4="","",IF('Stock Data'!X4="","",'Stock Data'!X4)),"")</f>
        <v>46091</v>
      </c>
      <c r="L106" s="75"/>
      <c r="M106" s="75"/>
      <c r="N106" s="75"/>
      <c r="O106" s="84"/>
      <c r="P106" s="16"/>
      <c r="Q106" s="45" t="s">
        <v>52</v>
      </c>
      <c r="R106" s="46"/>
      <c r="S106" s="46"/>
      <c r="T106" s="46"/>
      <c r="U106" s="93" t="str">
        <f>IF('Stock Data'!$H$2,'Stock Data'!$B$43,"Refresh required")</f>
        <v>Information Technology Services</v>
      </c>
      <c r="V106" s="93"/>
      <c r="W106" s="94"/>
      <c r="X106" s="16"/>
    </row>
    <row r="107" spans="1:24" ht="17.100000000000001" customHeight="1">
      <c r="A107" s="16"/>
      <c r="B107" s="74"/>
      <c r="C107" s="75"/>
      <c r="D107" s="75"/>
      <c r="E107" s="75"/>
      <c r="F107" s="75"/>
      <c r="G107" s="83"/>
      <c r="H107" s="83"/>
      <c r="I107" s="83"/>
      <c r="J107" s="83"/>
      <c r="K107" s="75"/>
      <c r="L107" s="75"/>
      <c r="M107" s="75"/>
      <c r="N107" s="75"/>
      <c r="O107" s="84"/>
      <c r="P107" s="16"/>
      <c r="Q107" s="91"/>
      <c r="R107" s="92"/>
      <c r="S107" s="92"/>
      <c r="T107" s="92"/>
      <c r="U107" s="95"/>
      <c r="V107" s="95"/>
      <c r="W107" s="96"/>
      <c r="X107" s="16"/>
    </row>
    <row r="108" spans="1:24" ht="17.100000000000001" customHeight="1">
      <c r="A108" s="16"/>
      <c r="B108" s="74">
        <f>IF('Stock Data'!$H$2,IF('Stock Data'!V5="","",IF('Stock Data'!V5="","",'Stock Data'!V5)),"")</f>
        <v>45971</v>
      </c>
      <c r="C108" s="75"/>
      <c r="D108" s="75"/>
      <c r="E108" s="75"/>
      <c r="F108" s="75"/>
      <c r="G108" s="83">
        <f>IF('Stock Data'!$H$2,IF('Stock Data'!V5="","",IF('Stock Data'!W5="","",'Stock Data'!W5)),"")</f>
        <v>1.68</v>
      </c>
      <c r="H108" s="83"/>
      <c r="I108" s="83"/>
      <c r="J108" s="83"/>
      <c r="K108" s="75">
        <f>IF('Stock Data'!$H$2,IF('Stock Data'!V5="","",IF('Stock Data'!X5="","",'Stock Data'!X5)),"")</f>
        <v>46001</v>
      </c>
      <c r="L108" s="75"/>
      <c r="M108" s="75"/>
      <c r="N108" s="75"/>
      <c r="O108" s="84"/>
      <c r="P108" s="16"/>
      <c r="Q108" s="22"/>
      <c r="R108" s="18"/>
      <c r="S108" s="18"/>
      <c r="T108" s="18"/>
      <c r="U108" s="18"/>
      <c r="V108" s="18"/>
      <c r="W108" s="23"/>
      <c r="X108" s="16"/>
    </row>
    <row r="109" spans="1:24" ht="17.100000000000001" customHeight="1">
      <c r="A109" s="16"/>
      <c r="B109" s="74"/>
      <c r="C109" s="75"/>
      <c r="D109" s="75"/>
      <c r="E109" s="75"/>
      <c r="F109" s="75"/>
      <c r="G109" s="83"/>
      <c r="H109" s="83"/>
      <c r="I109" s="83"/>
      <c r="J109" s="83"/>
      <c r="K109" s="75"/>
      <c r="L109" s="75"/>
      <c r="M109" s="75"/>
      <c r="N109" s="75"/>
      <c r="O109" s="84"/>
      <c r="P109" s="16"/>
      <c r="Q109" s="24"/>
      <c r="R109" s="25"/>
      <c r="S109" s="25"/>
      <c r="T109" s="25"/>
      <c r="U109" s="25"/>
      <c r="V109" s="25"/>
      <c r="W109" s="26"/>
      <c r="X109" s="16"/>
    </row>
    <row r="110" spans="1:24" ht="17.100000000000001" customHeight="1">
      <c r="A110" s="16"/>
      <c r="B110" s="22"/>
      <c r="C110" s="18"/>
      <c r="D110" s="18"/>
      <c r="E110" s="18"/>
      <c r="F110" s="18"/>
      <c r="G110" s="18"/>
      <c r="H110" s="18"/>
      <c r="I110" s="18"/>
      <c r="J110" s="18"/>
      <c r="K110" s="18"/>
      <c r="L110" s="18"/>
      <c r="M110" s="18"/>
      <c r="N110" s="18"/>
      <c r="O110" s="23"/>
      <c r="P110" s="16"/>
      <c r="Q110" s="16"/>
      <c r="R110" s="16"/>
      <c r="S110" s="16"/>
      <c r="T110" s="16"/>
      <c r="U110" s="16"/>
      <c r="V110" s="16"/>
      <c r="W110" s="16"/>
      <c r="X110" s="16"/>
    </row>
    <row r="111" spans="1:24" ht="17.100000000000001" customHeight="1">
      <c r="A111" s="16"/>
      <c r="B111" s="45" t="s">
        <v>53</v>
      </c>
      <c r="C111" s="46"/>
      <c r="D111" s="46"/>
      <c r="E111" s="46"/>
      <c r="F111" s="46"/>
      <c r="G111" s="46"/>
      <c r="H111" s="46"/>
      <c r="I111" s="46"/>
      <c r="J111" s="46"/>
      <c r="K111" s="46"/>
      <c r="L111" s="46"/>
      <c r="M111" s="46"/>
      <c r="N111" s="46"/>
      <c r="O111" s="64"/>
      <c r="P111" s="16"/>
      <c r="Q111" s="16"/>
      <c r="R111" s="16"/>
      <c r="S111" s="16"/>
      <c r="T111" s="16"/>
      <c r="U111" s="16"/>
      <c r="V111" s="16"/>
      <c r="W111" s="16"/>
      <c r="X111" s="16"/>
    </row>
    <row r="112" spans="1:24" ht="17.100000000000001" customHeight="1">
      <c r="A112" s="16"/>
      <c r="B112" s="47"/>
      <c r="C112" s="48"/>
      <c r="D112" s="48"/>
      <c r="E112" s="48"/>
      <c r="F112" s="48"/>
      <c r="G112" s="48"/>
      <c r="H112" s="48"/>
      <c r="I112" s="48"/>
      <c r="J112" s="48"/>
      <c r="K112" s="48"/>
      <c r="L112" s="48"/>
      <c r="M112" s="48"/>
      <c r="N112" s="48"/>
      <c r="O112" s="69"/>
      <c r="P112" s="16"/>
      <c r="Q112" s="56" t="s">
        <v>54</v>
      </c>
      <c r="R112" s="57"/>
      <c r="S112" s="57"/>
      <c r="T112" s="57"/>
      <c r="U112" s="57"/>
      <c r="V112" s="57"/>
      <c r="W112" s="58"/>
      <c r="X112" s="16"/>
    </row>
    <row r="113" spans="1:24" ht="17.100000000000001" customHeight="1">
      <c r="A113" s="16"/>
      <c r="B113" s="16"/>
      <c r="C113" s="16"/>
      <c r="D113" s="16"/>
      <c r="E113" s="16"/>
      <c r="F113" s="16"/>
      <c r="G113" s="16"/>
      <c r="H113" s="16"/>
      <c r="I113" s="16"/>
      <c r="J113" s="16"/>
      <c r="K113" s="16"/>
      <c r="L113" s="16"/>
      <c r="M113" s="16"/>
      <c r="N113" s="16"/>
      <c r="O113" s="16"/>
      <c r="P113" s="16"/>
      <c r="Q113" s="59"/>
      <c r="R113" s="60"/>
      <c r="S113" s="60"/>
      <c r="T113" s="60"/>
      <c r="U113" s="60"/>
      <c r="V113" s="60"/>
      <c r="W113" s="61"/>
      <c r="X113" s="16"/>
    </row>
    <row r="114" spans="1:24" ht="17.100000000000001" customHeight="1">
      <c r="A114" s="16"/>
      <c r="B114" s="16"/>
      <c r="C114" s="16"/>
      <c r="D114" s="16"/>
      <c r="E114" s="16"/>
      <c r="F114" s="16"/>
      <c r="G114" s="16"/>
      <c r="H114" s="16"/>
      <c r="I114" s="16"/>
      <c r="J114" s="16"/>
      <c r="K114" s="16"/>
      <c r="L114" s="16"/>
      <c r="M114" s="16"/>
      <c r="N114" s="16"/>
      <c r="O114" s="16"/>
      <c r="P114" s="16"/>
      <c r="Q114" s="22"/>
      <c r="R114" s="18"/>
      <c r="S114" s="18"/>
      <c r="T114" s="18"/>
      <c r="U114" s="18"/>
      <c r="V114" s="18"/>
      <c r="W114" s="23"/>
      <c r="X114" s="16"/>
    </row>
    <row r="115" spans="1:24" ht="17.100000000000001" customHeight="1">
      <c r="A115" s="16"/>
      <c r="B115" s="56" t="s">
        <v>55</v>
      </c>
      <c r="C115" s="57"/>
      <c r="D115" s="57"/>
      <c r="E115" s="57"/>
      <c r="F115" s="57"/>
      <c r="G115" s="57"/>
      <c r="H115" s="57"/>
      <c r="I115" s="57"/>
      <c r="J115" s="57"/>
      <c r="K115" s="57"/>
      <c r="L115" s="57"/>
      <c r="M115" s="57"/>
      <c r="N115" s="57"/>
      <c r="O115" s="58"/>
      <c r="P115" s="16"/>
      <c r="Q115" s="97" t="str">
        <f>IF('Stock Data'!$H$2,IF('Stock Data'!J2="","",IF('Stock Data'!J2="","",'Stock Data'!J2)),"")</f>
        <v>TDIV</v>
      </c>
      <c r="R115" s="98"/>
      <c r="S115" s="98"/>
      <c r="T115" s="98"/>
      <c r="U115" s="99">
        <f>IF('Stock Data'!$H$2,IF('Stock Data'!J2="","",IF('Stock Data'!L2="","",'Stock Data'!L2)),"")</f>
        <v>7.8069490000000005E-2</v>
      </c>
      <c r="V115" s="99"/>
      <c r="W115" s="100"/>
      <c r="X115" s="16"/>
    </row>
    <row r="116" spans="1:24" ht="17.100000000000001" customHeight="1">
      <c r="A116" s="16"/>
      <c r="B116" s="59"/>
      <c r="C116" s="60"/>
      <c r="D116" s="60"/>
      <c r="E116" s="60"/>
      <c r="F116" s="60"/>
      <c r="G116" s="60"/>
      <c r="H116" s="60"/>
      <c r="I116" s="60"/>
      <c r="J116" s="60"/>
      <c r="K116" s="60"/>
      <c r="L116" s="60"/>
      <c r="M116" s="60"/>
      <c r="N116" s="60"/>
      <c r="O116" s="61"/>
      <c r="P116" s="16"/>
      <c r="Q116" s="97"/>
      <c r="R116" s="98"/>
      <c r="S116" s="98"/>
      <c r="T116" s="98"/>
      <c r="U116" s="99"/>
      <c r="V116" s="99"/>
      <c r="W116" s="100"/>
      <c r="X116" s="16"/>
    </row>
    <row r="117" spans="1:24" ht="17.100000000000001" customHeight="1">
      <c r="A117" s="16"/>
      <c r="B117" s="22"/>
      <c r="C117" s="18"/>
      <c r="D117" s="18"/>
      <c r="E117" s="18"/>
      <c r="F117" s="18"/>
      <c r="G117" s="18"/>
      <c r="H117" s="18"/>
      <c r="I117" s="18"/>
      <c r="J117" s="18"/>
      <c r="K117" s="18"/>
      <c r="L117" s="18"/>
      <c r="M117" s="18"/>
      <c r="N117" s="18"/>
      <c r="O117" s="23"/>
      <c r="P117" s="16"/>
      <c r="Q117" s="88" t="str">
        <f>IF('Stock Data'!$H$2,IF('Stock Data'!J2="","",IF('Stock Data'!K2="","",'Stock Data'!K2)),"")</f>
        <v>First Trust Exchange-Traded Fund VI - First Trust ETF VI First Trust NASDAQ Technology Dividend Index Fund</v>
      </c>
      <c r="R117" s="89"/>
      <c r="S117" s="89"/>
      <c r="T117" s="89"/>
      <c r="U117" s="89"/>
      <c r="V117" s="89"/>
      <c r="W117" s="90"/>
      <c r="X117" s="16"/>
    </row>
    <row r="118" spans="1:24" ht="17.100000000000001" customHeight="1">
      <c r="A118" s="16"/>
      <c r="B118" s="85" t="str">
        <f>IF('Stock Data'!$H$2,IF('Stock Data'!AY2="","",IF('Stock Data'!AY2="","",'Stock Data'!AY2)),"")</f>
        <v>Cboe data shows mixed options sentiment in IBM with shares down 0.26%</v>
      </c>
      <c r="C118" s="86"/>
      <c r="D118" s="86"/>
      <c r="E118" s="86"/>
      <c r="F118" s="86"/>
      <c r="G118" s="86"/>
      <c r="H118" s="86"/>
      <c r="I118" s="86"/>
      <c r="J118" s="86"/>
      <c r="K118" s="86"/>
      <c r="L118" s="86"/>
      <c r="M118" s="86"/>
      <c r="N118" s="86"/>
      <c r="O118" s="87"/>
      <c r="P118" s="16"/>
      <c r="Q118" s="22"/>
      <c r="R118" s="18"/>
      <c r="S118" s="18"/>
      <c r="T118" s="18"/>
      <c r="U118" s="18"/>
      <c r="V118" s="18"/>
      <c r="W118" s="23"/>
      <c r="X118" s="16"/>
    </row>
    <row r="119" spans="1:24" ht="17.100000000000001" customHeight="1">
      <c r="A119" s="16"/>
      <c r="B119" s="85"/>
      <c r="C119" s="86"/>
      <c r="D119" s="86"/>
      <c r="E119" s="86"/>
      <c r="F119" s="86"/>
      <c r="G119" s="86"/>
      <c r="H119" s="86"/>
      <c r="I119" s="86"/>
      <c r="J119" s="86"/>
      <c r="K119" s="86"/>
      <c r="L119" s="86"/>
      <c r="M119" s="86"/>
      <c r="N119" s="86"/>
      <c r="O119" s="87"/>
      <c r="P119" s="16"/>
      <c r="Q119" s="97" t="str">
        <f>IF('Stock Data'!$H$2,IF('Stock Data'!J3="","",IF('Stock Data'!J3="","",'Stock Data'!J3)),"")</f>
        <v>TDVI</v>
      </c>
      <c r="R119" s="98"/>
      <c r="S119" s="98"/>
      <c r="T119" s="98"/>
      <c r="U119" s="99">
        <f>IF('Stock Data'!$H$2,IF('Stock Data'!J3="","",IF('Stock Data'!L3="","",'Stock Data'!L3)),"")</f>
        <v>7.8020560000000003E-2</v>
      </c>
      <c r="V119" s="99"/>
      <c r="W119" s="100"/>
      <c r="X119" s="16"/>
    </row>
    <row r="120" spans="1:24" ht="17.100000000000001" customHeight="1">
      <c r="A120" s="16"/>
      <c r="B120" s="88" t="str">
        <f>IF('Stock Data'!$H$2,IF('Stock Data'!AY2="","",IF('Stock Data'!BA2="","",'Stock Data'!BA2)),"")</f>
        <v>TipRanks: TheFly</v>
      </c>
      <c r="C120" s="89"/>
      <c r="D120" s="89"/>
      <c r="E120" s="89"/>
      <c r="F120" s="89"/>
      <c r="G120" s="89"/>
      <c r="H120" s="89"/>
      <c r="I120" s="89"/>
      <c r="J120" s="89"/>
      <c r="K120" s="89"/>
      <c r="L120" s="89"/>
      <c r="M120" s="89"/>
      <c r="N120" s="89"/>
      <c r="O120" s="90"/>
      <c r="P120" s="16"/>
      <c r="Q120" s="97"/>
      <c r="R120" s="98"/>
      <c r="S120" s="98"/>
      <c r="T120" s="98"/>
      <c r="U120" s="99"/>
      <c r="V120" s="99"/>
      <c r="W120" s="100"/>
      <c r="X120" s="16"/>
    </row>
    <row r="121" spans="1:24" ht="17.100000000000001" customHeight="1">
      <c r="A121" s="16"/>
      <c r="B121" s="22"/>
      <c r="C121" s="18"/>
      <c r="D121" s="18"/>
      <c r="E121" s="18"/>
      <c r="F121" s="18"/>
      <c r="G121" s="18"/>
      <c r="H121" s="18"/>
      <c r="I121" s="18"/>
      <c r="J121" s="18"/>
      <c r="K121" s="18"/>
      <c r="L121" s="18"/>
      <c r="M121" s="18"/>
      <c r="N121" s="18"/>
      <c r="O121" s="23"/>
      <c r="P121" s="16"/>
      <c r="Q121" s="88" t="str">
        <f>IF('Stock Data'!$H$2,IF('Stock Data'!J3="","",IF('Stock Data'!K3="","",'Stock Data'!K3)),"")</f>
        <v>First Trust Exchange-Traded Fund IV - FT Vest Technology Dividend Target Income ETF</v>
      </c>
      <c r="R121" s="89"/>
      <c r="S121" s="89"/>
      <c r="T121" s="89"/>
      <c r="U121" s="89"/>
      <c r="V121" s="89"/>
      <c r="W121" s="90"/>
      <c r="X121" s="16"/>
    </row>
    <row r="122" spans="1:24" ht="17.100000000000001" customHeight="1">
      <c r="A122" s="16"/>
      <c r="B122" s="85" t="str">
        <f>IF('Stock Data'!$H$2,IF('Stock Data'!AY3="","",IF('Stock Data'!AY3="","",'Stock Data'!AY3)),"")</f>
        <v>Should Quantum Benchmarking Progress Require Action From IBM (IBM) Investors?</v>
      </c>
      <c r="C122" s="86"/>
      <c r="D122" s="86"/>
      <c r="E122" s="86"/>
      <c r="F122" s="86"/>
      <c r="G122" s="86"/>
      <c r="H122" s="86"/>
      <c r="I122" s="86"/>
      <c r="J122" s="86"/>
      <c r="K122" s="86"/>
      <c r="L122" s="86"/>
      <c r="M122" s="86"/>
      <c r="N122" s="86"/>
      <c r="O122" s="87"/>
      <c r="P122" s="16"/>
      <c r="Q122" s="22"/>
      <c r="R122" s="18"/>
      <c r="S122" s="18"/>
      <c r="T122" s="18"/>
      <c r="U122" s="18"/>
      <c r="V122" s="18"/>
      <c r="W122" s="23"/>
      <c r="X122" s="16"/>
    </row>
    <row r="123" spans="1:24" ht="17.100000000000001" customHeight="1">
      <c r="A123" s="16"/>
      <c r="B123" s="85"/>
      <c r="C123" s="86"/>
      <c r="D123" s="86"/>
      <c r="E123" s="86"/>
      <c r="F123" s="86"/>
      <c r="G123" s="86"/>
      <c r="H123" s="86"/>
      <c r="I123" s="86"/>
      <c r="J123" s="86"/>
      <c r="K123" s="86"/>
      <c r="L123" s="86"/>
      <c r="M123" s="86"/>
      <c r="N123" s="86"/>
      <c r="O123" s="87"/>
      <c r="P123" s="16"/>
      <c r="Q123" s="97" t="str">
        <f>IF('Stock Data'!$H$2,IF('Stock Data'!J4="","",IF('Stock Data'!J4="","",'Stock Data'!J4)),"")</f>
        <v>DJD</v>
      </c>
      <c r="R123" s="98"/>
      <c r="S123" s="98"/>
      <c r="T123" s="98"/>
      <c r="U123" s="99">
        <f>IF('Stock Data'!$H$2,IF('Stock Data'!J4="","",IF('Stock Data'!L4="","",'Stock Data'!L4)),"")</f>
        <v>5.7079389999999994E-2</v>
      </c>
      <c r="V123" s="99"/>
      <c r="W123" s="100"/>
      <c r="X123" s="16"/>
    </row>
    <row r="124" spans="1:24" ht="17.100000000000001" customHeight="1">
      <c r="A124" s="16"/>
      <c r="B124" s="88" t="str">
        <f>IF('Stock Data'!$H$2,IF('Stock Data'!AY3="","",IF('Stock Data'!BA3="","",'Stock Data'!BA3)),"")</f>
        <v>Simply Wall St</v>
      </c>
      <c r="C124" s="89"/>
      <c r="D124" s="89"/>
      <c r="E124" s="89"/>
      <c r="F124" s="89"/>
      <c r="G124" s="89"/>
      <c r="H124" s="89"/>
      <c r="I124" s="89"/>
      <c r="J124" s="89"/>
      <c r="K124" s="89"/>
      <c r="L124" s="89"/>
      <c r="M124" s="89"/>
      <c r="N124" s="89"/>
      <c r="O124" s="90"/>
      <c r="P124" s="16"/>
      <c r="Q124" s="97"/>
      <c r="R124" s="98"/>
      <c r="S124" s="98"/>
      <c r="T124" s="98"/>
      <c r="U124" s="99"/>
      <c r="V124" s="99"/>
      <c r="W124" s="100"/>
      <c r="X124" s="16"/>
    </row>
    <row r="125" spans="1:24" ht="17.100000000000001" customHeight="1">
      <c r="A125" s="16"/>
      <c r="B125" s="22"/>
      <c r="C125" s="18"/>
      <c r="D125" s="18"/>
      <c r="E125" s="18"/>
      <c r="F125" s="18"/>
      <c r="G125" s="18"/>
      <c r="H125" s="18"/>
      <c r="I125" s="18"/>
      <c r="J125" s="18"/>
      <c r="K125" s="18"/>
      <c r="L125" s="18"/>
      <c r="M125" s="18"/>
      <c r="N125" s="18"/>
      <c r="O125" s="23"/>
      <c r="P125" s="16"/>
      <c r="Q125" s="88" t="str">
        <f>IF('Stock Data'!$H$2,IF('Stock Data'!J4="","",IF('Stock Data'!K4="","",'Stock Data'!K4)),"")</f>
        <v>Invesco Exchange-Traded Fund Trust - Invesco Dow Jones Industrial Average Dividend ETF</v>
      </c>
      <c r="R125" s="89"/>
      <c r="S125" s="89"/>
      <c r="T125" s="89"/>
      <c r="U125" s="89"/>
      <c r="V125" s="89"/>
      <c r="W125" s="90"/>
      <c r="X125" s="16"/>
    </row>
    <row r="126" spans="1:24" ht="17.100000000000001" customHeight="1">
      <c r="A126" s="16"/>
      <c r="B126" s="85" t="str">
        <f>IF('Stock Data'!$H$2,IF('Stock Data'!AY4="","",IF('Stock Data'!AY4="","",'Stock Data'!AY4)),"")</f>
        <v>International Business Machines Corporation (IBM) Is a Trending Stock: Facts to Know Before Betting on It</v>
      </c>
      <c r="C126" s="86"/>
      <c r="D126" s="86"/>
      <c r="E126" s="86"/>
      <c r="F126" s="86"/>
      <c r="G126" s="86"/>
      <c r="H126" s="86"/>
      <c r="I126" s="86"/>
      <c r="J126" s="86"/>
      <c r="K126" s="86"/>
      <c r="L126" s="86"/>
      <c r="M126" s="86"/>
      <c r="N126" s="86"/>
      <c r="O126" s="87"/>
      <c r="P126" s="16"/>
      <c r="Q126" s="22"/>
      <c r="R126" s="18"/>
      <c r="S126" s="18"/>
      <c r="T126" s="18"/>
      <c r="U126" s="18"/>
      <c r="V126" s="18"/>
      <c r="W126" s="23"/>
      <c r="X126" s="16"/>
    </row>
    <row r="127" spans="1:24" ht="17.100000000000001" customHeight="1">
      <c r="A127" s="16"/>
      <c r="B127" s="85"/>
      <c r="C127" s="86"/>
      <c r="D127" s="86"/>
      <c r="E127" s="86"/>
      <c r="F127" s="86"/>
      <c r="G127" s="86"/>
      <c r="H127" s="86"/>
      <c r="I127" s="86"/>
      <c r="J127" s="86"/>
      <c r="K127" s="86"/>
      <c r="L127" s="86"/>
      <c r="M127" s="86"/>
      <c r="N127" s="86"/>
      <c r="O127" s="87"/>
      <c r="P127" s="16"/>
      <c r="Q127" s="97" t="str">
        <f>IF('Stock Data'!$H$2,IF('Stock Data'!J5="","",IF('Stock Data'!J5="","",'Stock Data'!J5)),"")</f>
        <v>WQTM</v>
      </c>
      <c r="R127" s="98"/>
      <c r="S127" s="98"/>
      <c r="T127" s="98"/>
      <c r="U127" s="99">
        <f>IF('Stock Data'!$H$2,IF('Stock Data'!J5="","",IF('Stock Data'!L5="","",'Stock Data'!L5)),"")</f>
        <v>5.289423E-2</v>
      </c>
      <c r="V127" s="99"/>
      <c r="W127" s="100"/>
      <c r="X127" s="16"/>
    </row>
    <row r="128" spans="1:24" ht="17.100000000000001" customHeight="1">
      <c r="A128" s="16"/>
      <c r="B128" s="88" t="str">
        <f>IF('Stock Data'!$H$2,IF('Stock Data'!AY4="","",IF('Stock Data'!BA4="","",'Stock Data'!BA4)),"")</f>
        <v>Zacks Investment Research</v>
      </c>
      <c r="C128" s="89"/>
      <c r="D128" s="89"/>
      <c r="E128" s="89"/>
      <c r="F128" s="89"/>
      <c r="G128" s="89"/>
      <c r="H128" s="89"/>
      <c r="I128" s="89"/>
      <c r="J128" s="89"/>
      <c r="K128" s="89"/>
      <c r="L128" s="89"/>
      <c r="M128" s="89"/>
      <c r="N128" s="89"/>
      <c r="O128" s="90"/>
      <c r="P128" s="16"/>
      <c r="Q128" s="97"/>
      <c r="R128" s="98"/>
      <c r="S128" s="98"/>
      <c r="T128" s="98"/>
      <c r="U128" s="99"/>
      <c r="V128" s="99"/>
      <c r="W128" s="100"/>
      <c r="X128" s="16"/>
    </row>
    <row r="129" spans="1:24" ht="17.100000000000001" customHeight="1">
      <c r="A129" s="16"/>
      <c r="B129" s="22"/>
      <c r="C129" s="18"/>
      <c r="D129" s="18"/>
      <c r="E129" s="18"/>
      <c r="F129" s="18"/>
      <c r="G129" s="18"/>
      <c r="H129" s="18"/>
      <c r="I129" s="18"/>
      <c r="J129" s="18"/>
      <c r="K129" s="18"/>
      <c r="L129" s="18"/>
      <c r="M129" s="18"/>
      <c r="N129" s="18"/>
      <c r="O129" s="23"/>
      <c r="P129" s="16"/>
      <c r="Q129" s="88" t="str">
        <f>IF('Stock Data'!$H$2,IF('Stock Data'!J5="","",IF('Stock Data'!K5="","",'Stock Data'!K5)),"")</f>
        <v>WisdomTree Trust - WisdomTree Quantum Computing Fund</v>
      </c>
      <c r="R129" s="89"/>
      <c r="S129" s="89"/>
      <c r="T129" s="89"/>
      <c r="U129" s="89"/>
      <c r="V129" s="89"/>
      <c r="W129" s="90"/>
      <c r="X129" s="16"/>
    </row>
    <row r="130" spans="1:24" ht="17.100000000000001" customHeight="1">
      <c r="A130" s="16"/>
      <c r="B130" s="85" t="str">
        <f>IF('Stock Data'!$H$2,IF('Stock Data'!AY5="","",IF('Stock Data'!AY5="","",'Stock Data'!AY5)),"")</f>
        <v>IonQ's Quantum Interconnect Breakthrough: What It Means for Scaling</v>
      </c>
      <c r="C130" s="86"/>
      <c r="D130" s="86"/>
      <c r="E130" s="86"/>
      <c r="F130" s="86"/>
      <c r="G130" s="86"/>
      <c r="H130" s="86"/>
      <c r="I130" s="86"/>
      <c r="J130" s="86"/>
      <c r="K130" s="86"/>
      <c r="L130" s="86"/>
      <c r="M130" s="86"/>
      <c r="N130" s="86"/>
      <c r="O130" s="87"/>
      <c r="P130" s="16"/>
      <c r="Q130" s="22"/>
      <c r="R130" s="18"/>
      <c r="S130" s="18"/>
      <c r="T130" s="18"/>
      <c r="U130" s="18"/>
      <c r="V130" s="18"/>
      <c r="W130" s="23"/>
      <c r="X130" s="16"/>
    </row>
    <row r="131" spans="1:24" ht="17.100000000000001" customHeight="1">
      <c r="A131" s="16"/>
      <c r="B131" s="85"/>
      <c r="C131" s="86"/>
      <c r="D131" s="86"/>
      <c r="E131" s="86"/>
      <c r="F131" s="86"/>
      <c r="G131" s="86"/>
      <c r="H131" s="86"/>
      <c r="I131" s="86"/>
      <c r="J131" s="86"/>
      <c r="K131" s="86"/>
      <c r="L131" s="86"/>
      <c r="M131" s="86"/>
      <c r="N131" s="86"/>
      <c r="O131" s="87"/>
      <c r="P131" s="16"/>
      <c r="Q131" s="97" t="str">
        <f>IF('Stock Data'!$H$2,IF('Stock Data'!J6="","",IF('Stock Data'!J6="","",'Stock Data'!J6)),"")</f>
        <v>SPDG</v>
      </c>
      <c r="R131" s="98"/>
      <c r="S131" s="98"/>
      <c r="T131" s="98"/>
      <c r="U131" s="99">
        <f>IF('Stock Data'!$H$2,IF('Stock Data'!J6="","",IF('Stock Data'!L6="","",'Stock Data'!L6)),"")</f>
        <v>5.1878630000000002E-2</v>
      </c>
      <c r="V131" s="99"/>
      <c r="W131" s="100"/>
      <c r="X131" s="16"/>
    </row>
    <row r="132" spans="1:24" ht="17.100000000000001" customHeight="1">
      <c r="A132" s="16"/>
      <c r="B132" s="88" t="str">
        <f>IF('Stock Data'!$H$2,IF('Stock Data'!AY5="","",IF('Stock Data'!BA5="","",'Stock Data'!BA5)),"")</f>
        <v>Zacks Investment Research</v>
      </c>
      <c r="C132" s="89"/>
      <c r="D132" s="89"/>
      <c r="E132" s="89"/>
      <c r="F132" s="89"/>
      <c r="G132" s="89"/>
      <c r="H132" s="89"/>
      <c r="I132" s="89"/>
      <c r="J132" s="89"/>
      <c r="K132" s="89"/>
      <c r="L132" s="89"/>
      <c r="M132" s="89"/>
      <c r="N132" s="89"/>
      <c r="O132" s="90"/>
      <c r="P132" s="16"/>
      <c r="Q132" s="97"/>
      <c r="R132" s="98"/>
      <c r="S132" s="98"/>
      <c r="T132" s="98"/>
      <c r="U132" s="99"/>
      <c r="V132" s="99"/>
      <c r="W132" s="100"/>
      <c r="X132" s="16"/>
    </row>
    <row r="133" spans="1:24" ht="17.100000000000001" customHeight="1">
      <c r="A133" s="16"/>
      <c r="B133" s="22"/>
      <c r="C133" s="18"/>
      <c r="D133" s="18"/>
      <c r="E133" s="18"/>
      <c r="F133" s="18"/>
      <c r="G133" s="18"/>
      <c r="H133" s="18"/>
      <c r="I133" s="18"/>
      <c r="J133" s="18"/>
      <c r="K133" s="18"/>
      <c r="L133" s="18"/>
      <c r="M133" s="18"/>
      <c r="N133" s="18"/>
      <c r="O133" s="23"/>
      <c r="P133" s="16"/>
      <c r="Q133" s="88" t="str">
        <f>IF('Stock Data'!$H$2,IF('Stock Data'!J6="","",IF('Stock Data'!K6="","",'Stock Data'!K6)),"")</f>
        <v>SPDR Series Trust - State Street SPDR Portfolio S&amp;P Sector Neutral Dividend ETF</v>
      </c>
      <c r="R133" s="89"/>
      <c r="S133" s="89"/>
      <c r="T133" s="89"/>
      <c r="U133" s="89"/>
      <c r="V133" s="89"/>
      <c r="W133" s="90"/>
      <c r="X133" s="16"/>
    </row>
    <row r="134" spans="1:24" ht="17.100000000000001" customHeight="1">
      <c r="A134" s="16"/>
      <c r="B134" s="22"/>
      <c r="C134" s="18"/>
      <c r="D134" s="18"/>
      <c r="E134" s="18"/>
      <c r="F134" s="18"/>
      <c r="G134" s="18"/>
      <c r="H134" s="18"/>
      <c r="I134" s="18"/>
      <c r="J134" s="18"/>
      <c r="K134" s="18"/>
      <c r="L134" s="18"/>
      <c r="M134" s="18"/>
      <c r="N134" s="18"/>
      <c r="O134" s="23"/>
      <c r="P134" s="16"/>
      <c r="Q134" s="22"/>
      <c r="R134" s="18"/>
      <c r="S134" s="18"/>
      <c r="T134" s="18"/>
      <c r="U134" s="18"/>
      <c r="V134" s="18"/>
      <c r="W134" s="23"/>
      <c r="X134" s="16"/>
    </row>
    <row r="135" spans="1:24" ht="17.100000000000001" customHeight="1">
      <c r="A135" s="16"/>
      <c r="B135" s="22"/>
      <c r="C135" s="18"/>
      <c r="D135" s="18"/>
      <c r="E135" s="18"/>
      <c r="F135" s="18"/>
      <c r="G135" s="18"/>
      <c r="H135" s="18"/>
      <c r="I135" s="18"/>
      <c r="J135" s="18"/>
      <c r="K135" s="18"/>
      <c r="L135" s="18"/>
      <c r="M135" s="18"/>
      <c r="N135" s="18"/>
      <c r="O135" s="23"/>
      <c r="P135" s="16"/>
      <c r="Q135" s="45" t="s">
        <v>56</v>
      </c>
      <c r="R135" s="46"/>
      <c r="S135" s="46"/>
      <c r="T135" s="46"/>
      <c r="U135" s="46"/>
      <c r="V135" s="46"/>
      <c r="W135" s="64"/>
      <c r="X135" s="16"/>
    </row>
    <row r="136" spans="1:24" ht="17.100000000000001" customHeight="1">
      <c r="A136" s="16"/>
      <c r="B136" s="24"/>
      <c r="C136" s="25"/>
      <c r="D136" s="25"/>
      <c r="E136" s="25"/>
      <c r="F136" s="25"/>
      <c r="G136" s="25"/>
      <c r="H136" s="25"/>
      <c r="I136" s="25"/>
      <c r="J136" s="25"/>
      <c r="K136" s="25"/>
      <c r="L136" s="25"/>
      <c r="M136" s="25"/>
      <c r="N136" s="25"/>
      <c r="O136" s="26"/>
      <c r="P136" s="16"/>
      <c r="Q136" s="47"/>
      <c r="R136" s="48"/>
      <c r="S136" s="48"/>
      <c r="T136" s="48"/>
      <c r="U136" s="48"/>
      <c r="V136" s="48"/>
      <c r="W136" s="69"/>
      <c r="X136" s="16"/>
    </row>
    <row r="137" spans="1:24" ht="17.100000000000001" customHeight="1">
      <c r="A137" s="16"/>
      <c r="B137" s="16"/>
      <c r="C137" s="16"/>
      <c r="D137" s="16"/>
      <c r="E137" s="16"/>
      <c r="F137" s="16"/>
      <c r="G137" s="16"/>
      <c r="H137" s="16"/>
      <c r="I137" s="16"/>
      <c r="J137" s="16"/>
      <c r="K137" s="16"/>
      <c r="L137" s="16"/>
      <c r="M137" s="16"/>
      <c r="N137" s="16"/>
      <c r="O137" s="16"/>
      <c r="P137" s="16"/>
      <c r="Q137" s="16"/>
      <c r="R137" s="16"/>
      <c r="S137" s="16"/>
      <c r="T137" s="16"/>
      <c r="U137" s="16"/>
      <c r="V137" s="16"/>
      <c r="W137" s="16"/>
      <c r="X137" s="16"/>
    </row>
    <row r="138" spans="1:24" ht="17.100000000000001" customHeight="1">
      <c r="A138" s="16"/>
      <c r="B138" s="16"/>
      <c r="C138" s="16"/>
      <c r="D138" s="16"/>
      <c r="E138" s="16"/>
      <c r="F138" s="16"/>
      <c r="G138" s="16"/>
      <c r="H138" s="16"/>
      <c r="I138" s="16"/>
      <c r="J138" s="16"/>
      <c r="K138" s="16"/>
      <c r="L138" s="16"/>
      <c r="M138" s="16"/>
      <c r="N138" s="16"/>
      <c r="O138" s="16"/>
      <c r="P138" s="16"/>
      <c r="Q138" s="16"/>
      <c r="R138" s="16"/>
      <c r="S138" s="16"/>
      <c r="T138" s="16"/>
      <c r="U138" s="16"/>
      <c r="V138" s="16"/>
      <c r="W138" s="16"/>
      <c r="X138" s="16"/>
    </row>
    <row r="139" spans="1:24" ht="17.100000000000001" customHeight="1">
      <c r="A139" s="16"/>
      <c r="B139" s="56" t="s">
        <v>57</v>
      </c>
      <c r="C139" s="57"/>
      <c r="D139" s="57"/>
      <c r="E139" s="57"/>
      <c r="F139" s="57"/>
      <c r="G139" s="57"/>
      <c r="H139" s="57"/>
      <c r="I139" s="57"/>
      <c r="J139" s="57"/>
      <c r="K139" s="57"/>
      <c r="L139" s="57"/>
      <c r="M139" s="57"/>
      <c r="N139" s="57"/>
      <c r="O139" s="57"/>
      <c r="P139" s="57"/>
      <c r="Q139" s="57"/>
      <c r="R139" s="57"/>
      <c r="S139" s="57"/>
      <c r="T139" s="57"/>
      <c r="U139" s="57"/>
      <c r="V139" s="57"/>
      <c r="W139" s="58"/>
      <c r="X139" s="16"/>
    </row>
    <row r="140" spans="1:24" ht="17.100000000000001" customHeight="1">
      <c r="A140" s="16"/>
      <c r="B140" s="59"/>
      <c r="C140" s="60"/>
      <c r="D140" s="60"/>
      <c r="E140" s="60"/>
      <c r="F140" s="60"/>
      <c r="G140" s="60"/>
      <c r="H140" s="60"/>
      <c r="I140" s="60"/>
      <c r="J140" s="60"/>
      <c r="K140" s="60"/>
      <c r="L140" s="60"/>
      <c r="M140" s="60"/>
      <c r="N140" s="60"/>
      <c r="O140" s="60"/>
      <c r="P140" s="60"/>
      <c r="Q140" s="60"/>
      <c r="R140" s="60"/>
      <c r="S140" s="60"/>
      <c r="T140" s="60"/>
      <c r="U140" s="60"/>
      <c r="V140" s="60"/>
      <c r="W140" s="61"/>
      <c r="X140" s="16"/>
    </row>
    <row r="141" spans="1:24" ht="17.100000000000001" customHeight="1">
      <c r="A141" s="16"/>
      <c r="B141" s="22"/>
      <c r="C141" s="18"/>
      <c r="D141" s="18"/>
      <c r="E141" s="18"/>
      <c r="F141" s="18"/>
      <c r="G141" s="18"/>
      <c r="H141" s="18"/>
      <c r="I141" s="18"/>
      <c r="J141" s="18"/>
      <c r="K141" s="18"/>
      <c r="L141" s="18"/>
      <c r="M141" s="18"/>
      <c r="N141" s="18"/>
      <c r="O141" s="18"/>
      <c r="P141" s="18"/>
      <c r="Q141" s="18"/>
      <c r="R141" s="18"/>
      <c r="S141" s="18"/>
      <c r="T141" s="18"/>
      <c r="U141" s="18"/>
      <c r="V141" s="18"/>
      <c r="W141" s="23"/>
      <c r="X141" s="16"/>
    </row>
    <row r="142" spans="1:24" ht="17.100000000000001" customHeight="1">
      <c r="A142" s="16"/>
      <c r="B142" s="45" t="s">
        <v>58</v>
      </c>
      <c r="C142" s="46"/>
      <c r="D142" s="46"/>
      <c r="E142" s="46"/>
      <c r="F142" s="46"/>
      <c r="G142" s="46"/>
      <c r="H142" s="46"/>
      <c r="I142" s="46"/>
      <c r="J142" s="46"/>
      <c r="K142" s="46"/>
      <c r="L142" s="46"/>
      <c r="M142" s="46"/>
      <c r="N142" s="18"/>
      <c r="O142" s="18"/>
      <c r="P142" s="18"/>
      <c r="Q142" s="46" t="s">
        <v>59</v>
      </c>
      <c r="R142" s="46"/>
      <c r="S142" s="46"/>
      <c r="T142" s="46"/>
      <c r="U142" s="46"/>
      <c r="V142" s="46"/>
      <c r="W142" s="64"/>
      <c r="X142" s="16"/>
    </row>
    <row r="143" spans="1:24" ht="17.100000000000001" customHeight="1">
      <c r="A143" s="16"/>
      <c r="B143" s="45"/>
      <c r="C143" s="46"/>
      <c r="D143" s="46"/>
      <c r="E143" s="46"/>
      <c r="F143" s="46"/>
      <c r="G143" s="46"/>
      <c r="H143" s="46"/>
      <c r="I143" s="46"/>
      <c r="J143" s="46"/>
      <c r="K143" s="46"/>
      <c r="L143" s="46"/>
      <c r="M143" s="46"/>
      <c r="N143" s="18"/>
      <c r="O143" s="18"/>
      <c r="P143" s="18"/>
      <c r="Q143" s="46"/>
      <c r="R143" s="46"/>
      <c r="S143" s="46"/>
      <c r="T143" s="46"/>
      <c r="U143" s="46"/>
      <c r="V143" s="46"/>
      <c r="W143" s="64"/>
      <c r="X143" s="16"/>
    </row>
    <row r="144" spans="1:24" ht="17.100000000000001" customHeight="1">
      <c r="A144" s="16"/>
      <c r="B144" s="45"/>
      <c r="C144" s="46"/>
      <c r="D144" s="46"/>
      <c r="E144" s="46"/>
      <c r="F144" s="46"/>
      <c r="G144" s="46"/>
      <c r="H144" s="46"/>
      <c r="I144" s="46"/>
      <c r="J144" s="46"/>
      <c r="K144" s="46"/>
      <c r="L144" s="46"/>
      <c r="M144" s="46"/>
      <c r="N144" s="18"/>
      <c r="O144" s="18"/>
      <c r="P144" s="18"/>
      <c r="Q144" s="46"/>
      <c r="R144" s="46"/>
      <c r="S144" s="46"/>
      <c r="T144" s="46"/>
      <c r="U144" s="46"/>
      <c r="V144" s="46"/>
      <c r="W144" s="64"/>
      <c r="X144" s="16"/>
    </row>
    <row r="145" spans="1:24" ht="17.100000000000001" customHeight="1">
      <c r="A145" s="16"/>
      <c r="B145" s="24"/>
      <c r="C145" s="25"/>
      <c r="D145" s="25"/>
      <c r="E145" s="25"/>
      <c r="F145" s="25"/>
      <c r="G145" s="25"/>
      <c r="H145" s="25"/>
      <c r="I145" s="25"/>
      <c r="J145" s="25"/>
      <c r="K145" s="25"/>
      <c r="L145" s="25"/>
      <c r="M145" s="25"/>
      <c r="N145" s="25"/>
      <c r="O145" s="25"/>
      <c r="P145" s="25"/>
      <c r="Q145" s="25"/>
      <c r="R145" s="25"/>
      <c r="S145" s="25"/>
      <c r="T145" s="25"/>
      <c r="U145" s="25"/>
      <c r="V145" s="25"/>
      <c r="W145" s="26"/>
      <c r="X145" s="16"/>
    </row>
    <row r="146" spans="1:24" ht="17.100000000000001" customHeight="1">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row>
    <row r="147" spans="1:24" ht="17.100000000000001" customHeight="1">
      <c r="A147" s="16"/>
      <c r="B147" s="16"/>
      <c r="C147" s="16"/>
      <c r="D147" s="16"/>
      <c r="E147" s="16"/>
      <c r="F147" s="16"/>
      <c r="G147" s="16"/>
      <c r="H147" s="16"/>
      <c r="I147" s="16"/>
      <c r="J147" s="16"/>
      <c r="K147" s="16"/>
      <c r="L147" s="16"/>
      <c r="M147" s="16"/>
      <c r="N147" s="16"/>
      <c r="O147" s="16"/>
      <c r="P147" s="16"/>
      <c r="Q147" s="16"/>
      <c r="R147" s="16"/>
      <c r="S147" s="16"/>
      <c r="T147" s="16"/>
      <c r="U147" s="16"/>
      <c r="V147" s="16"/>
      <c r="W147" s="16"/>
      <c r="X147" s="16"/>
    </row>
    <row r="148" spans="1:24" ht="17.100000000000001" customHeight="1">
      <c r="A148" s="16"/>
      <c r="B148" s="56" t="s">
        <v>60</v>
      </c>
      <c r="C148" s="57"/>
      <c r="D148" s="57"/>
      <c r="E148" s="57"/>
      <c r="F148" s="57"/>
      <c r="G148" s="57"/>
      <c r="H148" s="57"/>
      <c r="I148" s="57"/>
      <c r="J148" s="57"/>
      <c r="K148" s="57"/>
      <c r="L148" s="57"/>
      <c r="M148" s="57"/>
      <c r="N148" s="57"/>
      <c r="O148" s="57"/>
      <c r="P148" s="57"/>
      <c r="Q148" s="57"/>
      <c r="R148" s="57"/>
      <c r="S148" s="57"/>
      <c r="T148" s="57"/>
      <c r="U148" s="57"/>
      <c r="V148" s="57"/>
      <c r="W148" s="58"/>
      <c r="X148" s="16"/>
    </row>
    <row r="149" spans="1:24" ht="17.100000000000001" customHeight="1">
      <c r="A149" s="16"/>
      <c r="B149" s="59"/>
      <c r="C149" s="60"/>
      <c r="D149" s="60"/>
      <c r="E149" s="60"/>
      <c r="F149" s="60"/>
      <c r="G149" s="60"/>
      <c r="H149" s="60"/>
      <c r="I149" s="60"/>
      <c r="J149" s="60"/>
      <c r="K149" s="60"/>
      <c r="L149" s="60"/>
      <c r="M149" s="60"/>
      <c r="N149" s="60"/>
      <c r="O149" s="60"/>
      <c r="P149" s="60"/>
      <c r="Q149" s="60"/>
      <c r="R149" s="60"/>
      <c r="S149" s="60"/>
      <c r="T149" s="60"/>
      <c r="U149" s="60"/>
      <c r="V149" s="60"/>
      <c r="W149" s="61"/>
      <c r="X149" s="16"/>
    </row>
    <row r="150" spans="1:24" ht="17.100000000000001" customHeight="1">
      <c r="A150" s="16"/>
      <c r="B150" s="22"/>
      <c r="C150" s="18"/>
      <c r="D150" s="18"/>
      <c r="E150" s="18"/>
      <c r="F150" s="18"/>
      <c r="G150" s="18"/>
      <c r="H150" s="18"/>
      <c r="I150" s="18"/>
      <c r="J150" s="18"/>
      <c r="K150" s="18"/>
      <c r="L150" s="18"/>
      <c r="M150" s="18"/>
      <c r="N150" s="18"/>
      <c r="O150" s="18"/>
      <c r="P150" s="18"/>
      <c r="Q150" s="18"/>
      <c r="R150" s="18"/>
      <c r="S150" s="18"/>
      <c r="T150" s="18"/>
      <c r="U150" s="18"/>
      <c r="V150" s="18"/>
      <c r="W150" s="23"/>
      <c r="X150" s="16"/>
    </row>
    <row r="151" spans="1:24" ht="17.100000000000001" customHeight="1">
      <c r="A151" s="16"/>
      <c r="B151" s="101" t="str">
        <f>IF('Stock Data'!$H$2,'Stock Data'!$B$95,"Refresh required")</f>
        <v>Review per-field dates and request messages.</v>
      </c>
      <c r="C151" s="102"/>
      <c r="D151" s="102"/>
      <c r="E151" s="102"/>
      <c r="F151" s="102"/>
      <c r="G151" s="102"/>
      <c r="H151" s="102"/>
      <c r="I151" s="102"/>
      <c r="J151" s="102"/>
      <c r="K151" s="102"/>
      <c r="L151" s="102"/>
      <c r="M151" s="102"/>
      <c r="N151" s="102"/>
      <c r="O151" s="102"/>
      <c r="P151" s="102"/>
      <c r="Q151" s="102"/>
      <c r="R151" s="102"/>
      <c r="S151" s="102"/>
      <c r="T151" s="102"/>
      <c r="U151" s="102"/>
      <c r="V151" s="102"/>
      <c r="W151" s="103"/>
      <c r="X151" s="16"/>
    </row>
    <row r="152" spans="1:24" ht="17.100000000000001" customHeight="1">
      <c r="A152" s="16"/>
      <c r="B152" s="101"/>
      <c r="C152" s="102"/>
      <c r="D152" s="102"/>
      <c r="E152" s="102"/>
      <c r="F152" s="102"/>
      <c r="G152" s="102"/>
      <c r="H152" s="102"/>
      <c r="I152" s="102"/>
      <c r="J152" s="102"/>
      <c r="K152" s="102"/>
      <c r="L152" s="102"/>
      <c r="M152" s="102"/>
      <c r="N152" s="102"/>
      <c r="O152" s="102"/>
      <c r="P152" s="102"/>
      <c r="Q152" s="102"/>
      <c r="R152" s="102"/>
      <c r="S152" s="102"/>
      <c r="T152" s="102"/>
      <c r="U152" s="102"/>
      <c r="V152" s="102"/>
      <c r="W152" s="103"/>
      <c r="X152" s="16"/>
    </row>
    <row r="153" spans="1:24" ht="17.100000000000001" customHeight="1">
      <c r="A153" s="16"/>
      <c r="B153" s="101"/>
      <c r="C153" s="102"/>
      <c r="D153" s="102"/>
      <c r="E153" s="102"/>
      <c r="F153" s="102"/>
      <c r="G153" s="102"/>
      <c r="H153" s="102"/>
      <c r="I153" s="102"/>
      <c r="J153" s="102"/>
      <c r="K153" s="102"/>
      <c r="L153" s="102"/>
      <c r="M153" s="102"/>
      <c r="N153" s="102"/>
      <c r="O153" s="102"/>
      <c r="P153" s="102"/>
      <c r="Q153" s="102"/>
      <c r="R153" s="102"/>
      <c r="S153" s="102"/>
      <c r="T153" s="102"/>
      <c r="U153" s="102"/>
      <c r="V153" s="102"/>
      <c r="W153" s="103"/>
      <c r="X153" s="16"/>
    </row>
    <row r="154" spans="1:24" ht="17.100000000000001" customHeight="1">
      <c r="A154" s="16"/>
      <c r="B154" s="101"/>
      <c r="C154" s="102"/>
      <c r="D154" s="102"/>
      <c r="E154" s="102"/>
      <c r="F154" s="102"/>
      <c r="G154" s="102"/>
      <c r="H154" s="102"/>
      <c r="I154" s="102"/>
      <c r="J154" s="102"/>
      <c r="K154" s="102"/>
      <c r="L154" s="102"/>
      <c r="M154" s="102"/>
      <c r="N154" s="102"/>
      <c r="O154" s="102"/>
      <c r="P154" s="102"/>
      <c r="Q154" s="102"/>
      <c r="R154" s="102"/>
      <c r="S154" s="102"/>
      <c r="T154" s="102"/>
      <c r="U154" s="102"/>
      <c r="V154" s="102"/>
      <c r="W154" s="103"/>
      <c r="X154" s="16"/>
    </row>
    <row r="155" spans="1:24" ht="17.100000000000001" customHeight="1">
      <c r="A155" s="16"/>
      <c r="B155" s="101"/>
      <c r="C155" s="102"/>
      <c r="D155" s="102"/>
      <c r="E155" s="102"/>
      <c r="F155" s="102"/>
      <c r="G155" s="102"/>
      <c r="H155" s="102"/>
      <c r="I155" s="102"/>
      <c r="J155" s="102"/>
      <c r="K155" s="102"/>
      <c r="L155" s="102"/>
      <c r="M155" s="102"/>
      <c r="N155" s="102"/>
      <c r="O155" s="102"/>
      <c r="P155" s="102"/>
      <c r="Q155" s="102"/>
      <c r="R155" s="102"/>
      <c r="S155" s="102"/>
      <c r="T155" s="102"/>
      <c r="U155" s="102"/>
      <c r="V155" s="102"/>
      <c r="W155" s="103"/>
      <c r="X155" s="16"/>
    </row>
    <row r="156" spans="1:24" ht="17.100000000000001" customHeight="1">
      <c r="A156" s="16"/>
      <c r="B156" s="101"/>
      <c r="C156" s="102"/>
      <c r="D156" s="102"/>
      <c r="E156" s="102"/>
      <c r="F156" s="102"/>
      <c r="G156" s="102"/>
      <c r="H156" s="102"/>
      <c r="I156" s="102"/>
      <c r="J156" s="102"/>
      <c r="K156" s="102"/>
      <c r="L156" s="102"/>
      <c r="M156" s="102"/>
      <c r="N156" s="102"/>
      <c r="O156" s="102"/>
      <c r="P156" s="102"/>
      <c r="Q156" s="102"/>
      <c r="R156" s="102"/>
      <c r="S156" s="102"/>
      <c r="T156" s="102"/>
      <c r="U156" s="102"/>
      <c r="V156" s="102"/>
      <c r="W156" s="103"/>
      <c r="X156" s="16"/>
    </row>
    <row r="157" spans="1:24" ht="17.100000000000001" customHeight="1">
      <c r="A157" s="16"/>
      <c r="B157" s="101"/>
      <c r="C157" s="102"/>
      <c r="D157" s="102"/>
      <c r="E157" s="102"/>
      <c r="F157" s="102"/>
      <c r="G157" s="102"/>
      <c r="H157" s="102"/>
      <c r="I157" s="102"/>
      <c r="J157" s="102"/>
      <c r="K157" s="102"/>
      <c r="L157" s="102"/>
      <c r="M157" s="102"/>
      <c r="N157" s="102"/>
      <c r="O157" s="102"/>
      <c r="P157" s="102"/>
      <c r="Q157" s="102"/>
      <c r="R157" s="102"/>
      <c r="S157" s="102"/>
      <c r="T157" s="102"/>
      <c r="U157" s="102"/>
      <c r="V157" s="102"/>
      <c r="W157" s="103"/>
      <c r="X157" s="16"/>
    </row>
    <row r="158" spans="1:24" ht="17.100000000000001" customHeight="1">
      <c r="A158" s="16"/>
      <c r="B158" s="45" t="s">
        <v>61</v>
      </c>
      <c r="C158" s="46"/>
      <c r="D158" s="46"/>
      <c r="E158" s="46"/>
      <c r="F158" s="46"/>
      <c r="G158" s="46"/>
      <c r="H158" s="46"/>
      <c r="I158" s="46"/>
      <c r="J158" s="46"/>
      <c r="K158" s="46"/>
      <c r="L158" s="46"/>
      <c r="M158" s="46"/>
      <c r="N158" s="46"/>
      <c r="O158" s="46"/>
      <c r="P158" s="46"/>
      <c r="Q158" s="46"/>
      <c r="R158" s="46"/>
      <c r="S158" s="46"/>
      <c r="T158" s="46"/>
      <c r="U158" s="46"/>
      <c r="V158" s="46"/>
      <c r="W158" s="64"/>
      <c r="X158" s="16"/>
    </row>
    <row r="159" spans="1:24" ht="17.100000000000001" customHeight="1">
      <c r="A159" s="16"/>
      <c r="B159" s="47"/>
      <c r="C159" s="48"/>
      <c r="D159" s="48"/>
      <c r="E159" s="48"/>
      <c r="F159" s="48"/>
      <c r="G159" s="48"/>
      <c r="H159" s="48"/>
      <c r="I159" s="48"/>
      <c r="J159" s="48"/>
      <c r="K159" s="48"/>
      <c r="L159" s="48"/>
      <c r="M159" s="48"/>
      <c r="N159" s="48"/>
      <c r="O159" s="48"/>
      <c r="P159" s="48"/>
      <c r="Q159" s="48"/>
      <c r="R159" s="48"/>
      <c r="S159" s="48"/>
      <c r="T159" s="48"/>
      <c r="U159" s="48"/>
      <c r="V159" s="48"/>
      <c r="W159" s="69"/>
      <c r="X159" s="16"/>
    </row>
    <row r="160" spans="1:24" ht="17.100000000000001" customHeight="1">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row>
    <row r="161" spans="1:24" ht="17.100000000000001" customHeight="1">
      <c r="A161" s="16"/>
      <c r="B161" s="16"/>
      <c r="C161" s="16"/>
      <c r="D161" s="16"/>
      <c r="E161" s="16"/>
      <c r="F161" s="16"/>
      <c r="G161" s="16"/>
      <c r="H161" s="16"/>
      <c r="I161" s="16"/>
      <c r="J161" s="16"/>
      <c r="K161" s="16"/>
      <c r="L161" s="16"/>
      <c r="M161" s="16"/>
      <c r="N161" s="16"/>
      <c r="O161" s="16"/>
      <c r="P161" s="16"/>
      <c r="Q161" s="16"/>
      <c r="R161" s="16"/>
      <c r="S161" s="16"/>
      <c r="T161" s="16"/>
      <c r="U161" s="16"/>
      <c r="V161" s="16"/>
      <c r="W161" s="16"/>
      <c r="X161" s="16"/>
    </row>
    <row r="162" spans="1:24" ht="17.100000000000001" customHeight="1">
      <c r="A162" s="16"/>
      <c r="B162" s="104" t="s">
        <v>62</v>
      </c>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6"/>
    </row>
    <row r="163" spans="1:24" ht="17.100000000000001" customHeight="1">
      <c r="A163" s="16"/>
      <c r="B163" s="104"/>
      <c r="C163" s="104"/>
      <c r="D163" s="104"/>
      <c r="E163" s="104"/>
      <c r="F163" s="104"/>
      <c r="G163" s="104"/>
      <c r="H163" s="104"/>
      <c r="I163" s="104"/>
      <c r="J163" s="104"/>
      <c r="K163" s="104"/>
      <c r="L163" s="104"/>
      <c r="M163" s="104"/>
      <c r="N163" s="104"/>
      <c r="O163" s="104"/>
      <c r="P163" s="104"/>
      <c r="Q163" s="104"/>
      <c r="R163" s="104"/>
      <c r="S163" s="104"/>
      <c r="T163" s="104"/>
      <c r="U163" s="104"/>
      <c r="V163" s="104"/>
      <c r="W163" s="104"/>
      <c r="X163" s="16"/>
    </row>
    <row r="164" spans="1:24" ht="17.100000000000001" customHeight="1">
      <c r="A164" s="16"/>
      <c r="B164" s="105" t="s">
        <v>63</v>
      </c>
      <c r="C164" s="105"/>
      <c r="D164" s="105"/>
      <c r="E164" s="105"/>
      <c r="F164" s="105"/>
      <c r="G164" s="105"/>
      <c r="H164" s="105"/>
      <c r="I164" s="105"/>
      <c r="J164" s="105"/>
      <c r="K164" s="105"/>
      <c r="L164" s="105"/>
      <c r="M164" s="105"/>
      <c r="N164" s="105"/>
      <c r="O164" s="105"/>
      <c r="P164" s="105"/>
      <c r="Q164" s="105"/>
      <c r="R164" s="105"/>
      <c r="S164" s="105"/>
      <c r="T164" s="105"/>
      <c r="U164" s="105"/>
      <c r="V164" s="105"/>
      <c r="W164" s="105"/>
      <c r="X164" s="16"/>
    </row>
    <row r="165" spans="1:24" ht="17.100000000000001" customHeight="1">
      <c r="A165" s="16"/>
      <c r="B165" s="105"/>
      <c r="C165" s="105"/>
      <c r="D165" s="105"/>
      <c r="E165" s="105"/>
      <c r="F165" s="105"/>
      <c r="G165" s="105"/>
      <c r="H165" s="105"/>
      <c r="I165" s="105"/>
      <c r="J165" s="105"/>
      <c r="K165" s="105"/>
      <c r="L165" s="105"/>
      <c r="M165" s="105"/>
      <c r="N165" s="105"/>
      <c r="O165" s="105"/>
      <c r="P165" s="105"/>
      <c r="Q165" s="105"/>
      <c r="R165" s="105"/>
      <c r="S165" s="105"/>
      <c r="T165" s="105"/>
      <c r="U165" s="105"/>
      <c r="V165" s="105"/>
      <c r="W165" s="105"/>
      <c r="X165" s="16"/>
    </row>
    <row r="166" spans="1:24" ht="17.100000000000001" customHeight="1">
      <c r="A166" s="16"/>
      <c r="B166" s="105"/>
      <c r="C166" s="105"/>
      <c r="D166" s="105"/>
      <c r="E166" s="105"/>
      <c r="F166" s="105"/>
      <c r="G166" s="105"/>
      <c r="H166" s="105"/>
      <c r="I166" s="105"/>
      <c r="J166" s="105"/>
      <c r="K166" s="105"/>
      <c r="L166" s="105"/>
      <c r="M166" s="105"/>
      <c r="N166" s="105"/>
      <c r="O166" s="105"/>
      <c r="P166" s="105"/>
      <c r="Q166" s="105"/>
      <c r="R166" s="105"/>
      <c r="S166" s="105"/>
      <c r="T166" s="105"/>
      <c r="U166" s="105"/>
      <c r="V166" s="105"/>
      <c r="W166" s="105"/>
      <c r="X166" s="16"/>
    </row>
    <row r="167" spans="1:24" ht="17.100000000000001" customHeight="1">
      <c r="A167" s="16"/>
      <c r="B167" s="16"/>
      <c r="C167" s="16"/>
      <c r="D167" s="16"/>
      <c r="E167" s="16"/>
      <c r="F167" s="16"/>
      <c r="G167" s="16"/>
      <c r="H167" s="16"/>
      <c r="I167" s="16"/>
      <c r="J167" s="16"/>
      <c r="K167" s="16"/>
      <c r="L167" s="16"/>
      <c r="M167" s="16"/>
      <c r="N167" s="16"/>
      <c r="O167" s="16"/>
      <c r="P167" s="16"/>
      <c r="Q167" s="16"/>
      <c r="R167" s="16"/>
      <c r="S167" s="16"/>
      <c r="T167" s="16"/>
      <c r="U167" s="16"/>
      <c r="V167" s="16"/>
      <c r="W167" s="16"/>
      <c r="X167" s="16"/>
    </row>
    <row r="168" spans="1:24" ht="17.100000000000001" customHeight="1">
      <c r="A168" s="16"/>
      <c r="B168" s="32" t="str">
        <f>"Retrieved "&amp;IF(ISNUMBER(IF('Stock Data'!$H$2,'Stock Data'!$B$90,"Refresh required")),TEXT(IF('Stock Data'!$H$2,'Stock Data'!$B$90,"Refresh required"),"yyyy-mm-dd hh:mm:ss"),IF('Stock Data'!$H$2,'Stock Data'!$B$90,"Refresh required"))&amp;" · source observations may be older. Past performance does not guarantee future results."</f>
        <v>Retrieved 2026-10-12 18:26:40 · source observations may be older. Past performance does not guarantee future results.</v>
      </c>
      <c r="C168" s="32"/>
      <c r="D168" s="32"/>
      <c r="E168" s="32"/>
      <c r="F168" s="32"/>
      <c r="G168" s="32"/>
      <c r="H168" s="32"/>
      <c r="I168" s="32"/>
      <c r="J168" s="32"/>
      <c r="K168" s="32"/>
      <c r="L168" s="32"/>
      <c r="M168" s="32"/>
      <c r="N168" s="32"/>
      <c r="O168" s="32"/>
      <c r="P168" s="32"/>
      <c r="Q168" s="32"/>
      <c r="R168" s="32"/>
      <c r="S168" s="32"/>
      <c r="T168" s="32"/>
      <c r="U168" s="32"/>
      <c r="V168" s="32"/>
      <c r="W168" s="32"/>
      <c r="X168" s="16"/>
    </row>
    <row r="169" spans="1:24" ht="17.100000000000001" customHeight="1">
      <c r="A169" s="16"/>
      <c r="B169" s="32"/>
      <c r="C169" s="32"/>
      <c r="D169" s="32"/>
      <c r="E169" s="32"/>
      <c r="F169" s="32"/>
      <c r="G169" s="32"/>
      <c r="H169" s="32"/>
      <c r="I169" s="32"/>
      <c r="J169" s="32"/>
      <c r="K169" s="32"/>
      <c r="L169" s="32"/>
      <c r="M169" s="32"/>
      <c r="N169" s="32"/>
      <c r="O169" s="32"/>
      <c r="P169" s="32"/>
      <c r="Q169" s="32"/>
      <c r="R169" s="32"/>
      <c r="S169" s="32"/>
      <c r="T169" s="32"/>
      <c r="U169" s="32"/>
      <c r="V169" s="32"/>
      <c r="W169" s="32"/>
      <c r="X169" s="16"/>
    </row>
    <row r="170" spans="1:24" ht="17.100000000000001" customHeight="1">
      <c r="A170" s="16"/>
      <c r="B170" s="32"/>
      <c r="C170" s="32"/>
      <c r="D170" s="32"/>
      <c r="E170" s="32"/>
      <c r="F170" s="32"/>
      <c r="G170" s="32"/>
      <c r="H170" s="32"/>
      <c r="I170" s="32"/>
      <c r="J170" s="32"/>
      <c r="K170" s="32"/>
      <c r="L170" s="32"/>
      <c r="M170" s="32"/>
      <c r="N170" s="32"/>
      <c r="O170" s="32"/>
      <c r="P170" s="32"/>
      <c r="Q170" s="32"/>
      <c r="R170" s="32"/>
      <c r="S170" s="32"/>
      <c r="T170" s="32"/>
      <c r="U170" s="32"/>
      <c r="V170" s="32"/>
      <c r="W170" s="32"/>
      <c r="X170" s="16"/>
    </row>
    <row r="171" spans="1:24" ht="17.100000000000001" customHeight="1">
      <c r="A171" s="16"/>
      <c r="B171" s="32"/>
      <c r="C171" s="32"/>
      <c r="D171" s="32"/>
      <c r="E171" s="32"/>
      <c r="F171" s="32"/>
      <c r="G171" s="32"/>
      <c r="H171" s="32"/>
      <c r="I171" s="32"/>
      <c r="J171" s="32"/>
      <c r="K171" s="32"/>
      <c r="L171" s="32"/>
      <c r="M171" s="32"/>
      <c r="N171" s="32"/>
      <c r="O171" s="32"/>
      <c r="P171" s="32"/>
      <c r="Q171" s="32"/>
      <c r="R171" s="32"/>
      <c r="S171" s="32"/>
      <c r="T171" s="32"/>
      <c r="U171" s="32"/>
      <c r="V171" s="32"/>
      <c r="W171" s="32"/>
      <c r="X171" s="16"/>
    </row>
    <row r="172" spans="1:24" ht="17.100000000000001" customHeight="1">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row>
  </sheetData>
  <mergeCells count="174">
    <mergeCell ref="B158:W159"/>
    <mergeCell ref="B162:W163"/>
    <mergeCell ref="B164:W166"/>
    <mergeCell ref="B168:W171"/>
    <mergeCell ref="B139:W140"/>
    <mergeCell ref="B142:M144"/>
    <mergeCell ref="Q142:W144"/>
    <mergeCell ref="B148:W149"/>
    <mergeCell ref="B151:W157"/>
    <mergeCell ref="Q129:W129"/>
    <mergeCell ref="Q131:T132"/>
    <mergeCell ref="U131:W132"/>
    <mergeCell ref="Q133:W133"/>
    <mergeCell ref="Q135:W136"/>
    <mergeCell ref="Q121:W121"/>
    <mergeCell ref="Q123:T124"/>
    <mergeCell ref="U123:W124"/>
    <mergeCell ref="Q125:W125"/>
    <mergeCell ref="Q127:T128"/>
    <mergeCell ref="U127:W128"/>
    <mergeCell ref="Q115:T116"/>
    <mergeCell ref="U115:W116"/>
    <mergeCell ref="Q117:W117"/>
    <mergeCell ref="Q119:T120"/>
    <mergeCell ref="U119:W120"/>
    <mergeCell ref="Q103:T104"/>
    <mergeCell ref="U103:W104"/>
    <mergeCell ref="Q106:T107"/>
    <mergeCell ref="U106:W107"/>
    <mergeCell ref="Q112:W113"/>
    <mergeCell ref="U94:W95"/>
    <mergeCell ref="Q97:T98"/>
    <mergeCell ref="U97:W98"/>
    <mergeCell ref="Q100:T101"/>
    <mergeCell ref="U100:W101"/>
    <mergeCell ref="B128:O128"/>
    <mergeCell ref="B130:O131"/>
    <mergeCell ref="B132:O132"/>
    <mergeCell ref="Q62:W63"/>
    <mergeCell ref="Q65:T66"/>
    <mergeCell ref="U65:W66"/>
    <mergeCell ref="Q68:T69"/>
    <mergeCell ref="U68:W69"/>
    <mergeCell ref="Q71:T72"/>
    <mergeCell ref="U71:W72"/>
    <mergeCell ref="Q74:T75"/>
    <mergeCell ref="U74:W75"/>
    <mergeCell ref="Q77:W79"/>
    <mergeCell ref="Q83:W84"/>
    <mergeCell ref="Q86:W92"/>
    <mergeCell ref="Q94:T95"/>
    <mergeCell ref="B118:O119"/>
    <mergeCell ref="B120:O120"/>
    <mergeCell ref="B122:O123"/>
    <mergeCell ref="B124:O124"/>
    <mergeCell ref="B126:O127"/>
    <mergeCell ref="B108:F109"/>
    <mergeCell ref="G108:J109"/>
    <mergeCell ref="K108:O109"/>
    <mergeCell ref="B111:O112"/>
    <mergeCell ref="B115:O116"/>
    <mergeCell ref="B104:F105"/>
    <mergeCell ref="G104:J105"/>
    <mergeCell ref="K104:O105"/>
    <mergeCell ref="B106:F107"/>
    <mergeCell ref="G106:J107"/>
    <mergeCell ref="K106:O107"/>
    <mergeCell ref="B101:F101"/>
    <mergeCell ref="G101:J101"/>
    <mergeCell ref="K101:O101"/>
    <mergeCell ref="B102:F103"/>
    <mergeCell ref="G102:J103"/>
    <mergeCell ref="K102:O103"/>
    <mergeCell ref="B94:O95"/>
    <mergeCell ref="B97:F97"/>
    <mergeCell ref="B98:F99"/>
    <mergeCell ref="H97:O97"/>
    <mergeCell ref="H98:O99"/>
    <mergeCell ref="B87:E88"/>
    <mergeCell ref="F87:I88"/>
    <mergeCell ref="J87:L88"/>
    <mergeCell ref="M87:O88"/>
    <mergeCell ref="B89:E90"/>
    <mergeCell ref="F89:I90"/>
    <mergeCell ref="J89:L90"/>
    <mergeCell ref="M89:O90"/>
    <mergeCell ref="B83:E84"/>
    <mergeCell ref="F83:I84"/>
    <mergeCell ref="J83:L84"/>
    <mergeCell ref="M83:O84"/>
    <mergeCell ref="B85:E86"/>
    <mergeCell ref="F85:I86"/>
    <mergeCell ref="J85:L86"/>
    <mergeCell ref="M85:O86"/>
    <mergeCell ref="B79:E80"/>
    <mergeCell ref="F79:I80"/>
    <mergeCell ref="J79:L80"/>
    <mergeCell ref="M79:O80"/>
    <mergeCell ref="B81:E82"/>
    <mergeCell ref="F81:I82"/>
    <mergeCell ref="J81:L82"/>
    <mergeCell ref="M81:O82"/>
    <mergeCell ref="B75:E76"/>
    <mergeCell ref="F75:I76"/>
    <mergeCell ref="J75:L76"/>
    <mergeCell ref="M75:O76"/>
    <mergeCell ref="B77:E78"/>
    <mergeCell ref="F77:I78"/>
    <mergeCell ref="J77:L78"/>
    <mergeCell ref="M77:O78"/>
    <mergeCell ref="B69:O70"/>
    <mergeCell ref="B73:E73"/>
    <mergeCell ref="F73:I73"/>
    <mergeCell ref="J73:L73"/>
    <mergeCell ref="M73:O73"/>
    <mergeCell ref="B62:O63"/>
    <mergeCell ref="B65:F65"/>
    <mergeCell ref="B66:F67"/>
    <mergeCell ref="G65:O65"/>
    <mergeCell ref="G66:O67"/>
    <mergeCell ref="Q55:T55"/>
    <mergeCell ref="U55:W55"/>
    <mergeCell ref="Q57:T57"/>
    <mergeCell ref="U57:W57"/>
    <mergeCell ref="Q58:W59"/>
    <mergeCell ref="Q49:T49"/>
    <mergeCell ref="U49:W49"/>
    <mergeCell ref="Q51:T51"/>
    <mergeCell ref="U51:W51"/>
    <mergeCell ref="Q53:T53"/>
    <mergeCell ref="U53:W53"/>
    <mergeCell ref="B57:O58"/>
    <mergeCell ref="Q32:W33"/>
    <mergeCell ref="Q35:T35"/>
    <mergeCell ref="U35:W35"/>
    <mergeCell ref="Q37:T37"/>
    <mergeCell ref="U37:W37"/>
    <mergeCell ref="Q39:T39"/>
    <mergeCell ref="U39:W39"/>
    <mergeCell ref="Q41:T41"/>
    <mergeCell ref="U41:W41"/>
    <mergeCell ref="Q43:T43"/>
    <mergeCell ref="U43:W43"/>
    <mergeCell ref="Q45:T45"/>
    <mergeCell ref="U45:W45"/>
    <mergeCell ref="Q47:T47"/>
    <mergeCell ref="U47:W47"/>
    <mergeCell ref="B35:F35"/>
    <mergeCell ref="B36:F37"/>
    <mergeCell ref="G35:K35"/>
    <mergeCell ref="G36:K37"/>
    <mergeCell ref="L35:O35"/>
    <mergeCell ref="L36:O37"/>
    <mergeCell ref="B29:E30"/>
    <mergeCell ref="F29:J30"/>
    <mergeCell ref="K29:O30"/>
    <mergeCell ref="Q29:W30"/>
    <mergeCell ref="B32:O33"/>
    <mergeCell ref="B20:O20"/>
    <mergeCell ref="B21:O21"/>
    <mergeCell ref="B23:O24"/>
    <mergeCell ref="R18:W20"/>
    <mergeCell ref="B26:W27"/>
    <mergeCell ref="B8:C10"/>
    <mergeCell ref="D8:W9"/>
    <mergeCell ref="D10:W11"/>
    <mergeCell ref="B14:J14"/>
    <mergeCell ref="B16:F18"/>
    <mergeCell ref="G17:O18"/>
    <mergeCell ref="Q2:W2"/>
    <mergeCell ref="B5:M6"/>
    <mergeCell ref="T4:U4"/>
    <mergeCell ref="T5:U6"/>
    <mergeCell ref="V5:W6"/>
  </mergeCells>
  <conditionalFormatting sqref="G17:O18">
    <cfRule type="expression" dxfId="4" priority="1">
      <formula>LEFT($G$17,1)="-"</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245DC1"/>
  </sheetPr>
  <dimension ref="A1:X172"/>
  <sheetViews>
    <sheetView showGridLines="0" showRowColHeaders="0" tabSelected="1" zoomScale="80" workbookViewId="0">
      <pane ySplit="6" topLeftCell="A7" activePane="bottomLeft" state="frozen"/>
      <selection pane="bottomLeft" activeCell="Q139" sqref="Q139:W142"/>
    </sheetView>
  </sheetViews>
  <sheetFormatPr defaultRowHeight="14.25"/>
  <cols>
    <col min="1" max="1" width="2.25" customWidth="1"/>
    <col min="2" max="15" width="5.375" customWidth="1"/>
    <col min="16" max="16" width="2.25" customWidth="1"/>
    <col min="17" max="23" width="5.375" customWidth="1"/>
    <col min="24" max="24" width="2.25" customWidth="1"/>
  </cols>
  <sheetData>
    <row r="1" spans="1:24" ht="17.100000000000001" customHeight="1">
      <c r="A1" s="17"/>
      <c r="B1" s="17"/>
      <c r="C1" s="17"/>
      <c r="D1" s="17"/>
      <c r="E1" s="17"/>
      <c r="F1" s="17"/>
      <c r="G1" s="17"/>
      <c r="H1" s="17"/>
      <c r="I1" s="17"/>
      <c r="J1" s="17"/>
      <c r="K1" s="17"/>
      <c r="L1" s="17"/>
      <c r="M1" s="17"/>
      <c r="N1" s="17"/>
      <c r="O1" s="17"/>
      <c r="P1" s="17"/>
      <c r="Q1" s="17"/>
      <c r="R1" s="17"/>
      <c r="S1" s="17"/>
      <c r="T1" s="17"/>
      <c r="U1" s="17"/>
      <c r="V1" s="17"/>
      <c r="W1" s="17"/>
      <c r="X1" s="17"/>
    </row>
    <row r="2" spans="1:24" ht="17.100000000000001" customHeight="1">
      <c r="A2" s="17"/>
      <c r="B2" s="17"/>
      <c r="C2" s="17"/>
      <c r="D2" s="17"/>
      <c r="E2" s="17"/>
      <c r="F2" s="17"/>
      <c r="G2" s="17"/>
      <c r="H2" s="17"/>
      <c r="I2" s="17"/>
      <c r="J2" s="17"/>
      <c r="K2" s="17"/>
      <c r="L2" s="17"/>
      <c r="M2" s="17"/>
      <c r="N2" s="17"/>
      <c r="O2" s="17"/>
      <c r="P2" s="17"/>
      <c r="Q2" s="31" t="s">
        <v>0</v>
      </c>
      <c r="R2" s="31"/>
      <c r="S2" s="31"/>
      <c r="T2" s="31"/>
      <c r="U2" s="31"/>
      <c r="V2" s="31"/>
      <c r="W2" s="31"/>
      <c r="X2" s="17"/>
    </row>
    <row r="3" spans="1:24" ht="17.100000000000001" customHeight="1">
      <c r="A3" s="17"/>
      <c r="B3" s="17"/>
      <c r="C3" s="17"/>
      <c r="D3" s="17"/>
      <c r="E3" s="17"/>
      <c r="F3" s="17"/>
      <c r="G3" s="17"/>
      <c r="H3" s="17"/>
      <c r="I3" s="17"/>
      <c r="J3" s="17"/>
      <c r="K3" s="17"/>
      <c r="L3" s="17"/>
      <c r="M3" s="17"/>
      <c r="N3" s="17"/>
      <c r="O3" s="17"/>
      <c r="P3" s="17"/>
      <c r="Q3" s="17"/>
      <c r="R3" s="17"/>
      <c r="S3" s="17"/>
      <c r="T3" s="17"/>
      <c r="U3" s="17"/>
      <c r="V3" s="17"/>
      <c r="W3" s="17"/>
      <c r="X3" s="17"/>
    </row>
    <row r="4" spans="1:24" ht="17.100000000000001" customHeight="1">
      <c r="A4" s="16"/>
      <c r="B4" s="16"/>
      <c r="C4" s="16"/>
      <c r="D4" s="16"/>
      <c r="E4" s="16"/>
      <c r="F4" s="16"/>
      <c r="G4" s="16"/>
      <c r="H4" s="16"/>
      <c r="I4" s="16"/>
      <c r="J4" s="16"/>
      <c r="K4" s="16"/>
      <c r="L4" s="16"/>
      <c r="M4" s="16"/>
      <c r="N4" s="16"/>
      <c r="O4" s="16"/>
      <c r="P4" s="16"/>
      <c r="Q4" s="16"/>
      <c r="R4" s="16"/>
      <c r="S4" s="16"/>
      <c r="T4" s="33" t="s">
        <v>1</v>
      </c>
      <c r="U4" s="33"/>
      <c r="V4" s="16"/>
      <c r="W4" s="16"/>
      <c r="X4" s="16"/>
    </row>
    <row r="5" spans="1:24" ht="17.100000000000001" customHeight="1">
      <c r="A5" s="16"/>
      <c r="B5" s="32" t="s">
        <v>64</v>
      </c>
      <c r="C5" s="32"/>
      <c r="D5" s="32"/>
      <c r="E5" s="32"/>
      <c r="F5" s="32"/>
      <c r="G5" s="32"/>
      <c r="H5" s="32"/>
      <c r="I5" s="32"/>
      <c r="J5" s="32"/>
      <c r="K5" s="32"/>
      <c r="L5" s="32"/>
      <c r="M5" s="32"/>
      <c r="N5" s="16"/>
      <c r="O5" s="16"/>
      <c r="P5" s="16"/>
      <c r="Q5" s="16"/>
      <c r="R5" s="16"/>
      <c r="S5" s="16"/>
      <c r="T5" s="34" t="s">
        <v>1036</v>
      </c>
      <c r="U5" s="35"/>
      <c r="V5" s="38" t="s">
        <v>4</v>
      </c>
      <c r="W5" s="38"/>
      <c r="X5" s="16"/>
    </row>
    <row r="6" spans="1:24" ht="17.100000000000001" customHeight="1">
      <c r="A6" s="16"/>
      <c r="B6" s="32"/>
      <c r="C6" s="32"/>
      <c r="D6" s="32"/>
      <c r="E6" s="32"/>
      <c r="F6" s="32"/>
      <c r="G6" s="32"/>
      <c r="H6" s="32"/>
      <c r="I6" s="32"/>
      <c r="J6" s="32"/>
      <c r="K6" s="32"/>
      <c r="L6" s="32"/>
      <c r="M6" s="32"/>
      <c r="N6" s="16"/>
      <c r="O6" s="16"/>
      <c r="P6" s="16"/>
      <c r="Q6" s="16"/>
      <c r="R6" s="16"/>
      <c r="S6" s="16"/>
      <c r="T6" s="36"/>
      <c r="U6" s="37"/>
      <c r="V6" s="38"/>
      <c r="W6" s="38"/>
      <c r="X6" s="16"/>
    </row>
    <row r="7" spans="1:24" ht="17.100000000000001" customHeight="1">
      <c r="A7" s="16"/>
      <c r="B7" s="16"/>
      <c r="C7" s="16"/>
      <c r="D7" s="16"/>
      <c r="E7" s="16"/>
      <c r="F7" s="16"/>
      <c r="G7" s="16"/>
      <c r="H7" s="16"/>
      <c r="I7" s="16"/>
      <c r="J7" s="16"/>
      <c r="K7" s="16"/>
      <c r="L7" s="16"/>
      <c r="M7" s="16"/>
      <c r="N7" s="16"/>
      <c r="O7" s="16"/>
      <c r="P7" s="16"/>
      <c r="Q7" s="16"/>
      <c r="R7" s="16"/>
      <c r="S7" s="16"/>
      <c r="T7" s="16"/>
      <c r="U7" s="16"/>
      <c r="V7" s="16"/>
      <c r="W7" s="16"/>
      <c r="X7" s="16"/>
    </row>
    <row r="8" spans="1:24" ht="17.100000000000001" customHeight="1">
      <c r="A8" s="16"/>
      <c r="B8" s="163" t="str">
        <f>IF('ETF Data'!$H$2,'ETF Data'!$B$88,"Refresh required")</f>
        <v>SPY</v>
      </c>
      <c r="C8" s="163"/>
      <c r="D8" s="39" t="str">
        <f>IF('ETF Data'!$H$2,'ETF Data'!$B$2,"Refresh required")</f>
        <v>SPDR S&amp;P 500 ETF TRUST - SPDR S&amp;P 500 ETF Trust</v>
      </c>
      <c r="E8" s="39"/>
      <c r="F8" s="39"/>
      <c r="G8" s="39"/>
      <c r="H8" s="39"/>
      <c r="I8" s="39"/>
      <c r="J8" s="39"/>
      <c r="K8" s="39"/>
      <c r="L8" s="39"/>
      <c r="M8" s="39"/>
      <c r="N8" s="39"/>
      <c r="O8" s="39"/>
      <c r="P8" s="39"/>
      <c r="Q8" s="39"/>
      <c r="R8" s="39"/>
      <c r="S8" s="39"/>
      <c r="T8" s="39"/>
      <c r="U8" s="39"/>
      <c r="V8" s="39"/>
      <c r="W8" s="39"/>
      <c r="X8" s="16"/>
    </row>
    <row r="9" spans="1:24" ht="17.100000000000001" customHeight="1">
      <c r="A9" s="16"/>
      <c r="B9" s="163"/>
      <c r="C9" s="163"/>
      <c r="D9" s="39"/>
      <c r="E9" s="39"/>
      <c r="F9" s="39"/>
      <c r="G9" s="39"/>
      <c r="H9" s="39"/>
      <c r="I9" s="39"/>
      <c r="J9" s="39"/>
      <c r="K9" s="39"/>
      <c r="L9" s="39"/>
      <c r="M9" s="39"/>
      <c r="N9" s="39"/>
      <c r="O9" s="39"/>
      <c r="P9" s="39"/>
      <c r="Q9" s="39"/>
      <c r="R9" s="39"/>
      <c r="S9" s="39"/>
      <c r="T9" s="39"/>
      <c r="U9" s="39"/>
      <c r="V9" s="39"/>
      <c r="W9" s="39"/>
      <c r="X9" s="16"/>
    </row>
    <row r="10" spans="1:24" ht="17.100000000000001" customHeight="1">
      <c r="A10" s="16"/>
      <c r="B10" s="163"/>
      <c r="C10" s="163"/>
      <c r="D10" s="32" t="str">
        <f>IF('ETF Data'!$H$2,'ETF Data'!$B$88,"Refresh required")&amp;"  ·  ETF  ·  "&amp;IF('ETF Data'!$B$4="XNYS","NYSE",IF('ETF Data'!$B$4="ARCX","NYSE Arca",IF('ETF Data'!$B$89="Mutual Fund","Daily NAV",IF('ETF Data'!$H$2,'ETF Data'!$B$4,"Refresh required"))))&amp;"  ·  "&amp;IF('ETF Data'!$H$2,'ETF Data'!$B$3,"Refresh required")</f>
        <v>SPY  ·  ETF  ·  NYSE Arca  ·  USD</v>
      </c>
      <c r="E10" s="32"/>
      <c r="F10" s="32"/>
      <c r="G10" s="32"/>
      <c r="H10" s="32"/>
      <c r="I10" s="32"/>
      <c r="J10" s="32"/>
      <c r="K10" s="32"/>
      <c r="L10" s="32"/>
      <c r="M10" s="32"/>
      <c r="N10" s="32"/>
      <c r="O10" s="32"/>
      <c r="P10" s="32"/>
      <c r="Q10" s="32"/>
      <c r="R10" s="32"/>
      <c r="S10" s="32"/>
      <c r="T10" s="32"/>
      <c r="U10" s="32"/>
      <c r="V10" s="32"/>
      <c r="W10" s="32"/>
      <c r="X10" s="16"/>
    </row>
    <row r="11" spans="1:24" ht="17.100000000000001" customHeight="1">
      <c r="A11" s="16"/>
      <c r="B11" s="16"/>
      <c r="C11" s="16"/>
      <c r="D11" s="32"/>
      <c r="E11" s="32"/>
      <c r="F11" s="32"/>
      <c r="G11" s="32"/>
      <c r="H11" s="32"/>
      <c r="I11" s="32"/>
      <c r="J11" s="32"/>
      <c r="K11" s="32"/>
      <c r="L11" s="32"/>
      <c r="M11" s="32"/>
      <c r="N11" s="32"/>
      <c r="O11" s="32"/>
      <c r="P11" s="32"/>
      <c r="Q11" s="32"/>
      <c r="R11" s="32"/>
      <c r="S11" s="32"/>
      <c r="T11" s="32"/>
      <c r="U11" s="32"/>
      <c r="V11" s="32"/>
      <c r="W11" s="32"/>
      <c r="X11" s="16"/>
    </row>
    <row r="12" spans="1:24" ht="17.100000000000001" customHeight="1">
      <c r="A12" s="16"/>
      <c r="B12" s="16"/>
      <c r="C12" s="16"/>
      <c r="D12" s="16"/>
      <c r="E12" s="16"/>
      <c r="F12" s="16"/>
      <c r="G12" s="16"/>
      <c r="H12" s="16"/>
      <c r="I12" s="16"/>
      <c r="J12" s="16"/>
      <c r="K12" s="16"/>
      <c r="L12" s="16"/>
      <c r="M12" s="16"/>
      <c r="N12" s="16"/>
      <c r="O12" s="16"/>
      <c r="P12" s="16"/>
      <c r="Q12" s="16"/>
      <c r="R12" s="16"/>
      <c r="S12" s="16"/>
      <c r="T12" s="16"/>
      <c r="U12" s="16"/>
      <c r="V12" s="16"/>
      <c r="W12" s="16"/>
      <c r="X12" s="16"/>
    </row>
    <row r="13" spans="1:24" ht="17.100000000000001" customHeight="1">
      <c r="A13" s="16"/>
      <c r="B13" s="19"/>
      <c r="C13" s="20"/>
      <c r="D13" s="20"/>
      <c r="E13" s="20"/>
      <c r="F13" s="20"/>
      <c r="G13" s="20"/>
      <c r="H13" s="20"/>
      <c r="I13" s="20"/>
      <c r="J13" s="20"/>
      <c r="K13" s="20"/>
      <c r="L13" s="20"/>
      <c r="M13" s="20"/>
      <c r="N13" s="20"/>
      <c r="O13" s="20"/>
      <c r="P13" s="20"/>
      <c r="Q13" s="20"/>
      <c r="R13" s="20"/>
      <c r="S13" s="20"/>
      <c r="T13" s="20"/>
      <c r="U13" s="20"/>
      <c r="V13" s="20"/>
      <c r="W13" s="21"/>
      <c r="X13" s="16"/>
    </row>
    <row r="14" spans="1:24" ht="17.100000000000001" customHeight="1">
      <c r="A14" s="16"/>
      <c r="B14" s="40" t="s">
        <v>5</v>
      </c>
      <c r="C14" s="41"/>
      <c r="D14" s="41"/>
      <c r="E14" s="41"/>
      <c r="F14" s="41"/>
      <c r="G14" s="41"/>
      <c r="H14" s="41"/>
      <c r="I14" s="41"/>
      <c r="J14" s="41"/>
      <c r="K14" s="18"/>
      <c r="L14" s="18"/>
      <c r="M14" s="18"/>
      <c r="N14" s="18"/>
      <c r="O14" s="18"/>
      <c r="P14" s="18"/>
      <c r="Q14" s="18"/>
      <c r="R14" s="18"/>
      <c r="S14" s="18"/>
      <c r="T14" s="18"/>
      <c r="U14" s="18"/>
      <c r="V14" s="18"/>
      <c r="W14" s="23"/>
      <c r="X14" s="16"/>
    </row>
    <row r="15" spans="1:24" ht="17.100000000000001" customHeight="1">
      <c r="A15" s="16"/>
      <c r="B15" s="22"/>
      <c r="C15" s="18"/>
      <c r="D15" s="18"/>
      <c r="E15" s="18"/>
      <c r="F15" s="18"/>
      <c r="G15" s="18"/>
      <c r="H15" s="18"/>
      <c r="I15" s="18"/>
      <c r="J15" s="18"/>
      <c r="K15" s="18"/>
      <c r="L15" s="18"/>
      <c r="M15" s="18"/>
      <c r="N15" s="18"/>
      <c r="O15" s="18"/>
      <c r="P15" s="18"/>
      <c r="Q15" s="18"/>
      <c r="R15" s="18"/>
      <c r="S15" s="18"/>
      <c r="T15" s="18"/>
      <c r="U15" s="18"/>
      <c r="V15" s="18"/>
      <c r="W15" s="23"/>
      <c r="X15" s="16"/>
    </row>
    <row r="16" spans="1:24" ht="17.100000000000001" customHeight="1">
      <c r="A16" s="16"/>
      <c r="B16" s="42">
        <f>IF('ETF Data'!$H$2,'ETF Data'!$B$5,"Refresh required")</f>
        <v>778.1</v>
      </c>
      <c r="C16" s="43"/>
      <c r="D16" s="43"/>
      <c r="E16" s="43"/>
      <c r="F16" s="43"/>
      <c r="G16" s="18"/>
      <c r="H16" s="18"/>
      <c r="I16" s="18"/>
      <c r="J16" s="18"/>
      <c r="K16" s="18"/>
      <c r="L16" s="18"/>
      <c r="M16" s="18"/>
      <c r="N16" s="18"/>
      <c r="O16" s="18"/>
      <c r="P16" s="18"/>
      <c r="Q16" s="18"/>
      <c r="R16" s="18"/>
      <c r="S16" s="18"/>
      <c r="T16" s="18"/>
      <c r="U16" s="18"/>
      <c r="V16" s="18"/>
      <c r="W16" s="23"/>
      <c r="X16" s="16"/>
    </row>
    <row r="17" spans="1:24" ht="17.100000000000001" customHeight="1">
      <c r="A17" s="16"/>
      <c r="B17" s="42"/>
      <c r="C17" s="43"/>
      <c r="D17" s="43"/>
      <c r="E17" s="43"/>
      <c r="F17" s="43"/>
      <c r="G17" s="44" t="str">
        <f>IF(ISNUMBER(IF('ETF Data'!$H$2,'ETF Data'!$B$7,"Refresh required")),TEXT(IF('ETF Data'!$H$2,'ETF Data'!$B$7,"Refresh required"),"+$0.00;-$0.00;$0.00"),IF('ETF Data'!$H$2,'ETF Data'!$B$7,"Refresh required"))&amp;"  ("&amp;IF(ISNUMBER(IF('ETF Data'!$H$2,'ETF Data'!$B$8,"Refresh required")),TEXT(IF('ETF Data'!$H$2,'ETF Data'!$B$8,"Refresh required"),"+0.00%;-0.00%;0.00%"),IF('ETF Data'!$H$2,'ETF Data'!$B$8,"Refresh required"))&amp;")"</f>
        <v>-$0.47  (-0.06%)</v>
      </c>
      <c r="H17" s="44"/>
      <c r="I17" s="44"/>
      <c r="J17" s="44"/>
      <c r="K17" s="44"/>
      <c r="L17" s="44"/>
      <c r="M17" s="44"/>
      <c r="N17" s="44"/>
      <c r="O17" s="44"/>
      <c r="P17" s="18"/>
      <c r="Q17" s="18"/>
      <c r="R17" s="18"/>
      <c r="S17" s="18"/>
      <c r="T17" s="18"/>
      <c r="U17" s="18"/>
      <c r="V17" s="18"/>
      <c r="W17" s="23"/>
      <c r="X17" s="16"/>
    </row>
    <row r="18" spans="1:24" ht="17.100000000000001" customHeight="1">
      <c r="A18" s="16"/>
      <c r="B18" s="42"/>
      <c r="C18" s="43"/>
      <c r="D18" s="43"/>
      <c r="E18" s="43"/>
      <c r="F18" s="43"/>
      <c r="G18" s="44"/>
      <c r="H18" s="44"/>
      <c r="I18" s="44"/>
      <c r="J18" s="44"/>
      <c r="K18" s="44"/>
      <c r="L18" s="44"/>
      <c r="M18" s="44"/>
      <c r="N18" s="44"/>
      <c r="O18" s="44"/>
      <c r="P18" s="18"/>
      <c r="Q18" s="18"/>
      <c r="R18" s="49" t="s">
        <v>6</v>
      </c>
      <c r="S18" s="49"/>
      <c r="T18" s="49"/>
      <c r="U18" s="49"/>
      <c r="V18" s="49"/>
      <c r="W18" s="50"/>
      <c r="X18" s="16"/>
    </row>
    <row r="19" spans="1:24" ht="17.100000000000001" customHeight="1">
      <c r="A19" s="16"/>
      <c r="B19" s="22"/>
      <c r="C19" s="18"/>
      <c r="D19" s="18"/>
      <c r="E19" s="18"/>
      <c r="F19" s="18"/>
      <c r="G19" s="18"/>
      <c r="H19" s="18"/>
      <c r="I19" s="18"/>
      <c r="J19" s="18"/>
      <c r="K19" s="18"/>
      <c r="L19" s="18"/>
      <c r="M19" s="18"/>
      <c r="N19" s="18"/>
      <c r="O19" s="18"/>
      <c r="P19" s="18"/>
      <c r="Q19" s="18"/>
      <c r="R19" s="49"/>
      <c r="S19" s="49"/>
      <c r="T19" s="49"/>
      <c r="U19" s="49"/>
      <c r="V19" s="49"/>
      <c r="W19" s="50"/>
      <c r="X19" s="16"/>
    </row>
    <row r="20" spans="1:24" ht="17.100000000000001" customHeight="1">
      <c r="A20" s="16"/>
      <c r="B20" s="45" t="str">
        <f>"As of "&amp;IF('ETF Data'!$H$2,'ETF Data'!$B$9,"Refresh required")&amp;" · "&amp;LEFT(IF('ETF Data'!$H$2,'ETF Data'!$B$10,"Refresh required"),8)&amp;" (UTC"&amp;IF(ISNUMBER(IF('ETF Data'!$H$2,'ETF Data'!$B$11,"Refresh required")),TEXT(IF('ETF Data'!$H$2,'ETF Data'!$B$11,"Refresh required"),"+0;-0;0"),IF('ETF Data'!$H$2,'ETF Data'!$B$11,"Refresh required"))&amp;")"</f>
        <v>As of 46307 · 0.666666 (UTC-4)</v>
      </c>
      <c r="C20" s="46"/>
      <c r="D20" s="46"/>
      <c r="E20" s="46"/>
      <c r="F20" s="46"/>
      <c r="G20" s="46"/>
      <c r="H20" s="46"/>
      <c r="I20" s="46"/>
      <c r="J20" s="46"/>
      <c r="K20" s="46"/>
      <c r="L20" s="46"/>
      <c r="M20" s="46"/>
      <c r="N20" s="46"/>
      <c r="O20" s="46"/>
      <c r="P20" s="18"/>
      <c r="Q20" s="18"/>
      <c r="R20" s="49"/>
      <c r="S20" s="49"/>
      <c r="T20" s="49"/>
      <c r="U20" s="49"/>
      <c r="V20" s="49"/>
      <c r="W20" s="50"/>
      <c r="X20" s="16"/>
    </row>
    <row r="21" spans="1:24" ht="17.100000000000001" customHeight="1">
      <c r="A21" s="16"/>
      <c r="B21" s="45" t="str">
        <f>IF('ETF Data'!$H$2,'ETF Data'!$B$35,"Refresh required")</f>
        <v>Delay times are 15 mins for NYSE ARCA.</v>
      </c>
      <c r="C21" s="46"/>
      <c r="D21" s="46"/>
      <c r="E21" s="46"/>
      <c r="F21" s="46"/>
      <c r="G21" s="46"/>
      <c r="H21" s="46"/>
      <c r="I21" s="46"/>
      <c r="J21" s="46"/>
      <c r="K21" s="46"/>
      <c r="L21" s="46"/>
      <c r="M21" s="46"/>
      <c r="N21" s="46"/>
      <c r="O21" s="46"/>
      <c r="P21" s="18"/>
      <c r="Q21" s="18"/>
      <c r="R21" s="18"/>
      <c r="S21" s="18"/>
      <c r="T21" s="18"/>
      <c r="U21" s="18"/>
      <c r="V21" s="18"/>
      <c r="W21" s="23"/>
      <c r="X21" s="16"/>
    </row>
    <row r="22" spans="1:24" ht="17.100000000000001" customHeight="1">
      <c r="A22" s="16"/>
      <c r="B22" s="22"/>
      <c r="C22" s="18"/>
      <c r="D22" s="18"/>
      <c r="E22" s="18"/>
      <c r="F22" s="18"/>
      <c r="G22" s="18"/>
      <c r="H22" s="18"/>
      <c r="I22" s="18"/>
      <c r="J22" s="18"/>
      <c r="K22" s="18"/>
      <c r="L22" s="18"/>
      <c r="M22" s="18"/>
      <c r="N22" s="18"/>
      <c r="O22" s="18"/>
      <c r="P22" s="18"/>
      <c r="Q22" s="18"/>
      <c r="R22" s="18"/>
      <c r="S22" s="18"/>
      <c r="T22" s="18"/>
      <c r="U22" s="18"/>
      <c r="V22" s="18"/>
      <c r="W22" s="23"/>
      <c r="X22" s="16"/>
    </row>
    <row r="23" spans="1:24" ht="17.100000000000001" customHeight="1">
      <c r="A23" s="16"/>
      <c r="B23" s="45" t="str">
        <f>IF('ETF Data'!$H$2,'ETF Data'!$B$32,"Refresh required")&amp;" "&amp;IF(ISNUMBER(IF('ETF Data'!$H$2,'ETF Data'!$B$29,"Refresh required")),TEXT(IF('ETF Data'!$H$2,'ETF Data'!$B$29,"Refresh required"),"$0.0000"),IF('ETF Data'!$H$2,'ETF Data'!$B$29,"Refresh required"))&amp;" · "&amp;IF('ETF Data'!$H$2,'ETF Data'!$B$33,"Refresh required")&amp;" "&amp;LEFT(IF('ETF Data'!$H$2,'ETF Data'!$B$34,"Refresh required"),8)</f>
        <v>PostMarket $777.7500 · 46307 0.799147</v>
      </c>
      <c r="C23" s="46"/>
      <c r="D23" s="46"/>
      <c r="E23" s="46"/>
      <c r="F23" s="46"/>
      <c r="G23" s="46"/>
      <c r="H23" s="46"/>
      <c r="I23" s="46"/>
      <c r="J23" s="46"/>
      <c r="K23" s="46"/>
      <c r="L23" s="46"/>
      <c r="M23" s="46"/>
      <c r="N23" s="46"/>
      <c r="O23" s="46"/>
      <c r="P23" s="18"/>
      <c r="Q23" s="18"/>
      <c r="R23" s="18"/>
      <c r="S23" s="18"/>
      <c r="T23" s="18"/>
      <c r="U23" s="18"/>
      <c r="V23" s="18"/>
      <c r="W23" s="23"/>
      <c r="X23" s="16"/>
    </row>
    <row r="24" spans="1:24" ht="17.100000000000001" customHeight="1">
      <c r="A24" s="16"/>
      <c r="B24" s="47"/>
      <c r="C24" s="48"/>
      <c r="D24" s="48"/>
      <c r="E24" s="48"/>
      <c r="F24" s="48"/>
      <c r="G24" s="48"/>
      <c r="H24" s="48"/>
      <c r="I24" s="48"/>
      <c r="J24" s="48"/>
      <c r="K24" s="48"/>
      <c r="L24" s="48"/>
      <c r="M24" s="48"/>
      <c r="N24" s="48"/>
      <c r="O24" s="48"/>
      <c r="P24" s="25"/>
      <c r="Q24" s="25"/>
      <c r="R24" s="25"/>
      <c r="S24" s="25"/>
      <c r="T24" s="25"/>
      <c r="U24" s="25"/>
      <c r="V24" s="25"/>
      <c r="W24" s="26"/>
      <c r="X24" s="16"/>
    </row>
    <row r="25" spans="1:24" ht="17.100000000000001" customHeight="1">
      <c r="A25" s="16"/>
      <c r="B25" s="16"/>
      <c r="C25" s="16"/>
      <c r="D25" s="16"/>
      <c r="E25" s="16"/>
      <c r="F25" s="16"/>
      <c r="G25" s="16"/>
      <c r="H25" s="16"/>
      <c r="I25" s="16"/>
      <c r="J25" s="16"/>
      <c r="K25" s="16"/>
      <c r="L25" s="16"/>
      <c r="M25" s="16"/>
      <c r="N25" s="16"/>
      <c r="O25" s="16"/>
      <c r="P25" s="16"/>
      <c r="Q25" s="16"/>
      <c r="R25" s="16"/>
      <c r="S25" s="16"/>
      <c r="T25" s="16"/>
      <c r="U25" s="16"/>
      <c r="V25" s="16"/>
      <c r="W25" s="16"/>
      <c r="X25" s="16"/>
    </row>
    <row r="26" spans="1:24" ht="17.100000000000001" customHeight="1">
      <c r="A26" s="16"/>
      <c r="B26" s="32" t="s">
        <v>1090</v>
      </c>
      <c r="C26" s="32"/>
      <c r="D26" s="32"/>
      <c r="E26" s="32"/>
      <c r="F26" s="32"/>
      <c r="G26" s="32"/>
      <c r="H26" s="32"/>
      <c r="I26" s="32"/>
      <c r="J26" s="32"/>
      <c r="K26" s="32"/>
      <c r="L26" s="32"/>
      <c r="M26" s="32"/>
      <c r="N26" s="32"/>
      <c r="O26" s="32"/>
      <c r="P26" s="32"/>
      <c r="Q26" s="32"/>
      <c r="R26" s="32"/>
      <c r="S26" s="32"/>
      <c r="T26" s="32"/>
      <c r="U26" s="32"/>
      <c r="V26" s="32"/>
      <c r="W26" s="32"/>
      <c r="X26" s="16"/>
    </row>
    <row r="27" spans="1:24" ht="17.100000000000001" customHeight="1">
      <c r="A27" s="16"/>
      <c r="B27" s="32"/>
      <c r="C27" s="32"/>
      <c r="D27" s="32"/>
      <c r="E27" s="32"/>
      <c r="F27" s="32"/>
      <c r="G27" s="32"/>
      <c r="H27" s="32"/>
      <c r="I27" s="32"/>
      <c r="J27" s="32"/>
      <c r="K27" s="32"/>
      <c r="L27" s="32"/>
      <c r="M27" s="32"/>
      <c r="N27" s="32"/>
      <c r="O27" s="32"/>
      <c r="P27" s="32"/>
      <c r="Q27" s="32"/>
      <c r="R27" s="32"/>
      <c r="S27" s="32"/>
      <c r="T27" s="32"/>
      <c r="U27" s="32"/>
      <c r="V27" s="32"/>
      <c r="W27" s="32"/>
      <c r="X27" s="16"/>
    </row>
    <row r="28" spans="1:24" ht="17.100000000000001" customHeight="1">
      <c r="A28" s="16"/>
      <c r="B28" s="16"/>
      <c r="C28" s="16"/>
      <c r="D28" s="16"/>
      <c r="E28" s="16"/>
      <c r="F28" s="16"/>
      <c r="G28" s="16"/>
      <c r="H28" s="16"/>
      <c r="I28" s="16"/>
      <c r="J28" s="16"/>
      <c r="K28" s="16"/>
      <c r="L28" s="16"/>
      <c r="M28" s="16"/>
      <c r="N28" s="16"/>
      <c r="O28" s="16"/>
      <c r="P28" s="16"/>
      <c r="Q28" s="16"/>
      <c r="R28" s="16"/>
      <c r="S28" s="16"/>
      <c r="T28" s="16"/>
      <c r="U28" s="16"/>
      <c r="V28" s="16"/>
      <c r="W28" s="16"/>
      <c r="X28" s="16"/>
    </row>
    <row r="29" spans="1:24" ht="17.100000000000001" customHeight="1">
      <c r="A29" s="16"/>
      <c r="B29" s="51" t="s">
        <v>7</v>
      </c>
      <c r="C29" s="51"/>
      <c r="D29" s="51"/>
      <c r="E29" s="51"/>
      <c r="F29" s="53" t="s">
        <v>65</v>
      </c>
      <c r="G29" s="53"/>
      <c r="H29" s="53"/>
      <c r="I29" s="53"/>
      <c r="J29" s="53"/>
      <c r="K29" s="53" t="s">
        <v>66</v>
      </c>
      <c r="L29" s="53"/>
      <c r="M29" s="53"/>
      <c r="N29" s="53"/>
      <c r="O29" s="53"/>
      <c r="P29" s="16"/>
      <c r="Q29" s="32" t="s">
        <v>10</v>
      </c>
      <c r="R29" s="32"/>
      <c r="S29" s="32"/>
      <c r="T29" s="32"/>
      <c r="U29" s="32"/>
      <c r="V29" s="32"/>
      <c r="W29" s="32"/>
      <c r="X29" s="16"/>
    </row>
    <row r="30" spans="1:24" ht="17.100000000000001" customHeight="1">
      <c r="A30" s="16"/>
      <c r="B30" s="52"/>
      <c r="C30" s="52"/>
      <c r="D30" s="52"/>
      <c r="E30" s="52"/>
      <c r="F30" s="54"/>
      <c r="G30" s="54"/>
      <c r="H30" s="54"/>
      <c r="I30" s="54"/>
      <c r="J30" s="54"/>
      <c r="K30" s="54"/>
      <c r="L30" s="54"/>
      <c r="M30" s="54"/>
      <c r="N30" s="54"/>
      <c r="O30" s="54"/>
      <c r="P30" s="29"/>
      <c r="Q30" s="55"/>
      <c r="R30" s="55"/>
      <c r="S30" s="55"/>
      <c r="T30" s="55"/>
      <c r="U30" s="55"/>
      <c r="V30" s="55"/>
      <c r="W30" s="55"/>
      <c r="X30" s="16"/>
    </row>
    <row r="31" spans="1:24" ht="17.100000000000001" customHeight="1">
      <c r="A31" s="16"/>
      <c r="B31" s="16"/>
      <c r="C31" s="16"/>
      <c r="D31" s="16"/>
      <c r="E31" s="16"/>
      <c r="F31" s="16"/>
      <c r="G31" s="16"/>
      <c r="H31" s="16"/>
      <c r="I31" s="16"/>
      <c r="J31" s="16"/>
      <c r="K31" s="16"/>
      <c r="L31" s="16"/>
      <c r="M31" s="16"/>
      <c r="N31" s="16"/>
      <c r="O31" s="16"/>
      <c r="P31" s="16"/>
      <c r="Q31" s="16"/>
      <c r="R31" s="16"/>
      <c r="S31" s="16"/>
      <c r="T31" s="16"/>
      <c r="U31" s="16"/>
      <c r="V31" s="16"/>
      <c r="W31" s="16"/>
      <c r="X31" s="16"/>
    </row>
    <row r="32" spans="1:24" ht="17.100000000000001" customHeight="1">
      <c r="A32" s="16"/>
      <c r="B32" s="56" t="s">
        <v>67</v>
      </c>
      <c r="C32" s="57"/>
      <c r="D32" s="57"/>
      <c r="E32" s="57"/>
      <c r="F32" s="57"/>
      <c r="G32" s="57"/>
      <c r="H32" s="57"/>
      <c r="I32" s="57"/>
      <c r="J32" s="57"/>
      <c r="K32" s="57"/>
      <c r="L32" s="57"/>
      <c r="M32" s="57"/>
      <c r="N32" s="57"/>
      <c r="O32" s="58"/>
      <c r="P32" s="16"/>
      <c r="Q32" s="56" t="s">
        <v>68</v>
      </c>
      <c r="R32" s="57"/>
      <c r="S32" s="57"/>
      <c r="T32" s="57"/>
      <c r="U32" s="57"/>
      <c r="V32" s="57"/>
      <c r="W32" s="58"/>
      <c r="X32" s="16"/>
    </row>
    <row r="33" spans="1:24" ht="17.100000000000001" customHeight="1">
      <c r="A33" s="16"/>
      <c r="B33" s="59"/>
      <c r="C33" s="60"/>
      <c r="D33" s="60"/>
      <c r="E33" s="60"/>
      <c r="F33" s="60"/>
      <c r="G33" s="60"/>
      <c r="H33" s="60"/>
      <c r="I33" s="60"/>
      <c r="J33" s="60"/>
      <c r="K33" s="60"/>
      <c r="L33" s="60"/>
      <c r="M33" s="60"/>
      <c r="N33" s="60"/>
      <c r="O33" s="61"/>
      <c r="P33" s="16"/>
      <c r="Q33" s="59"/>
      <c r="R33" s="60"/>
      <c r="S33" s="60"/>
      <c r="T33" s="60"/>
      <c r="U33" s="60"/>
      <c r="V33" s="60"/>
      <c r="W33" s="61"/>
      <c r="X33" s="16"/>
    </row>
    <row r="34" spans="1:24" ht="17.100000000000001" customHeight="1">
      <c r="A34" s="16"/>
      <c r="B34" s="22"/>
      <c r="C34" s="18"/>
      <c r="D34" s="18"/>
      <c r="E34" s="18"/>
      <c r="F34" s="18"/>
      <c r="G34" s="18"/>
      <c r="H34" s="18"/>
      <c r="I34" s="18"/>
      <c r="J34" s="18"/>
      <c r="K34" s="18"/>
      <c r="L34" s="18"/>
      <c r="M34" s="18"/>
      <c r="N34" s="18"/>
      <c r="O34" s="23"/>
      <c r="P34" s="16"/>
      <c r="Q34" s="22"/>
      <c r="R34" s="18"/>
      <c r="S34" s="18"/>
      <c r="T34" s="18"/>
      <c r="U34" s="18"/>
      <c r="V34" s="18"/>
      <c r="W34" s="23"/>
      <c r="X34" s="16"/>
    </row>
    <row r="35" spans="1:24" ht="17.100000000000001" customHeight="1">
      <c r="A35" s="16"/>
      <c r="B35" s="45" t="s">
        <v>69</v>
      </c>
      <c r="C35" s="46"/>
      <c r="D35" s="46"/>
      <c r="E35" s="46"/>
      <c r="F35" s="46"/>
      <c r="G35" s="46" t="s">
        <v>70</v>
      </c>
      <c r="H35" s="46"/>
      <c r="I35" s="46"/>
      <c r="J35" s="46"/>
      <c r="K35" s="46"/>
      <c r="L35" s="46" t="s">
        <v>71</v>
      </c>
      <c r="M35" s="46"/>
      <c r="N35" s="46"/>
      <c r="O35" s="64"/>
      <c r="P35" s="16"/>
      <c r="Q35" s="45" t="s">
        <v>72</v>
      </c>
      <c r="R35" s="46"/>
      <c r="S35" s="46"/>
      <c r="T35" s="46"/>
      <c r="U35" s="93" t="str">
        <f>IF(ISNUMBER(IF('ETF Data'!$H$2,'ETF Data'!$B$58,"Refresh required")),TEXT(IF('ETF Data'!$H$2,'ETF Data'!$B$58,"Refresh required"),"0.00%"),IF('ETF Data'!$H$2,'ETF Data'!$B$58,"Refresh required"))</f>
        <v>0.09%</v>
      </c>
      <c r="V35" s="93"/>
      <c r="W35" s="94"/>
      <c r="X35" s="16"/>
    </row>
    <row r="36" spans="1:24" ht="17.100000000000001" customHeight="1">
      <c r="A36" s="16"/>
      <c r="B36" s="62">
        <f>IF('ETF Data'!$H$2,IF('ETF Data'!P2="","",IF('ETF Data'!Q2="","",'ETF Data'!Q2)),"")</f>
        <v>0.1507</v>
      </c>
      <c r="C36" s="63"/>
      <c r="D36" s="63"/>
      <c r="E36" s="63"/>
      <c r="F36" s="63"/>
      <c r="G36" s="63">
        <f>IF('ETF Data'!$H$2,IF('ETF Data'!P3="","",IF('ETF Data'!Q3="","",'ETF Data'!Q3)),"")</f>
        <v>0.16919999999999999</v>
      </c>
      <c r="H36" s="63"/>
      <c r="I36" s="63"/>
      <c r="J36" s="63"/>
      <c r="K36" s="63"/>
      <c r="L36" s="63">
        <f>IF('ETF Data'!$H$2,IF('ETF Data'!P4="","",IF('ETF Data'!Q4="","",'ETF Data'!Q4)),"")</f>
        <v>0.23849999999999999</v>
      </c>
      <c r="M36" s="63"/>
      <c r="N36" s="63"/>
      <c r="O36" s="106"/>
      <c r="P36" s="16"/>
      <c r="Q36" s="91"/>
      <c r="R36" s="92"/>
      <c r="S36" s="92"/>
      <c r="T36" s="92"/>
      <c r="U36" s="95"/>
      <c r="V36" s="95"/>
      <c r="W36" s="96"/>
      <c r="X36" s="16"/>
    </row>
    <row r="37" spans="1:24" ht="17.100000000000001" customHeight="1">
      <c r="A37" s="16"/>
      <c r="B37" s="62"/>
      <c r="C37" s="63"/>
      <c r="D37" s="63"/>
      <c r="E37" s="63"/>
      <c r="F37" s="63"/>
      <c r="G37" s="63"/>
      <c r="H37" s="63"/>
      <c r="I37" s="63"/>
      <c r="J37" s="63"/>
      <c r="K37" s="63"/>
      <c r="L37" s="63"/>
      <c r="M37" s="63"/>
      <c r="N37" s="63"/>
      <c r="O37" s="106"/>
      <c r="P37" s="16"/>
      <c r="Q37" s="45" t="str">
        <f>"As of "&amp;'ETF Data'!$D$58</f>
        <v>As of 46307</v>
      </c>
      <c r="R37" s="46"/>
      <c r="S37" s="46"/>
      <c r="T37" s="46"/>
      <c r="U37" s="46"/>
      <c r="V37" s="46"/>
      <c r="W37" s="64"/>
      <c r="X37" s="16"/>
    </row>
    <row r="38" spans="1:24" ht="17.100000000000001" customHeight="1">
      <c r="A38" s="16"/>
      <c r="B38" s="22"/>
      <c r="C38" s="18"/>
      <c r="D38" s="18"/>
      <c r="E38" s="18"/>
      <c r="F38" s="18"/>
      <c r="G38" s="18"/>
      <c r="H38" s="18"/>
      <c r="I38" s="18"/>
      <c r="J38" s="18"/>
      <c r="K38" s="18"/>
      <c r="L38" s="18"/>
      <c r="M38" s="18"/>
      <c r="N38" s="18"/>
      <c r="O38" s="23"/>
      <c r="P38" s="16"/>
      <c r="Q38" s="45"/>
      <c r="R38" s="46"/>
      <c r="S38" s="46"/>
      <c r="T38" s="46"/>
      <c r="U38" s="46"/>
      <c r="V38" s="46"/>
      <c r="W38" s="64"/>
      <c r="X38" s="16"/>
    </row>
    <row r="39" spans="1:24" ht="17.100000000000001" customHeight="1">
      <c r="A39" s="16"/>
      <c r="B39" s="22"/>
      <c r="C39" s="18"/>
      <c r="D39" s="18"/>
      <c r="E39" s="18"/>
      <c r="F39" s="18"/>
      <c r="G39" s="18"/>
      <c r="H39" s="18"/>
      <c r="I39" s="18"/>
      <c r="J39" s="18"/>
      <c r="K39" s="18"/>
      <c r="L39" s="18"/>
      <c r="M39" s="18"/>
      <c r="N39" s="18"/>
      <c r="O39" s="23"/>
      <c r="P39" s="16"/>
      <c r="Q39" s="45" t="s">
        <v>73</v>
      </c>
      <c r="R39" s="46"/>
      <c r="S39" s="46"/>
      <c r="T39" s="46"/>
      <c r="U39" s="93" t="str">
        <f>IF(ISNUMBER(IF('ETF Data'!$H$2,'ETF Data'!$B$57,"Refresh required")),TEXT(IF('ETF Data'!$H$2,'ETF Data'!$B$57,"Refresh required"),"0.00%"),IF('ETF Data'!$H$2,'ETF Data'!$B$57,"Refresh required"))</f>
        <v>0.09%</v>
      </c>
      <c r="V39" s="93"/>
      <c r="W39" s="94"/>
      <c r="X39" s="16"/>
    </row>
    <row r="40" spans="1:24" ht="17.100000000000001" customHeight="1">
      <c r="A40" s="16"/>
      <c r="B40" s="22"/>
      <c r="C40" s="18"/>
      <c r="D40" s="18"/>
      <c r="E40" s="18"/>
      <c r="F40" s="18"/>
      <c r="G40" s="18"/>
      <c r="H40" s="18"/>
      <c r="I40" s="18"/>
      <c r="J40" s="18"/>
      <c r="K40" s="18"/>
      <c r="L40" s="18"/>
      <c r="M40" s="18"/>
      <c r="N40" s="18"/>
      <c r="O40" s="23"/>
      <c r="P40" s="16"/>
      <c r="Q40" s="91"/>
      <c r="R40" s="92"/>
      <c r="S40" s="92"/>
      <c r="T40" s="92"/>
      <c r="U40" s="95"/>
      <c r="V40" s="95"/>
      <c r="W40" s="96"/>
      <c r="X40" s="16"/>
    </row>
    <row r="41" spans="1:24" ht="17.100000000000001" customHeight="1">
      <c r="A41" s="16"/>
      <c r="B41" s="22"/>
      <c r="C41" s="18"/>
      <c r="D41" s="18"/>
      <c r="E41" s="18"/>
      <c r="F41" s="18"/>
      <c r="G41" s="18"/>
      <c r="H41" s="18"/>
      <c r="I41" s="18"/>
      <c r="J41" s="18"/>
      <c r="K41" s="18"/>
      <c r="L41" s="18"/>
      <c r="M41" s="18"/>
      <c r="N41" s="18"/>
      <c r="O41" s="23"/>
      <c r="P41" s="16"/>
      <c r="Q41" s="45" t="str">
        <f>"As of "&amp;'ETF Data'!$D$57</f>
        <v>As of 46295</v>
      </c>
      <c r="R41" s="46"/>
      <c r="S41" s="46"/>
      <c r="T41" s="46"/>
      <c r="U41" s="46"/>
      <c r="V41" s="46"/>
      <c r="W41" s="64"/>
      <c r="X41" s="16"/>
    </row>
    <row r="42" spans="1:24" ht="17.100000000000001" customHeight="1">
      <c r="A42" s="16"/>
      <c r="B42" s="22"/>
      <c r="C42" s="18"/>
      <c r="D42" s="18"/>
      <c r="E42" s="18"/>
      <c r="F42" s="18"/>
      <c r="G42" s="18"/>
      <c r="H42" s="18"/>
      <c r="I42" s="18"/>
      <c r="J42" s="18"/>
      <c r="K42" s="18"/>
      <c r="L42" s="18"/>
      <c r="M42" s="18"/>
      <c r="N42" s="18"/>
      <c r="O42" s="23"/>
      <c r="P42" s="16"/>
      <c r="Q42" s="45"/>
      <c r="R42" s="46"/>
      <c r="S42" s="46"/>
      <c r="T42" s="46"/>
      <c r="U42" s="46"/>
      <c r="V42" s="46"/>
      <c r="W42" s="64"/>
      <c r="X42" s="16"/>
    </row>
    <row r="43" spans="1:24" ht="17.100000000000001" customHeight="1">
      <c r="A43" s="16"/>
      <c r="B43" s="22"/>
      <c r="C43" s="18"/>
      <c r="D43" s="18"/>
      <c r="E43" s="18"/>
      <c r="F43" s="18"/>
      <c r="G43" s="18"/>
      <c r="H43" s="18"/>
      <c r="I43" s="18"/>
      <c r="J43" s="18"/>
      <c r="K43" s="18"/>
      <c r="L43" s="18"/>
      <c r="M43" s="18"/>
      <c r="N43" s="18"/>
      <c r="O43" s="23"/>
      <c r="P43" s="16"/>
      <c r="Q43" s="45" t="s">
        <v>74</v>
      </c>
      <c r="R43" s="46"/>
      <c r="S43" s="46"/>
      <c r="T43" s="46"/>
      <c r="U43" s="93" t="str">
        <f>IF(ISNUMBER(IF('ETF Data'!$H$2,'ETF Data'!$B$73,"Refresh required")),TEXT(IF('ETF Data'!$H$2,'ETF Data'!$B$73,"Refresh required"),"$0.00"),IF('ETF Data'!$H$2,'ETF Data'!$B$73,"Refresh required"))</f>
        <v>$778.45</v>
      </c>
      <c r="V43" s="93"/>
      <c r="W43" s="94"/>
      <c r="X43" s="16"/>
    </row>
    <row r="44" spans="1:24" ht="17.100000000000001" customHeight="1">
      <c r="A44" s="16"/>
      <c r="B44" s="22"/>
      <c r="C44" s="18"/>
      <c r="D44" s="18"/>
      <c r="E44" s="18"/>
      <c r="F44" s="18"/>
      <c r="G44" s="18"/>
      <c r="H44" s="18"/>
      <c r="I44" s="18"/>
      <c r="J44" s="18"/>
      <c r="K44" s="18"/>
      <c r="L44" s="18"/>
      <c r="M44" s="18"/>
      <c r="N44" s="18"/>
      <c r="O44" s="23"/>
      <c r="P44" s="16"/>
      <c r="Q44" s="91"/>
      <c r="R44" s="92"/>
      <c r="S44" s="92"/>
      <c r="T44" s="92"/>
      <c r="U44" s="95"/>
      <c r="V44" s="95"/>
      <c r="W44" s="96"/>
      <c r="X44" s="16"/>
    </row>
    <row r="45" spans="1:24" ht="17.100000000000001" customHeight="1">
      <c r="A45" s="16"/>
      <c r="B45" s="22"/>
      <c r="C45" s="18"/>
      <c r="D45" s="18"/>
      <c r="E45" s="18"/>
      <c r="F45" s="18"/>
      <c r="G45" s="18"/>
      <c r="H45" s="18"/>
      <c r="I45" s="18"/>
      <c r="J45" s="18"/>
      <c r="K45" s="18"/>
      <c r="L45" s="18"/>
      <c r="M45" s="18"/>
      <c r="N45" s="18"/>
      <c r="O45" s="23"/>
      <c r="P45" s="16"/>
      <c r="Q45" s="22"/>
      <c r="R45" s="18"/>
      <c r="S45" s="18"/>
      <c r="T45" s="18"/>
      <c r="U45" s="18"/>
      <c r="V45" s="18"/>
      <c r="W45" s="23"/>
      <c r="X45" s="16"/>
    </row>
    <row r="46" spans="1:24" ht="17.100000000000001" customHeight="1">
      <c r="A46" s="16"/>
      <c r="B46" s="22"/>
      <c r="C46" s="18"/>
      <c r="D46" s="18"/>
      <c r="E46" s="18"/>
      <c r="F46" s="18"/>
      <c r="G46" s="18"/>
      <c r="H46" s="18"/>
      <c r="I46" s="18"/>
      <c r="J46" s="18"/>
      <c r="K46" s="18"/>
      <c r="L46" s="18"/>
      <c r="M46" s="18"/>
      <c r="N46" s="18"/>
      <c r="O46" s="23"/>
      <c r="P46" s="16"/>
      <c r="Q46" s="45" t="s">
        <v>75</v>
      </c>
      <c r="R46" s="46"/>
      <c r="S46" s="46"/>
      <c r="T46" s="46"/>
      <c r="U46" s="46"/>
      <c r="V46" s="46"/>
      <c r="W46" s="64"/>
      <c r="X46" s="16"/>
    </row>
    <row r="47" spans="1:24" ht="17.100000000000001" customHeight="1">
      <c r="A47" s="16"/>
      <c r="B47" s="22"/>
      <c r="C47" s="18"/>
      <c r="D47" s="18"/>
      <c r="E47" s="18"/>
      <c r="F47" s="18"/>
      <c r="G47" s="18"/>
      <c r="H47" s="18"/>
      <c r="I47" s="18"/>
      <c r="J47" s="18"/>
      <c r="K47" s="18"/>
      <c r="L47" s="18"/>
      <c r="M47" s="18"/>
      <c r="N47" s="18"/>
      <c r="O47" s="23"/>
      <c r="P47" s="16"/>
      <c r="Q47" s="45"/>
      <c r="R47" s="46"/>
      <c r="S47" s="46"/>
      <c r="T47" s="46"/>
      <c r="U47" s="46"/>
      <c r="V47" s="46"/>
      <c r="W47" s="64"/>
      <c r="X47" s="16"/>
    </row>
    <row r="48" spans="1:24" ht="17.100000000000001" customHeight="1">
      <c r="A48" s="16"/>
      <c r="B48" s="22"/>
      <c r="C48" s="18"/>
      <c r="D48" s="18"/>
      <c r="E48" s="18"/>
      <c r="F48" s="18"/>
      <c r="G48" s="18"/>
      <c r="H48" s="18"/>
      <c r="I48" s="18"/>
      <c r="J48" s="18"/>
      <c r="K48" s="18"/>
      <c r="L48" s="18"/>
      <c r="M48" s="18"/>
      <c r="N48" s="18"/>
      <c r="O48" s="23"/>
      <c r="P48" s="16"/>
      <c r="Q48" s="45"/>
      <c r="R48" s="46"/>
      <c r="S48" s="46"/>
      <c r="T48" s="46"/>
      <c r="U48" s="46"/>
      <c r="V48" s="46"/>
      <c r="W48" s="64"/>
      <c r="X48" s="16"/>
    </row>
    <row r="49" spans="1:24" ht="17.100000000000001" customHeight="1">
      <c r="A49" s="16"/>
      <c r="B49" s="22"/>
      <c r="C49" s="18"/>
      <c r="D49" s="18"/>
      <c r="E49" s="18"/>
      <c r="F49" s="18"/>
      <c r="G49" s="18"/>
      <c r="H49" s="18"/>
      <c r="I49" s="18"/>
      <c r="J49" s="18"/>
      <c r="K49" s="18"/>
      <c r="L49" s="18"/>
      <c r="M49" s="18"/>
      <c r="N49" s="18"/>
      <c r="O49" s="23"/>
      <c r="P49" s="16"/>
      <c r="Q49" s="45" t="s">
        <v>26</v>
      </c>
      <c r="R49" s="46"/>
      <c r="S49" s="46"/>
      <c r="T49" s="46"/>
      <c r="U49" s="93" t="str">
        <f>IF(ISNUMBER(IF('ETF Data'!$H$2,'ETF Data'!$B$49,"Refresh required")),TEXT(IF('ETF Data'!$H$2,'ETF Data'!$B$49,"Refresh required"),"0.00,,""M"""),IF('ETF Data'!$H$2,'ETF Data'!$B$49,"Refresh required"))</f>
        <v>1055.53M</v>
      </c>
      <c r="V49" s="93"/>
      <c r="W49" s="94"/>
      <c r="X49" s="16"/>
    </row>
    <row r="50" spans="1:24" ht="17.100000000000001" customHeight="1">
      <c r="A50" s="16"/>
      <c r="B50" s="22"/>
      <c r="C50" s="18"/>
      <c r="D50" s="18"/>
      <c r="E50" s="18"/>
      <c r="F50" s="18"/>
      <c r="G50" s="18"/>
      <c r="H50" s="18"/>
      <c r="I50" s="18"/>
      <c r="J50" s="18"/>
      <c r="K50" s="18"/>
      <c r="L50" s="18"/>
      <c r="M50" s="18"/>
      <c r="N50" s="18"/>
      <c r="O50" s="23"/>
      <c r="P50" s="16"/>
      <c r="Q50" s="91"/>
      <c r="R50" s="92"/>
      <c r="S50" s="92"/>
      <c r="T50" s="92"/>
      <c r="U50" s="95"/>
      <c r="V50" s="95"/>
      <c r="W50" s="96"/>
      <c r="X50" s="16"/>
    </row>
    <row r="51" spans="1:24" ht="17.100000000000001" customHeight="1">
      <c r="A51" s="16"/>
      <c r="B51" s="22"/>
      <c r="C51" s="18"/>
      <c r="D51" s="18"/>
      <c r="E51" s="18"/>
      <c r="F51" s="18"/>
      <c r="G51" s="18"/>
      <c r="H51" s="18"/>
      <c r="I51" s="18"/>
      <c r="J51" s="18"/>
      <c r="K51" s="18"/>
      <c r="L51" s="18"/>
      <c r="M51" s="18"/>
      <c r="N51" s="18"/>
      <c r="O51" s="23"/>
      <c r="P51" s="16"/>
      <c r="Q51" s="22"/>
      <c r="R51" s="18"/>
      <c r="S51" s="18"/>
      <c r="T51" s="18"/>
      <c r="U51" s="18"/>
      <c r="V51" s="18"/>
      <c r="W51" s="23"/>
      <c r="X51" s="16"/>
    </row>
    <row r="52" spans="1:24" ht="17.100000000000001" customHeight="1">
      <c r="A52" s="16"/>
      <c r="B52" s="22"/>
      <c r="C52" s="18"/>
      <c r="D52" s="18"/>
      <c r="E52" s="18"/>
      <c r="F52" s="18"/>
      <c r="G52" s="18"/>
      <c r="H52" s="18"/>
      <c r="I52" s="18"/>
      <c r="J52" s="18"/>
      <c r="K52" s="18"/>
      <c r="L52" s="18"/>
      <c r="M52" s="18"/>
      <c r="N52" s="18"/>
      <c r="O52" s="23"/>
      <c r="P52" s="16"/>
      <c r="Q52" s="24"/>
      <c r="R52" s="25"/>
      <c r="S52" s="25"/>
      <c r="T52" s="25"/>
      <c r="U52" s="25"/>
      <c r="V52" s="25"/>
      <c r="W52" s="26"/>
      <c r="X52" s="16"/>
    </row>
    <row r="53" spans="1:24" ht="17.100000000000001" customHeight="1">
      <c r="A53" s="16"/>
      <c r="B53" s="22"/>
      <c r="C53" s="18"/>
      <c r="D53" s="18"/>
      <c r="E53" s="18"/>
      <c r="F53" s="18"/>
      <c r="G53" s="18"/>
      <c r="H53" s="18"/>
      <c r="I53" s="18"/>
      <c r="J53" s="18"/>
      <c r="K53" s="18"/>
      <c r="L53" s="18"/>
      <c r="M53" s="18"/>
      <c r="N53" s="18"/>
      <c r="O53" s="23"/>
      <c r="P53" s="16"/>
      <c r="Q53" s="16"/>
      <c r="R53" s="16"/>
      <c r="S53" s="16"/>
      <c r="T53" s="16"/>
      <c r="U53" s="16"/>
      <c r="V53" s="16"/>
      <c r="W53" s="16"/>
      <c r="X53" s="16"/>
    </row>
    <row r="54" spans="1:24" ht="17.100000000000001" customHeight="1">
      <c r="A54" s="16"/>
      <c r="B54" s="22"/>
      <c r="C54" s="18"/>
      <c r="D54" s="18"/>
      <c r="E54" s="18"/>
      <c r="F54" s="18"/>
      <c r="G54" s="18"/>
      <c r="H54" s="18"/>
      <c r="I54" s="18"/>
      <c r="J54" s="18"/>
      <c r="K54" s="18"/>
      <c r="L54" s="18"/>
      <c r="M54" s="18"/>
      <c r="N54" s="18"/>
      <c r="O54" s="23"/>
      <c r="P54" s="16"/>
      <c r="Q54" s="16"/>
      <c r="R54" s="16"/>
      <c r="S54" s="16"/>
      <c r="T54" s="16"/>
      <c r="U54" s="16"/>
      <c r="V54" s="16"/>
      <c r="W54" s="16"/>
      <c r="X54" s="16"/>
    </row>
    <row r="55" spans="1:24" ht="17.100000000000001" customHeight="1">
      <c r="A55" s="16"/>
      <c r="B55" s="22"/>
      <c r="C55" s="18"/>
      <c r="D55" s="18"/>
      <c r="E55" s="18"/>
      <c r="F55" s="18"/>
      <c r="G55" s="18"/>
      <c r="H55" s="18"/>
      <c r="I55" s="18"/>
      <c r="J55" s="18"/>
      <c r="K55" s="18"/>
      <c r="L55" s="18"/>
      <c r="M55" s="18"/>
      <c r="N55" s="18"/>
      <c r="O55" s="23"/>
      <c r="P55" s="16"/>
      <c r="Q55" s="56" t="s">
        <v>76</v>
      </c>
      <c r="R55" s="57"/>
      <c r="S55" s="57"/>
      <c r="T55" s="57"/>
      <c r="U55" s="57"/>
      <c r="V55" s="57"/>
      <c r="W55" s="58"/>
      <c r="X55" s="16"/>
    </row>
    <row r="56" spans="1:24" ht="17.100000000000001" customHeight="1">
      <c r="A56" s="16"/>
      <c r="B56" s="22"/>
      <c r="C56" s="18"/>
      <c r="D56" s="18"/>
      <c r="E56" s="18"/>
      <c r="F56" s="18"/>
      <c r="G56" s="18"/>
      <c r="H56" s="18"/>
      <c r="I56" s="18"/>
      <c r="J56" s="18"/>
      <c r="K56" s="18"/>
      <c r="L56" s="18"/>
      <c r="M56" s="18"/>
      <c r="N56" s="18"/>
      <c r="O56" s="23"/>
      <c r="P56" s="16"/>
      <c r="Q56" s="59"/>
      <c r="R56" s="60"/>
      <c r="S56" s="60"/>
      <c r="T56" s="60"/>
      <c r="U56" s="60"/>
      <c r="V56" s="60"/>
      <c r="W56" s="61"/>
      <c r="X56" s="16"/>
    </row>
    <row r="57" spans="1:24" ht="17.100000000000001" customHeight="1">
      <c r="A57" s="16"/>
      <c r="B57" s="45" t="s">
        <v>77</v>
      </c>
      <c r="C57" s="46"/>
      <c r="D57" s="46"/>
      <c r="E57" s="46"/>
      <c r="F57" s="46"/>
      <c r="G57" s="46"/>
      <c r="H57" s="46"/>
      <c r="I57" s="46"/>
      <c r="J57" s="46"/>
      <c r="K57" s="46"/>
      <c r="L57" s="46"/>
      <c r="M57" s="46"/>
      <c r="N57" s="46"/>
      <c r="O57" s="64"/>
      <c r="P57" s="16"/>
      <c r="Q57" s="22"/>
      <c r="R57" s="18"/>
      <c r="S57" s="18"/>
      <c r="T57" s="18"/>
      <c r="U57" s="18"/>
      <c r="V57" s="18"/>
      <c r="W57" s="23"/>
      <c r="X57" s="16"/>
    </row>
    <row r="58" spans="1:24" ht="17.100000000000001" customHeight="1">
      <c r="A58" s="16"/>
      <c r="B58" s="45"/>
      <c r="C58" s="46"/>
      <c r="D58" s="46"/>
      <c r="E58" s="46"/>
      <c r="F58" s="46"/>
      <c r="G58" s="46"/>
      <c r="H58" s="46"/>
      <c r="I58" s="46"/>
      <c r="J58" s="46"/>
      <c r="K58" s="46"/>
      <c r="L58" s="46"/>
      <c r="M58" s="46"/>
      <c r="N58" s="46"/>
      <c r="O58" s="64"/>
      <c r="P58" s="16"/>
      <c r="Q58" s="45" t="s">
        <v>78</v>
      </c>
      <c r="R58" s="46"/>
      <c r="S58" s="46"/>
      <c r="T58" s="46"/>
      <c r="U58" s="93" t="str">
        <f>IF(ISNUMBER(IF('ETF Data'!$H$2,'ETF Data'!$B$71,"Refresh required")),TEXT(IF('ETF Data'!$H$2,'ETF Data'!$B$71,"Refresh required"),"0.00%"),IF('ETF Data'!$H$2,'ETF Data'!$B$71,"Refresh required"))</f>
        <v>13.75%</v>
      </c>
      <c r="V58" s="93"/>
      <c r="W58" s="94"/>
      <c r="X58" s="16"/>
    </row>
    <row r="59" spans="1:24" ht="17.100000000000001" customHeight="1">
      <c r="A59" s="16"/>
      <c r="B59" s="22"/>
      <c r="C59" s="18"/>
      <c r="D59" s="18"/>
      <c r="E59" s="18"/>
      <c r="F59" s="18"/>
      <c r="G59" s="18"/>
      <c r="H59" s="18"/>
      <c r="I59" s="18"/>
      <c r="J59" s="18"/>
      <c r="K59" s="18"/>
      <c r="L59" s="18"/>
      <c r="M59" s="18"/>
      <c r="N59" s="18"/>
      <c r="O59" s="23"/>
      <c r="P59" s="16"/>
      <c r="Q59" s="91"/>
      <c r="R59" s="92"/>
      <c r="S59" s="92"/>
      <c r="T59" s="92"/>
      <c r="U59" s="95"/>
      <c r="V59" s="95"/>
      <c r="W59" s="96"/>
      <c r="X59" s="16"/>
    </row>
    <row r="60" spans="1:24" ht="17.100000000000001" customHeight="1">
      <c r="A60" s="16"/>
      <c r="B60" s="45" t="s">
        <v>79</v>
      </c>
      <c r="C60" s="46"/>
      <c r="D60" s="46"/>
      <c r="E60" s="46"/>
      <c r="F60" s="46"/>
      <c r="G60" s="18"/>
      <c r="H60" s="46" t="s">
        <v>80</v>
      </c>
      <c r="I60" s="46"/>
      <c r="J60" s="46"/>
      <c r="K60" s="46"/>
      <c r="L60" s="46"/>
      <c r="M60" s="46"/>
      <c r="N60" s="46"/>
      <c r="O60" s="64"/>
      <c r="P60" s="16"/>
      <c r="Q60" s="22"/>
      <c r="R60" s="18"/>
      <c r="S60" s="18"/>
      <c r="T60" s="18"/>
      <c r="U60" s="18"/>
      <c r="V60" s="18"/>
      <c r="W60" s="23"/>
      <c r="X60" s="16"/>
    </row>
    <row r="61" spans="1:24" ht="17.100000000000001" customHeight="1">
      <c r="A61" s="16"/>
      <c r="B61" s="62">
        <f>IF('ETF Data'!$H$2,IF('ETF Data'!P5="","",IF('ETF Data'!Q5="","",'ETF Data'!Q5)),"")</f>
        <v>0.13900000000000001</v>
      </c>
      <c r="C61" s="63"/>
      <c r="D61" s="63"/>
      <c r="E61" s="63"/>
      <c r="F61" s="63"/>
      <c r="G61" s="18"/>
      <c r="H61" s="63">
        <f>IF('ETF Data'!$H$2,IF('ETF Data'!P6="","",IF('ETF Data'!Q6="","",'ETF Data'!Q6)),"")</f>
        <v>0.15559999999999999</v>
      </c>
      <c r="I61" s="63"/>
      <c r="J61" s="63"/>
      <c r="K61" s="63"/>
      <c r="L61" s="63"/>
      <c r="M61" s="63"/>
      <c r="N61" s="63"/>
      <c r="O61" s="106"/>
      <c r="P61" s="16"/>
      <c r="Q61" s="45" t="s">
        <v>81</v>
      </c>
      <c r="R61" s="46"/>
      <c r="S61" s="46"/>
      <c r="T61" s="46"/>
      <c r="U61" s="93" t="str">
        <f>IF(ISNUMBER(IF('ETF Data'!$H$2,'ETF Data'!$B$51,"Refresh required")),TEXT(IF('ETF Data'!$H$2,'ETF Data'!$B$51,"Refresh required"),"0.00"),IF('ETF Data'!$H$2,'ETF Data'!$B$51,"Refresh required"))</f>
        <v>1.00</v>
      </c>
      <c r="V61" s="93"/>
      <c r="W61" s="94"/>
      <c r="X61" s="16"/>
    </row>
    <row r="62" spans="1:24" ht="17.100000000000001" customHeight="1">
      <c r="A62" s="16"/>
      <c r="B62" s="62"/>
      <c r="C62" s="63"/>
      <c r="D62" s="63"/>
      <c r="E62" s="63"/>
      <c r="F62" s="63"/>
      <c r="G62" s="18"/>
      <c r="H62" s="63"/>
      <c r="I62" s="63"/>
      <c r="J62" s="63"/>
      <c r="K62" s="63"/>
      <c r="L62" s="63"/>
      <c r="M62" s="63"/>
      <c r="N62" s="63"/>
      <c r="O62" s="106"/>
      <c r="P62" s="16"/>
      <c r="Q62" s="91"/>
      <c r="R62" s="92"/>
      <c r="S62" s="92"/>
      <c r="T62" s="92"/>
      <c r="U62" s="95"/>
      <c r="V62" s="95"/>
      <c r="W62" s="96"/>
      <c r="X62" s="16"/>
    </row>
    <row r="63" spans="1:24" ht="17.100000000000001" customHeight="1">
      <c r="A63" s="16"/>
      <c r="B63" s="22"/>
      <c r="C63" s="18"/>
      <c r="D63" s="18"/>
      <c r="E63" s="18"/>
      <c r="F63" s="18"/>
      <c r="G63" s="18"/>
      <c r="H63" s="18"/>
      <c r="I63" s="18"/>
      <c r="J63" s="18"/>
      <c r="K63" s="18"/>
      <c r="L63" s="18"/>
      <c r="M63" s="18"/>
      <c r="N63" s="18"/>
      <c r="O63" s="23"/>
      <c r="P63" s="16"/>
      <c r="Q63" s="22"/>
      <c r="R63" s="18"/>
      <c r="S63" s="18"/>
      <c r="T63" s="18"/>
      <c r="U63" s="18"/>
      <c r="V63" s="18"/>
      <c r="W63" s="23"/>
      <c r="X63" s="16"/>
    </row>
    <row r="64" spans="1:24" ht="17.100000000000001" customHeight="1">
      <c r="A64" s="16"/>
      <c r="B64" s="45" t="str">
        <f>"Performance as of "&amp;IF('ETF Data'!$H$2,'ETF Data'!$B$92,"Refresh required")</f>
        <v>Performance as of 46304</v>
      </c>
      <c r="C64" s="46"/>
      <c r="D64" s="46"/>
      <c r="E64" s="46"/>
      <c r="F64" s="46"/>
      <c r="G64" s="46"/>
      <c r="H64" s="46"/>
      <c r="I64" s="46"/>
      <c r="J64" s="46"/>
      <c r="K64" s="46"/>
      <c r="L64" s="46"/>
      <c r="M64" s="46"/>
      <c r="N64" s="46"/>
      <c r="O64" s="64"/>
      <c r="P64" s="16"/>
      <c r="Q64" s="45" t="s">
        <v>82</v>
      </c>
      <c r="R64" s="46"/>
      <c r="S64" s="46"/>
      <c r="T64" s="46"/>
      <c r="U64" s="93" t="str">
        <f>IF(ISNUMBER(IF('ETF Data'!$H$2,'ETF Data'!$B$72,"Refresh required")),TEXT(IF('ETF Data'!$H$2,'ETF Data'!$B$72,"Refresh required"),"0.00"),IF('ETF Data'!$H$2,'ETF Data'!$B$72,"Refresh required"))</f>
        <v>0.92</v>
      </c>
      <c r="V64" s="93"/>
      <c r="W64" s="94"/>
      <c r="X64" s="16"/>
    </row>
    <row r="65" spans="1:24" ht="17.100000000000001" customHeight="1">
      <c r="A65" s="16"/>
      <c r="B65" s="47"/>
      <c r="C65" s="48"/>
      <c r="D65" s="48"/>
      <c r="E65" s="48"/>
      <c r="F65" s="48"/>
      <c r="G65" s="48"/>
      <c r="H65" s="48"/>
      <c r="I65" s="48"/>
      <c r="J65" s="48"/>
      <c r="K65" s="48"/>
      <c r="L65" s="48"/>
      <c r="M65" s="48"/>
      <c r="N65" s="48"/>
      <c r="O65" s="69"/>
      <c r="P65" s="16"/>
      <c r="Q65" s="91"/>
      <c r="R65" s="92"/>
      <c r="S65" s="92"/>
      <c r="T65" s="92"/>
      <c r="U65" s="95"/>
      <c r="V65" s="95"/>
      <c r="W65" s="96"/>
      <c r="X65" s="16"/>
    </row>
    <row r="66" spans="1:24" ht="17.100000000000001" customHeight="1">
      <c r="A66" s="16"/>
      <c r="B66" s="16"/>
      <c r="C66" s="16"/>
      <c r="D66" s="16"/>
      <c r="E66" s="16"/>
      <c r="F66" s="16"/>
      <c r="G66" s="16"/>
      <c r="H66" s="16"/>
      <c r="I66" s="16"/>
      <c r="J66" s="16"/>
      <c r="K66" s="16"/>
      <c r="L66" s="16"/>
      <c r="M66" s="16"/>
      <c r="N66" s="16"/>
      <c r="O66" s="16"/>
      <c r="P66" s="16"/>
      <c r="Q66" s="22"/>
      <c r="R66" s="18"/>
      <c r="S66" s="18"/>
      <c r="T66" s="18"/>
      <c r="U66" s="18"/>
      <c r="V66" s="18"/>
      <c r="W66" s="23"/>
      <c r="X66" s="16"/>
    </row>
    <row r="67" spans="1:24" ht="17.100000000000001" customHeight="1">
      <c r="A67" s="16"/>
      <c r="B67" s="16"/>
      <c r="C67" s="16"/>
      <c r="D67" s="16"/>
      <c r="E67" s="16"/>
      <c r="F67" s="16"/>
      <c r="G67" s="16"/>
      <c r="H67" s="16"/>
      <c r="I67" s="16"/>
      <c r="J67" s="16"/>
      <c r="K67" s="16"/>
      <c r="L67" s="16"/>
      <c r="M67" s="16"/>
      <c r="N67" s="16"/>
      <c r="O67" s="16"/>
      <c r="P67" s="16"/>
      <c r="Q67" s="45" t="s">
        <v>83</v>
      </c>
      <c r="R67" s="46"/>
      <c r="S67" s="46"/>
      <c r="T67" s="46"/>
      <c r="U67" s="93" t="str">
        <f>IF(ISNUMBER(IF('ETF Data'!$H$2,'ETF Data'!$B$70,"Refresh required")),TEXT(IF('ETF Data'!$H$2,'ETF Data'!$B$70,"Refresh required"),"0.00%"),IF('ETF Data'!$H$2,'ETF Data'!$B$70,"Refresh required"))</f>
        <v>100.00%</v>
      </c>
      <c r="V67" s="93"/>
      <c r="W67" s="94"/>
      <c r="X67" s="16"/>
    </row>
    <row r="68" spans="1:24" ht="17.100000000000001" customHeight="1">
      <c r="A68" s="16"/>
      <c r="B68" s="56" t="s">
        <v>84</v>
      </c>
      <c r="C68" s="57"/>
      <c r="D68" s="57"/>
      <c r="E68" s="57"/>
      <c r="F68" s="57"/>
      <c r="G68" s="57"/>
      <c r="H68" s="57"/>
      <c r="I68" s="57"/>
      <c r="J68" s="57"/>
      <c r="K68" s="57"/>
      <c r="L68" s="57"/>
      <c r="M68" s="57"/>
      <c r="N68" s="57"/>
      <c r="O68" s="58"/>
      <c r="P68" s="16"/>
      <c r="Q68" s="91"/>
      <c r="R68" s="92"/>
      <c r="S68" s="92"/>
      <c r="T68" s="92"/>
      <c r="U68" s="95"/>
      <c r="V68" s="95"/>
      <c r="W68" s="96"/>
      <c r="X68" s="16"/>
    </row>
    <row r="69" spans="1:24" ht="17.100000000000001" customHeight="1">
      <c r="A69" s="16"/>
      <c r="B69" s="59"/>
      <c r="C69" s="60"/>
      <c r="D69" s="60"/>
      <c r="E69" s="60"/>
      <c r="F69" s="60"/>
      <c r="G69" s="60"/>
      <c r="H69" s="60"/>
      <c r="I69" s="60"/>
      <c r="J69" s="60"/>
      <c r="K69" s="60"/>
      <c r="L69" s="60"/>
      <c r="M69" s="60"/>
      <c r="N69" s="60"/>
      <c r="O69" s="61"/>
      <c r="P69" s="16"/>
      <c r="Q69" s="22"/>
      <c r="R69" s="18"/>
      <c r="S69" s="18"/>
      <c r="T69" s="18"/>
      <c r="U69" s="18"/>
      <c r="V69" s="18"/>
      <c r="W69" s="23"/>
      <c r="X69" s="16"/>
    </row>
    <row r="70" spans="1:24" ht="17.100000000000001" customHeight="1">
      <c r="A70" s="16"/>
      <c r="B70" s="22"/>
      <c r="C70" s="18"/>
      <c r="D70" s="18"/>
      <c r="E70" s="18"/>
      <c r="F70" s="18"/>
      <c r="G70" s="18"/>
      <c r="H70" s="18"/>
      <c r="I70" s="18"/>
      <c r="J70" s="18"/>
      <c r="K70" s="18"/>
      <c r="L70" s="18"/>
      <c r="M70" s="18"/>
      <c r="N70" s="18"/>
      <c r="O70" s="23"/>
      <c r="P70" s="16"/>
      <c r="Q70" s="45" t="s">
        <v>85</v>
      </c>
      <c r="R70" s="46"/>
      <c r="S70" s="46"/>
      <c r="T70" s="46"/>
      <c r="U70" s="46"/>
      <c r="V70" s="46"/>
      <c r="W70" s="64"/>
      <c r="X70" s="16"/>
    </row>
    <row r="71" spans="1:24" ht="17.100000000000001" customHeight="1">
      <c r="A71" s="16"/>
      <c r="B71" s="45" t="str">
        <f>"Portfolio as of "&amp;IF('ETF Data'!$H$2,'ETF Data'!$B$91,"Refresh required")&amp;" · vendor names shown as received"</f>
        <v>Portfolio as of 46304 · vendor names shown as received</v>
      </c>
      <c r="C71" s="46"/>
      <c r="D71" s="46"/>
      <c r="E71" s="46"/>
      <c r="F71" s="46"/>
      <c r="G71" s="46"/>
      <c r="H71" s="46"/>
      <c r="I71" s="46"/>
      <c r="J71" s="46"/>
      <c r="K71" s="46"/>
      <c r="L71" s="46"/>
      <c r="M71" s="46"/>
      <c r="N71" s="46"/>
      <c r="O71" s="64"/>
      <c r="P71" s="16"/>
      <c r="Q71" s="45"/>
      <c r="R71" s="46"/>
      <c r="S71" s="46"/>
      <c r="T71" s="46"/>
      <c r="U71" s="46"/>
      <c r="V71" s="46"/>
      <c r="W71" s="64"/>
      <c r="X71" s="16"/>
    </row>
    <row r="72" spans="1:24" ht="17.100000000000001" customHeight="1">
      <c r="A72" s="16"/>
      <c r="B72" s="45"/>
      <c r="C72" s="46"/>
      <c r="D72" s="46"/>
      <c r="E72" s="46"/>
      <c r="F72" s="46"/>
      <c r="G72" s="46"/>
      <c r="H72" s="46"/>
      <c r="I72" s="46"/>
      <c r="J72" s="46"/>
      <c r="K72" s="46"/>
      <c r="L72" s="46"/>
      <c r="M72" s="46"/>
      <c r="N72" s="46"/>
      <c r="O72" s="64"/>
      <c r="P72" s="16"/>
      <c r="Q72" s="45"/>
      <c r="R72" s="46"/>
      <c r="S72" s="46"/>
      <c r="T72" s="46"/>
      <c r="U72" s="46"/>
      <c r="V72" s="46"/>
      <c r="W72" s="64"/>
      <c r="X72" s="16"/>
    </row>
    <row r="73" spans="1:24" ht="17.100000000000001" customHeight="1">
      <c r="A73" s="16"/>
      <c r="B73" s="22"/>
      <c r="C73" s="18"/>
      <c r="D73" s="18"/>
      <c r="E73" s="18"/>
      <c r="F73" s="18"/>
      <c r="G73" s="18"/>
      <c r="H73" s="18"/>
      <c r="I73" s="18"/>
      <c r="J73" s="18"/>
      <c r="K73" s="18"/>
      <c r="L73" s="18"/>
      <c r="M73" s="18"/>
      <c r="N73" s="18"/>
      <c r="O73" s="23"/>
      <c r="P73" s="16"/>
      <c r="Q73" s="45"/>
      <c r="R73" s="46"/>
      <c r="S73" s="46"/>
      <c r="T73" s="46"/>
      <c r="U73" s="46"/>
      <c r="V73" s="46"/>
      <c r="W73" s="64"/>
      <c r="X73" s="16"/>
    </row>
    <row r="74" spans="1:24" ht="17.100000000000001" customHeight="1">
      <c r="A74" s="16"/>
      <c r="B74" s="45" t="s">
        <v>86</v>
      </c>
      <c r="C74" s="46"/>
      <c r="D74" s="46"/>
      <c r="E74" s="46" t="s">
        <v>87</v>
      </c>
      <c r="F74" s="46"/>
      <c r="G74" s="46"/>
      <c r="H74" s="46"/>
      <c r="I74" s="46"/>
      <c r="J74" s="46"/>
      <c r="K74" s="46"/>
      <c r="L74" s="46"/>
      <c r="M74" s="46" t="s">
        <v>88</v>
      </c>
      <c r="N74" s="46"/>
      <c r="O74" s="64"/>
      <c r="P74" s="16"/>
      <c r="Q74" s="24"/>
      <c r="R74" s="25"/>
      <c r="S74" s="25"/>
      <c r="T74" s="25"/>
      <c r="U74" s="25"/>
      <c r="V74" s="25"/>
      <c r="W74" s="26"/>
      <c r="X74" s="16"/>
    </row>
    <row r="75" spans="1:24" ht="17.100000000000001" customHeight="1">
      <c r="A75" s="16"/>
      <c r="B75" s="97" t="str">
        <f>IF('ETF Data'!$H$2,IF('ETF Data'!J2="","",IF('ETF Data'!J2="","",'ETF Data'!J2)),"")</f>
        <v>NVDA</v>
      </c>
      <c r="C75" s="98"/>
      <c r="D75" s="98"/>
      <c r="E75" s="109" t="str">
        <f>IF('ETF Data'!$H$2,IF('ETF Data'!J2="","",IF('ETF Data'!K2="","",'ETF Data'!K2)),"")</f>
        <v>NVIDIA Corp</v>
      </c>
      <c r="F75" s="109"/>
      <c r="G75" s="109"/>
      <c r="H75" s="109"/>
      <c r="I75" s="109"/>
      <c r="J75" s="109"/>
      <c r="K75" s="109"/>
      <c r="L75" s="109"/>
      <c r="M75" s="99">
        <f>IF('ETF Data'!$H$2,IF('ETF Data'!J2="","",IF('ETF Data'!L2="","",'ETF Data'!L2)),"")</f>
        <v>8.2428959999999996E-2</v>
      </c>
      <c r="N75" s="99"/>
      <c r="O75" s="100"/>
      <c r="P75" s="16"/>
      <c r="Q75" s="16"/>
      <c r="R75" s="16"/>
      <c r="S75" s="16"/>
      <c r="T75" s="16"/>
      <c r="U75" s="16"/>
      <c r="V75" s="16"/>
      <c r="W75" s="16"/>
      <c r="X75" s="16"/>
    </row>
    <row r="76" spans="1:24" ht="17.100000000000001" customHeight="1">
      <c r="A76" s="16"/>
      <c r="B76" s="107"/>
      <c r="C76" s="108"/>
      <c r="D76" s="108"/>
      <c r="E76" s="110"/>
      <c r="F76" s="110"/>
      <c r="G76" s="110"/>
      <c r="H76" s="110"/>
      <c r="I76" s="110"/>
      <c r="J76" s="110"/>
      <c r="K76" s="110"/>
      <c r="L76" s="110"/>
      <c r="M76" s="111"/>
      <c r="N76" s="111"/>
      <c r="O76" s="112"/>
      <c r="P76" s="16"/>
      <c r="Q76" s="16"/>
      <c r="R76" s="16"/>
      <c r="S76" s="16"/>
      <c r="T76" s="16"/>
      <c r="U76" s="16"/>
      <c r="V76" s="16"/>
      <c r="W76" s="16"/>
      <c r="X76" s="16"/>
    </row>
    <row r="77" spans="1:24" ht="17.100000000000001" customHeight="1">
      <c r="A77" s="16"/>
      <c r="B77" s="97" t="str">
        <f>IF('ETF Data'!$H$2,IF('ETF Data'!J3="","",IF('ETF Data'!J3="","",'ETF Data'!J3)),"")</f>
        <v>AAPL</v>
      </c>
      <c r="C77" s="98"/>
      <c r="D77" s="98"/>
      <c r="E77" s="109" t="str">
        <f>IF('ETF Data'!$H$2,IF('ETF Data'!J3="","",IF('ETF Data'!K3="","",'ETF Data'!K3)),"")</f>
        <v>Apple Inc</v>
      </c>
      <c r="F77" s="109"/>
      <c r="G77" s="109"/>
      <c r="H77" s="109"/>
      <c r="I77" s="109"/>
      <c r="J77" s="109"/>
      <c r="K77" s="109"/>
      <c r="L77" s="109"/>
      <c r="M77" s="99">
        <f>IF('ETF Data'!$H$2,IF('ETF Data'!J3="","",IF('ETF Data'!L3="","",'ETF Data'!L3)),"")</f>
        <v>7.2986960000000004E-2</v>
      </c>
      <c r="N77" s="99"/>
      <c r="O77" s="100"/>
      <c r="P77" s="16"/>
      <c r="Q77" s="56" t="s">
        <v>89</v>
      </c>
      <c r="R77" s="57"/>
      <c r="S77" s="57"/>
      <c r="T77" s="57"/>
      <c r="U77" s="57"/>
      <c r="V77" s="57"/>
      <c r="W77" s="58"/>
      <c r="X77" s="16"/>
    </row>
    <row r="78" spans="1:24" ht="17.100000000000001" customHeight="1">
      <c r="A78" s="16"/>
      <c r="B78" s="107"/>
      <c r="C78" s="108"/>
      <c r="D78" s="108"/>
      <c r="E78" s="110"/>
      <c r="F78" s="110"/>
      <c r="G78" s="110"/>
      <c r="H78" s="110"/>
      <c r="I78" s="110"/>
      <c r="J78" s="110"/>
      <c r="K78" s="110"/>
      <c r="L78" s="110"/>
      <c r="M78" s="111"/>
      <c r="N78" s="111"/>
      <c r="O78" s="112"/>
      <c r="P78" s="16"/>
      <c r="Q78" s="59"/>
      <c r="R78" s="60"/>
      <c r="S78" s="60"/>
      <c r="T78" s="60"/>
      <c r="U78" s="60"/>
      <c r="V78" s="60"/>
      <c r="W78" s="61"/>
      <c r="X78" s="16"/>
    </row>
    <row r="79" spans="1:24" ht="17.100000000000001" customHeight="1">
      <c r="A79" s="16"/>
      <c r="B79" s="97" t="str">
        <f>IF('ETF Data'!$H$2,IF('ETF Data'!J4="","",IF('ETF Data'!J4="","",'ETF Data'!J4)),"")</f>
        <v>MSFT</v>
      </c>
      <c r="C79" s="98"/>
      <c r="D79" s="98"/>
      <c r="E79" s="109" t="str">
        <f>IF('ETF Data'!$H$2,IF('ETF Data'!J4="","",IF('ETF Data'!K4="","",'ETF Data'!K4)),"")</f>
        <v>Microsoft Corporation</v>
      </c>
      <c r="F79" s="109"/>
      <c r="G79" s="109"/>
      <c r="H79" s="109"/>
      <c r="I79" s="109"/>
      <c r="J79" s="109"/>
      <c r="K79" s="109"/>
      <c r="L79" s="109"/>
      <c r="M79" s="99">
        <f>IF('ETF Data'!$H$2,IF('ETF Data'!J4="","",IF('ETF Data'!L4="","",'ETF Data'!L4)),"")</f>
        <v>5.9025809999999998E-2</v>
      </c>
      <c r="N79" s="99"/>
      <c r="O79" s="100"/>
      <c r="P79" s="16"/>
      <c r="Q79" s="22"/>
      <c r="R79" s="18"/>
      <c r="S79" s="18"/>
      <c r="T79" s="18"/>
      <c r="U79" s="18"/>
      <c r="V79" s="18"/>
      <c r="W79" s="23"/>
      <c r="X79" s="16"/>
    </row>
    <row r="80" spans="1:24" ht="17.100000000000001" customHeight="1">
      <c r="A80" s="16"/>
      <c r="B80" s="107"/>
      <c r="C80" s="108"/>
      <c r="D80" s="108"/>
      <c r="E80" s="110"/>
      <c r="F80" s="110"/>
      <c r="G80" s="110"/>
      <c r="H80" s="110"/>
      <c r="I80" s="110"/>
      <c r="J80" s="110"/>
      <c r="K80" s="110"/>
      <c r="L80" s="110"/>
      <c r="M80" s="111"/>
      <c r="N80" s="111"/>
      <c r="O80" s="112"/>
      <c r="P80" s="16"/>
      <c r="Q80" s="45" t="s">
        <v>90</v>
      </c>
      <c r="R80" s="46"/>
      <c r="S80" s="46"/>
      <c r="T80" s="46"/>
      <c r="U80" s="93" t="str">
        <f>IF('ETF Data'!$H$2,'ETF Data'!$B$53,"Refresh required")</f>
        <v>State Street (SPDR)</v>
      </c>
      <c r="V80" s="93"/>
      <c r="W80" s="94"/>
      <c r="X80" s="16"/>
    </row>
    <row r="81" spans="1:24" ht="17.100000000000001" customHeight="1">
      <c r="A81" s="16"/>
      <c r="B81" s="97" t="str">
        <f>IF('ETF Data'!$H$2,IF('ETF Data'!J5="","",IF('ETF Data'!J5="","",'ETF Data'!J5)),"")</f>
        <v>AMZN</v>
      </c>
      <c r="C81" s="98"/>
      <c r="D81" s="98"/>
      <c r="E81" s="109" t="str">
        <f>IF('ETF Data'!$H$2,IF('ETF Data'!J5="","",IF('ETF Data'!K5="","",'ETF Data'!K5)),"")</f>
        <v>Amazon.com Inc.</v>
      </c>
      <c r="F81" s="109"/>
      <c r="G81" s="109"/>
      <c r="H81" s="109"/>
      <c r="I81" s="109"/>
      <c r="J81" s="109"/>
      <c r="K81" s="109"/>
      <c r="L81" s="109"/>
      <c r="M81" s="99">
        <f>IF('ETF Data'!$H$2,IF('ETF Data'!J5="","",IF('ETF Data'!L5="","",'ETF Data'!L5)),"")</f>
        <v>3.8268320000000002E-2</v>
      </c>
      <c r="N81" s="99"/>
      <c r="O81" s="100"/>
      <c r="P81" s="16"/>
      <c r="Q81" s="91"/>
      <c r="R81" s="92"/>
      <c r="S81" s="92"/>
      <c r="T81" s="92"/>
      <c r="U81" s="95"/>
      <c r="V81" s="95"/>
      <c r="W81" s="96"/>
      <c r="X81" s="16"/>
    </row>
    <row r="82" spans="1:24" ht="17.100000000000001" customHeight="1">
      <c r="A82" s="16"/>
      <c r="B82" s="107"/>
      <c r="C82" s="108"/>
      <c r="D82" s="108"/>
      <c r="E82" s="110"/>
      <c r="F82" s="110"/>
      <c r="G82" s="110"/>
      <c r="H82" s="110"/>
      <c r="I82" s="110"/>
      <c r="J82" s="110"/>
      <c r="K82" s="110"/>
      <c r="L82" s="110"/>
      <c r="M82" s="111"/>
      <c r="N82" s="111"/>
      <c r="O82" s="112"/>
      <c r="P82" s="16"/>
      <c r="Q82" s="22"/>
      <c r="R82" s="18"/>
      <c r="S82" s="18"/>
      <c r="T82" s="18"/>
      <c r="U82" s="18"/>
      <c r="V82" s="18"/>
      <c r="W82" s="23"/>
      <c r="X82" s="16"/>
    </row>
    <row r="83" spans="1:24" ht="17.100000000000001" customHeight="1">
      <c r="A83" s="16"/>
      <c r="B83" s="97" t="str">
        <f>IF('ETF Data'!$H$2,IF('ETF Data'!J6="","",IF('ETF Data'!J6="","",'ETF Data'!J6)),"")</f>
        <v>GOOGL</v>
      </c>
      <c r="C83" s="98"/>
      <c r="D83" s="98"/>
      <c r="E83" s="109" t="str">
        <f>IF('ETF Data'!$H$2,IF('ETF Data'!J6="","",IF('ETF Data'!K6="","",'ETF Data'!K6)),"")</f>
        <v>Alphabet Inc - Ordinary Shares - Class A</v>
      </c>
      <c r="F83" s="109"/>
      <c r="G83" s="109"/>
      <c r="H83" s="109"/>
      <c r="I83" s="109"/>
      <c r="J83" s="109"/>
      <c r="K83" s="109"/>
      <c r="L83" s="109"/>
      <c r="M83" s="99">
        <f>IF('ETF Data'!$H$2,IF('ETF Data'!J6="","",IF('ETF Data'!L6="","",'ETF Data'!L6)),"")</f>
        <v>3.065698E-2</v>
      </c>
      <c r="N83" s="99"/>
      <c r="O83" s="100"/>
      <c r="P83" s="16"/>
      <c r="Q83" s="45" t="s">
        <v>91</v>
      </c>
      <c r="R83" s="46"/>
      <c r="S83" s="46"/>
      <c r="T83" s="46"/>
      <c r="U83" s="93" t="str">
        <f>IF('ETF Data'!$H$2,'ETF Data'!$B$43,"Refresh required")</f>
        <v>United States Large Cap Blend Equity</v>
      </c>
      <c r="V83" s="93"/>
      <c r="W83" s="94"/>
      <c r="X83" s="16"/>
    </row>
    <row r="84" spans="1:24" ht="17.100000000000001" customHeight="1">
      <c r="A84" s="16"/>
      <c r="B84" s="107"/>
      <c r="C84" s="108"/>
      <c r="D84" s="108"/>
      <c r="E84" s="110"/>
      <c r="F84" s="110"/>
      <c r="G84" s="110"/>
      <c r="H84" s="110"/>
      <c r="I84" s="110"/>
      <c r="J84" s="110"/>
      <c r="K84" s="110"/>
      <c r="L84" s="110"/>
      <c r="M84" s="111"/>
      <c r="N84" s="111"/>
      <c r="O84" s="112"/>
      <c r="P84" s="16"/>
      <c r="Q84" s="91"/>
      <c r="R84" s="92"/>
      <c r="S84" s="92"/>
      <c r="T84" s="92"/>
      <c r="U84" s="95"/>
      <c r="V84" s="95"/>
      <c r="W84" s="96"/>
      <c r="X84" s="16"/>
    </row>
    <row r="85" spans="1:24" ht="17.100000000000001" customHeight="1">
      <c r="A85" s="16"/>
      <c r="B85" s="97" t="str">
        <f>IF('ETF Data'!$H$2,IF('ETF Data'!J7="","",IF('ETF Data'!J7="","",'ETF Data'!J7)),"")</f>
        <v>AVGO</v>
      </c>
      <c r="C85" s="98"/>
      <c r="D85" s="98"/>
      <c r="E85" s="109" t="str">
        <f>IF('ETF Data'!$H$2,IF('ETF Data'!J7="","",IF('ETF Data'!K7="","",'ETF Data'!K7)),"")</f>
        <v>Broadcom Inc</v>
      </c>
      <c r="F85" s="109"/>
      <c r="G85" s="109"/>
      <c r="H85" s="109"/>
      <c r="I85" s="109"/>
      <c r="J85" s="109"/>
      <c r="K85" s="109"/>
      <c r="L85" s="109"/>
      <c r="M85" s="99">
        <f>IF('ETF Data'!$H$2,IF('ETF Data'!J7="","",IF('ETF Data'!L7="","",'ETF Data'!L7)),"")</f>
        <v>2.555433E-2</v>
      </c>
      <c r="N85" s="99"/>
      <c r="O85" s="100"/>
      <c r="P85" s="16"/>
      <c r="Q85" s="22"/>
      <c r="R85" s="18"/>
      <c r="S85" s="18"/>
      <c r="T85" s="18"/>
      <c r="U85" s="18"/>
      <c r="V85" s="18"/>
      <c r="W85" s="23"/>
      <c r="X85" s="16"/>
    </row>
    <row r="86" spans="1:24" ht="17.100000000000001" customHeight="1">
      <c r="A86" s="16"/>
      <c r="B86" s="107"/>
      <c r="C86" s="108"/>
      <c r="D86" s="108"/>
      <c r="E86" s="110"/>
      <c r="F86" s="110"/>
      <c r="G86" s="110"/>
      <c r="H86" s="110"/>
      <c r="I86" s="110"/>
      <c r="J86" s="110"/>
      <c r="K86" s="110"/>
      <c r="L86" s="110"/>
      <c r="M86" s="111"/>
      <c r="N86" s="111"/>
      <c r="O86" s="112"/>
      <c r="P86" s="16"/>
      <c r="Q86" s="45" t="s">
        <v>92</v>
      </c>
      <c r="R86" s="46"/>
      <c r="S86" s="46"/>
      <c r="T86" s="46"/>
      <c r="U86" s="93" t="str">
        <f>IF('ETF Data'!$H$2,'ETF Data'!$B$59,"Refresh required")</f>
        <v>S&amp;P 500 Index</v>
      </c>
      <c r="V86" s="93"/>
      <c r="W86" s="94"/>
      <c r="X86" s="16"/>
    </row>
    <row r="87" spans="1:24" ht="17.100000000000001" customHeight="1">
      <c r="A87" s="16"/>
      <c r="B87" s="97" t="str">
        <f>IF('ETF Data'!$H$2,IF('ETF Data'!J8="","",IF('ETF Data'!J8="","",'ETF Data'!J8)),"")</f>
        <v>GOOG</v>
      </c>
      <c r="C87" s="98"/>
      <c r="D87" s="98"/>
      <c r="E87" s="109" t="str">
        <f>IF('ETF Data'!$H$2,IF('ETF Data'!J8="","",IF('ETF Data'!K8="","",'ETF Data'!K8)),"")</f>
        <v>Alphabet Inc - Ordinary Shares - Class C</v>
      </c>
      <c r="F87" s="109"/>
      <c r="G87" s="109"/>
      <c r="H87" s="109"/>
      <c r="I87" s="109"/>
      <c r="J87" s="109"/>
      <c r="K87" s="109"/>
      <c r="L87" s="109"/>
      <c r="M87" s="99">
        <f>IF('ETF Data'!$H$2,IF('ETF Data'!J8="","",IF('ETF Data'!L8="","",'ETF Data'!L8)),"")</f>
        <v>2.4564989999999998E-2</v>
      </c>
      <c r="N87" s="99"/>
      <c r="O87" s="100"/>
      <c r="P87" s="16"/>
      <c r="Q87" s="91"/>
      <c r="R87" s="92"/>
      <c r="S87" s="92"/>
      <c r="T87" s="92"/>
      <c r="U87" s="95"/>
      <c r="V87" s="95"/>
      <c r="W87" s="96"/>
      <c r="X87" s="16"/>
    </row>
    <row r="88" spans="1:24" ht="17.100000000000001" customHeight="1">
      <c r="A88" s="16"/>
      <c r="B88" s="107"/>
      <c r="C88" s="108"/>
      <c r="D88" s="108"/>
      <c r="E88" s="110"/>
      <c r="F88" s="110"/>
      <c r="G88" s="110"/>
      <c r="H88" s="110"/>
      <c r="I88" s="110"/>
      <c r="J88" s="110"/>
      <c r="K88" s="110"/>
      <c r="L88" s="110"/>
      <c r="M88" s="111"/>
      <c r="N88" s="111"/>
      <c r="O88" s="112"/>
      <c r="P88" s="16"/>
      <c r="Q88" s="22"/>
      <c r="R88" s="18"/>
      <c r="S88" s="18"/>
      <c r="T88" s="18"/>
      <c r="U88" s="18"/>
      <c r="V88" s="18"/>
      <c r="W88" s="23"/>
      <c r="X88" s="16"/>
    </row>
    <row r="89" spans="1:24" ht="17.100000000000001" customHeight="1">
      <c r="A89" s="16"/>
      <c r="B89" s="97" t="str">
        <f>IF('ETF Data'!$H$2,IF('ETF Data'!J9="","",IF('ETF Data'!J9="","",'ETF Data'!J9)),"")</f>
        <v>META</v>
      </c>
      <c r="C89" s="98"/>
      <c r="D89" s="98"/>
      <c r="E89" s="109" t="str">
        <f>IF('ETF Data'!$H$2,IF('ETF Data'!J9="","",IF('ETF Data'!K9="","",'ETF Data'!K9)),"")</f>
        <v>Meta Platforms Inc - Ordinary Shares - Class A</v>
      </c>
      <c r="F89" s="109"/>
      <c r="G89" s="109"/>
      <c r="H89" s="109"/>
      <c r="I89" s="109"/>
      <c r="J89" s="109"/>
      <c r="K89" s="109"/>
      <c r="L89" s="109"/>
      <c r="M89" s="99">
        <f>IF('ETF Data'!$H$2,IF('ETF Data'!J9="","",IF('ETF Data'!L9="","",'ETF Data'!L9)),"")</f>
        <v>2.3544349999999999E-2</v>
      </c>
      <c r="N89" s="99"/>
      <c r="O89" s="100"/>
      <c r="P89" s="16"/>
      <c r="Q89" s="45" t="s">
        <v>93</v>
      </c>
      <c r="R89" s="46"/>
      <c r="S89" s="46"/>
      <c r="T89" s="46"/>
      <c r="U89" s="93">
        <f>IF('ETF Data'!$H$2,'ETF Data'!$B$56,"Refresh required")</f>
        <v>33991</v>
      </c>
      <c r="V89" s="93"/>
      <c r="W89" s="94"/>
      <c r="X89" s="16"/>
    </row>
    <row r="90" spans="1:24" ht="17.100000000000001" customHeight="1">
      <c r="A90" s="16"/>
      <c r="B90" s="107"/>
      <c r="C90" s="108"/>
      <c r="D90" s="108"/>
      <c r="E90" s="110"/>
      <c r="F90" s="110"/>
      <c r="G90" s="110"/>
      <c r="H90" s="110"/>
      <c r="I90" s="110"/>
      <c r="J90" s="110"/>
      <c r="K90" s="110"/>
      <c r="L90" s="110"/>
      <c r="M90" s="111"/>
      <c r="N90" s="111"/>
      <c r="O90" s="112"/>
      <c r="P90" s="16"/>
      <c r="Q90" s="91"/>
      <c r="R90" s="92"/>
      <c r="S90" s="92"/>
      <c r="T90" s="92"/>
      <c r="U90" s="95"/>
      <c r="V90" s="95"/>
      <c r="W90" s="96"/>
      <c r="X90" s="16"/>
    </row>
    <row r="91" spans="1:24" ht="17.100000000000001" customHeight="1">
      <c r="A91" s="16"/>
      <c r="B91" s="97" t="str">
        <f>IF('ETF Data'!$H$2,IF('ETF Data'!J10="","",IF('ETF Data'!J10="","",'ETF Data'!J10)),"")</f>
        <v>MU</v>
      </c>
      <c r="C91" s="98"/>
      <c r="D91" s="98"/>
      <c r="E91" s="109" t="str">
        <f>IF('ETF Data'!$H$2,IF('ETF Data'!J10="","",IF('ETF Data'!K10="","",'ETF Data'!K10)),"")</f>
        <v>Micron Technology Inc.</v>
      </c>
      <c r="F91" s="109"/>
      <c r="G91" s="109"/>
      <c r="H91" s="109"/>
      <c r="I91" s="109"/>
      <c r="J91" s="109"/>
      <c r="K91" s="109"/>
      <c r="L91" s="109"/>
      <c r="M91" s="99">
        <f>IF('ETF Data'!$H$2,IF('ETF Data'!J10="","",IF('ETF Data'!L10="","",'ETF Data'!L10)),"")</f>
        <v>1.7266150000000001E-2</v>
      </c>
      <c r="N91" s="99"/>
      <c r="O91" s="100"/>
      <c r="P91" s="16"/>
      <c r="Q91" s="22"/>
      <c r="R91" s="18"/>
      <c r="S91" s="18"/>
      <c r="T91" s="18"/>
      <c r="U91" s="18"/>
      <c r="V91" s="18"/>
      <c r="W91" s="23"/>
      <c r="X91" s="16"/>
    </row>
    <row r="92" spans="1:24" ht="17.100000000000001" customHeight="1">
      <c r="A92" s="16"/>
      <c r="B92" s="107"/>
      <c r="C92" s="108"/>
      <c r="D92" s="108"/>
      <c r="E92" s="110"/>
      <c r="F92" s="110"/>
      <c r="G92" s="110"/>
      <c r="H92" s="110"/>
      <c r="I92" s="110"/>
      <c r="J92" s="110"/>
      <c r="K92" s="110"/>
      <c r="L92" s="110"/>
      <c r="M92" s="111"/>
      <c r="N92" s="111"/>
      <c r="O92" s="112"/>
      <c r="P92" s="16"/>
      <c r="Q92" s="45" t="s">
        <v>94</v>
      </c>
      <c r="R92" s="46"/>
      <c r="S92" s="46"/>
      <c r="T92" s="46"/>
      <c r="U92" s="93" t="str">
        <f>IF(ISNUMBER(IF('ETF Data'!$H$2,'ETF Data'!$B$44,"Refresh required")),TEXT(IF('ETF Data'!$H$2,'ETF Data'!$B$44,"Refresh required"),"$0.00,,,""B"""),IF('ETF Data'!$H$2,'ETF Data'!$B$44,"Refresh required"))</f>
        <v>$821.68B</v>
      </c>
      <c r="V92" s="93"/>
      <c r="W92" s="94"/>
      <c r="X92" s="16"/>
    </row>
    <row r="93" spans="1:24" ht="17.100000000000001" customHeight="1">
      <c r="A93" s="16"/>
      <c r="B93" s="97" t="str">
        <f>IF('ETF Data'!$H$2,IF('ETF Data'!J11="","",IF('ETF Data'!J11="","",'ETF Data'!J11)),"")</f>
        <v>TSLA</v>
      </c>
      <c r="C93" s="98"/>
      <c r="D93" s="98"/>
      <c r="E93" s="109" t="str">
        <f>IF('ETF Data'!$H$2,IF('ETF Data'!J11="","",IF('ETF Data'!K11="","",'ETF Data'!K11)),"")</f>
        <v>Tesla Inc</v>
      </c>
      <c r="F93" s="109"/>
      <c r="G93" s="109"/>
      <c r="H93" s="109"/>
      <c r="I93" s="109"/>
      <c r="J93" s="109"/>
      <c r="K93" s="109"/>
      <c r="L93" s="109"/>
      <c r="M93" s="99">
        <f>IF('ETF Data'!$H$2,IF('ETF Data'!J11="","",IF('ETF Data'!L11="","",'ETF Data'!L11)),"")</f>
        <v>1.6024429999999999E-2</v>
      </c>
      <c r="N93" s="99"/>
      <c r="O93" s="100"/>
      <c r="P93" s="16"/>
      <c r="Q93" s="91"/>
      <c r="R93" s="92"/>
      <c r="S93" s="92"/>
      <c r="T93" s="92"/>
      <c r="U93" s="95"/>
      <c r="V93" s="95"/>
      <c r="W93" s="96"/>
      <c r="X93" s="16"/>
    </row>
    <row r="94" spans="1:24" ht="17.100000000000001" customHeight="1">
      <c r="A94" s="16"/>
      <c r="B94" s="107"/>
      <c r="C94" s="108"/>
      <c r="D94" s="108"/>
      <c r="E94" s="110"/>
      <c r="F94" s="110"/>
      <c r="G94" s="110"/>
      <c r="H94" s="110"/>
      <c r="I94" s="110"/>
      <c r="J94" s="110"/>
      <c r="K94" s="110"/>
      <c r="L94" s="110"/>
      <c r="M94" s="111"/>
      <c r="N94" s="111"/>
      <c r="O94" s="112"/>
      <c r="P94" s="16"/>
      <c r="Q94" s="22"/>
      <c r="R94" s="18"/>
      <c r="S94" s="18"/>
      <c r="T94" s="18"/>
      <c r="U94" s="18"/>
      <c r="V94" s="18"/>
      <c r="W94" s="23"/>
      <c r="X94" s="16"/>
    </row>
    <row r="95" spans="1:24" ht="17.100000000000001" customHeight="1">
      <c r="A95" s="16"/>
      <c r="B95" s="22"/>
      <c r="C95" s="18"/>
      <c r="D95" s="18"/>
      <c r="E95" s="18"/>
      <c r="F95" s="18"/>
      <c r="G95" s="18"/>
      <c r="H95" s="18"/>
      <c r="I95" s="18"/>
      <c r="J95" s="18"/>
      <c r="K95" s="18"/>
      <c r="L95" s="18"/>
      <c r="M95" s="18"/>
      <c r="N95" s="18"/>
      <c r="O95" s="23"/>
      <c r="P95" s="16"/>
      <c r="Q95" s="45" t="s">
        <v>95</v>
      </c>
      <c r="R95" s="46"/>
      <c r="S95" s="46"/>
      <c r="T95" s="46"/>
      <c r="U95" s="46"/>
      <c r="V95" s="46"/>
      <c r="W95" s="64"/>
      <c r="X95" s="16"/>
    </row>
    <row r="96" spans="1:24" ht="17.100000000000001" customHeight="1">
      <c r="A96" s="16"/>
      <c r="B96" s="45" t="s">
        <v>96</v>
      </c>
      <c r="C96" s="46"/>
      <c r="D96" s="46"/>
      <c r="E96" s="46"/>
      <c r="F96" s="46"/>
      <c r="G96" s="46"/>
      <c r="H96" s="46"/>
      <c r="I96" s="46"/>
      <c r="J96" s="46"/>
      <c r="K96" s="46"/>
      <c r="L96" s="46"/>
      <c r="M96" s="46"/>
      <c r="N96" s="46"/>
      <c r="O96" s="64"/>
      <c r="P96" s="16"/>
      <c r="Q96" s="45"/>
      <c r="R96" s="46"/>
      <c r="S96" s="46"/>
      <c r="T96" s="46"/>
      <c r="U96" s="46"/>
      <c r="V96" s="46"/>
      <c r="W96" s="64"/>
      <c r="X96" s="16"/>
    </row>
    <row r="97" spans="1:24" ht="17.100000000000001" customHeight="1">
      <c r="A97" s="16"/>
      <c r="B97" s="45"/>
      <c r="C97" s="46"/>
      <c r="D97" s="46"/>
      <c r="E97" s="46"/>
      <c r="F97" s="46"/>
      <c r="G97" s="46"/>
      <c r="H97" s="46"/>
      <c r="I97" s="46"/>
      <c r="J97" s="46"/>
      <c r="K97" s="46"/>
      <c r="L97" s="46"/>
      <c r="M97" s="46"/>
      <c r="N97" s="46"/>
      <c r="O97" s="64"/>
      <c r="P97" s="16"/>
      <c r="Q97" s="22"/>
      <c r="R97" s="18"/>
      <c r="S97" s="18"/>
      <c r="T97" s="18"/>
      <c r="U97" s="18"/>
      <c r="V97" s="18"/>
      <c r="W97" s="23"/>
      <c r="X97" s="16"/>
    </row>
    <row r="98" spans="1:24" ht="17.100000000000001" customHeight="1">
      <c r="A98" s="16"/>
      <c r="B98" s="45"/>
      <c r="C98" s="46"/>
      <c r="D98" s="46"/>
      <c r="E98" s="46"/>
      <c r="F98" s="46"/>
      <c r="G98" s="46"/>
      <c r="H98" s="46"/>
      <c r="I98" s="46"/>
      <c r="J98" s="46"/>
      <c r="K98" s="46"/>
      <c r="L98" s="46"/>
      <c r="M98" s="46"/>
      <c r="N98" s="46"/>
      <c r="O98" s="64"/>
      <c r="P98" s="16"/>
      <c r="Q98" s="45" t="s">
        <v>97</v>
      </c>
      <c r="R98" s="46"/>
      <c r="S98" s="46"/>
      <c r="T98" s="46"/>
      <c r="U98" s="46"/>
      <c r="V98" s="46"/>
      <c r="W98" s="64"/>
      <c r="X98" s="16"/>
    </row>
    <row r="99" spans="1:24" ht="17.100000000000001" customHeight="1">
      <c r="A99" s="16"/>
      <c r="B99" s="24"/>
      <c r="C99" s="25"/>
      <c r="D99" s="25"/>
      <c r="E99" s="25"/>
      <c r="F99" s="25"/>
      <c r="G99" s="25"/>
      <c r="H99" s="25"/>
      <c r="I99" s="25"/>
      <c r="J99" s="25"/>
      <c r="K99" s="25"/>
      <c r="L99" s="25"/>
      <c r="M99" s="25"/>
      <c r="N99" s="25"/>
      <c r="O99" s="26"/>
      <c r="P99" s="16"/>
      <c r="Q99" s="113" t="str">
        <f>IF('ETF Data'!$H$2,IF('ETF Data'!AD2="","",IF('ETF Data'!AD2="","",'ETF Data'!AD2)),"")</f>
        <v>Management Team</v>
      </c>
      <c r="R99" s="109"/>
      <c r="S99" s="109"/>
      <c r="T99" s="109"/>
      <c r="U99" s="76">
        <f>IF('ETF Data'!$H$2,IF('ETF Data'!AD2="","",IF('ETF Data'!AE2="","",'ETF Data'!AE2)),"")</f>
        <v>33991</v>
      </c>
      <c r="V99" s="76"/>
      <c r="W99" s="114"/>
      <c r="X99" s="16"/>
    </row>
    <row r="100" spans="1:24" ht="17.100000000000001" customHeight="1">
      <c r="A100" s="16"/>
      <c r="B100" s="16"/>
      <c r="C100" s="16"/>
      <c r="D100" s="16"/>
      <c r="E100" s="16"/>
      <c r="F100" s="16"/>
      <c r="G100" s="16"/>
      <c r="H100" s="16"/>
      <c r="I100" s="16"/>
      <c r="J100" s="16"/>
      <c r="K100" s="16"/>
      <c r="L100" s="16"/>
      <c r="M100" s="16"/>
      <c r="N100" s="16"/>
      <c r="O100" s="16"/>
      <c r="P100" s="16"/>
      <c r="Q100" s="113"/>
      <c r="R100" s="109"/>
      <c r="S100" s="109"/>
      <c r="T100" s="109"/>
      <c r="U100" s="76"/>
      <c r="V100" s="76"/>
      <c r="W100" s="114"/>
      <c r="X100" s="16"/>
    </row>
    <row r="101" spans="1:24" ht="17.100000000000001" customHeight="1">
      <c r="A101" s="16"/>
      <c r="B101" s="16"/>
      <c r="C101" s="16"/>
      <c r="D101" s="16"/>
      <c r="E101" s="16"/>
      <c r="F101" s="16"/>
      <c r="G101" s="16"/>
      <c r="H101" s="16"/>
      <c r="I101" s="16"/>
      <c r="J101" s="16"/>
      <c r="K101" s="16"/>
      <c r="L101" s="16"/>
      <c r="M101" s="16"/>
      <c r="N101" s="16"/>
      <c r="O101" s="16"/>
      <c r="P101" s="16"/>
      <c r="Q101" s="22"/>
      <c r="R101" s="18"/>
      <c r="S101" s="18"/>
      <c r="T101" s="18"/>
      <c r="U101" s="18"/>
      <c r="V101" s="18"/>
      <c r="W101" s="23"/>
      <c r="X101" s="16"/>
    </row>
    <row r="102" spans="1:24" ht="17.100000000000001" customHeight="1">
      <c r="A102" s="16"/>
      <c r="B102" s="56" t="s">
        <v>98</v>
      </c>
      <c r="C102" s="57"/>
      <c r="D102" s="57"/>
      <c r="E102" s="57"/>
      <c r="F102" s="57"/>
      <c r="G102" s="57"/>
      <c r="H102" s="57"/>
      <c r="I102" s="57"/>
      <c r="J102" s="57"/>
      <c r="K102" s="57"/>
      <c r="L102" s="57"/>
      <c r="M102" s="57"/>
      <c r="N102" s="57"/>
      <c r="O102" s="58"/>
      <c r="P102" s="16"/>
      <c r="Q102" s="113" t="str">
        <f>IF('ETF Data'!$H$2,IF('ETF Data'!AD3="","",IF('ETF Data'!AD3="","",'ETF Data'!AD3)),"")</f>
        <v/>
      </c>
      <c r="R102" s="109"/>
      <c r="S102" s="109"/>
      <c r="T102" s="109"/>
      <c r="U102" s="76" t="str">
        <f>IF('ETF Data'!$H$2,IF('ETF Data'!AD3="","",IF('ETF Data'!AE3="","",'ETF Data'!AE3)),"")</f>
        <v/>
      </c>
      <c r="V102" s="76"/>
      <c r="W102" s="114"/>
      <c r="X102" s="16"/>
    </row>
    <row r="103" spans="1:24" ht="17.100000000000001" customHeight="1">
      <c r="A103" s="16"/>
      <c r="B103" s="59"/>
      <c r="C103" s="60"/>
      <c r="D103" s="60"/>
      <c r="E103" s="60"/>
      <c r="F103" s="60"/>
      <c r="G103" s="60"/>
      <c r="H103" s="60"/>
      <c r="I103" s="60"/>
      <c r="J103" s="60"/>
      <c r="K103" s="60"/>
      <c r="L103" s="60"/>
      <c r="M103" s="60"/>
      <c r="N103" s="60"/>
      <c r="O103" s="61"/>
      <c r="P103" s="16"/>
      <c r="Q103" s="113"/>
      <c r="R103" s="109"/>
      <c r="S103" s="109"/>
      <c r="T103" s="109"/>
      <c r="U103" s="76"/>
      <c r="V103" s="76"/>
      <c r="W103" s="114"/>
      <c r="X103" s="16"/>
    </row>
    <row r="104" spans="1:24" ht="17.100000000000001" customHeight="1">
      <c r="A104" s="16"/>
      <c r="B104" s="22"/>
      <c r="C104" s="18"/>
      <c r="D104" s="18"/>
      <c r="E104" s="18"/>
      <c r="F104" s="18"/>
      <c r="G104" s="18"/>
      <c r="H104" s="18"/>
      <c r="I104" s="18"/>
      <c r="J104" s="18"/>
      <c r="K104" s="18"/>
      <c r="L104" s="18"/>
      <c r="M104" s="18"/>
      <c r="N104" s="18"/>
      <c r="O104" s="23"/>
      <c r="P104" s="16"/>
      <c r="Q104" s="22"/>
      <c r="R104" s="18"/>
      <c r="S104" s="18"/>
      <c r="T104" s="18"/>
      <c r="U104" s="18"/>
      <c r="V104" s="18"/>
      <c r="W104" s="23"/>
      <c r="X104" s="16"/>
    </row>
    <row r="105" spans="1:24" ht="17.100000000000001" customHeight="1">
      <c r="A105" s="16"/>
      <c r="B105" s="45" t="s">
        <v>99</v>
      </c>
      <c r="C105" s="46"/>
      <c r="D105" s="46"/>
      <c r="E105" s="46"/>
      <c r="F105" s="46"/>
      <c r="G105" s="18"/>
      <c r="H105" s="46" t="s">
        <v>100</v>
      </c>
      <c r="I105" s="46"/>
      <c r="J105" s="46"/>
      <c r="K105" s="46"/>
      <c r="L105" s="46"/>
      <c r="M105" s="46"/>
      <c r="N105" s="46"/>
      <c r="O105" s="64"/>
      <c r="P105" s="16"/>
      <c r="Q105" s="113" t="str">
        <f>IF('ETF Data'!$H$2,IF('ETF Data'!AD4="","",IF('ETF Data'!AD4="","",'ETF Data'!AD4)),"")</f>
        <v/>
      </c>
      <c r="R105" s="109"/>
      <c r="S105" s="109"/>
      <c r="T105" s="109"/>
      <c r="U105" s="76" t="str">
        <f>IF('ETF Data'!$H$2,IF('ETF Data'!AD4="","",IF('ETF Data'!AE4="","",'ETF Data'!AE4)),"")</f>
        <v/>
      </c>
      <c r="V105" s="76"/>
      <c r="W105" s="114"/>
      <c r="X105" s="16"/>
    </row>
    <row r="106" spans="1:24" ht="17.100000000000001" customHeight="1">
      <c r="A106" s="16"/>
      <c r="B106" s="80" t="str">
        <f>IF(ISNUMBER(IF('ETF Data'!$H$2,'ETF Data'!$B$67,"Refresh required")),TEXT(IF('ETF Data'!$H$2,'ETF Data'!$B$67,"Refresh required"),"0.00%"),IF('ETF Data'!$H$2,'ETF Data'!$B$67,"Refresh required"))</f>
        <v>0.95%</v>
      </c>
      <c r="C106" s="81"/>
      <c r="D106" s="81"/>
      <c r="E106" s="81"/>
      <c r="F106" s="81"/>
      <c r="G106" s="18"/>
      <c r="H106" s="81" t="str">
        <f>IF(ISNUMBER(IF('ETF Data'!$H$2,'ETF Data'!$B$48,"Refresh required")),TEXT(IF('ETF Data'!$H$2,'ETF Data'!$B$48,"Refresh required"),"0.00%"),IF('ETF Data'!$H$2,'ETF Data'!$B$48,"Refresh required"))</f>
        <v>0.99%</v>
      </c>
      <c r="I106" s="81"/>
      <c r="J106" s="81"/>
      <c r="K106" s="81"/>
      <c r="L106" s="81"/>
      <c r="M106" s="81"/>
      <c r="N106" s="81"/>
      <c r="O106" s="82"/>
      <c r="P106" s="16"/>
      <c r="Q106" s="113"/>
      <c r="R106" s="109"/>
      <c r="S106" s="109"/>
      <c r="T106" s="109"/>
      <c r="U106" s="76"/>
      <c r="V106" s="76"/>
      <c r="W106" s="114"/>
      <c r="X106" s="16"/>
    </row>
    <row r="107" spans="1:24" ht="17.100000000000001" customHeight="1">
      <c r="A107" s="16"/>
      <c r="B107" s="80"/>
      <c r="C107" s="81"/>
      <c r="D107" s="81"/>
      <c r="E107" s="81"/>
      <c r="F107" s="81"/>
      <c r="G107" s="18"/>
      <c r="H107" s="81"/>
      <c r="I107" s="81"/>
      <c r="J107" s="81"/>
      <c r="K107" s="81"/>
      <c r="L107" s="81"/>
      <c r="M107" s="81"/>
      <c r="N107" s="81"/>
      <c r="O107" s="82"/>
      <c r="P107" s="16"/>
      <c r="Q107" s="22"/>
      <c r="R107" s="18"/>
      <c r="S107" s="18"/>
      <c r="T107" s="18"/>
      <c r="U107" s="18"/>
      <c r="V107" s="18"/>
      <c r="W107" s="23"/>
      <c r="X107" s="16"/>
    </row>
    <row r="108" spans="1:24" ht="17.100000000000001" customHeight="1">
      <c r="A108" s="16"/>
      <c r="B108" s="22"/>
      <c r="C108" s="18"/>
      <c r="D108" s="18"/>
      <c r="E108" s="18"/>
      <c r="F108" s="18"/>
      <c r="G108" s="18"/>
      <c r="H108" s="18"/>
      <c r="I108" s="18"/>
      <c r="J108" s="18"/>
      <c r="K108" s="18"/>
      <c r="L108" s="18"/>
      <c r="M108" s="18"/>
      <c r="N108" s="18"/>
      <c r="O108" s="23"/>
      <c r="P108" s="16"/>
      <c r="Q108" s="113" t="str">
        <f>IF('ETF Data'!$H$2,IF('ETF Data'!AD5="","",IF('ETF Data'!AD5="","",'ETF Data'!AD5)),"")</f>
        <v/>
      </c>
      <c r="R108" s="109"/>
      <c r="S108" s="109"/>
      <c r="T108" s="109"/>
      <c r="U108" s="76" t="str">
        <f>IF('ETF Data'!$H$2,IF('ETF Data'!AD5="","",IF('ETF Data'!AE5="","",'ETF Data'!AE5)),"")</f>
        <v/>
      </c>
      <c r="V108" s="76"/>
      <c r="W108" s="114"/>
      <c r="X108" s="16"/>
    </row>
    <row r="109" spans="1:24" ht="17.100000000000001" customHeight="1">
      <c r="A109" s="16"/>
      <c r="B109" s="45" t="s">
        <v>48</v>
      </c>
      <c r="C109" s="46"/>
      <c r="D109" s="46"/>
      <c r="E109" s="46"/>
      <c r="F109" s="46"/>
      <c r="G109" s="46" t="s">
        <v>49</v>
      </c>
      <c r="H109" s="46"/>
      <c r="I109" s="46"/>
      <c r="J109" s="46"/>
      <c r="K109" s="46" t="s">
        <v>50</v>
      </c>
      <c r="L109" s="46"/>
      <c r="M109" s="46"/>
      <c r="N109" s="46"/>
      <c r="O109" s="64"/>
      <c r="P109" s="16"/>
      <c r="Q109" s="113"/>
      <c r="R109" s="109"/>
      <c r="S109" s="109"/>
      <c r="T109" s="109"/>
      <c r="U109" s="76"/>
      <c r="V109" s="76"/>
      <c r="W109" s="114"/>
      <c r="X109" s="16"/>
    </row>
    <row r="110" spans="1:24" ht="17.100000000000001" customHeight="1">
      <c r="A110" s="16"/>
      <c r="B110" s="74">
        <f>IF('ETF Data'!$H$2,IF('ETF Data'!V2="","",IF('ETF Data'!V2="","",'ETF Data'!V2)),"")</f>
        <v>46283</v>
      </c>
      <c r="C110" s="75"/>
      <c r="D110" s="75"/>
      <c r="E110" s="75"/>
      <c r="F110" s="75"/>
      <c r="G110" s="83">
        <f>IF('ETF Data'!$H$2,IF('ETF Data'!V2="","",IF('ETF Data'!W2="","",'ETF Data'!W2)),"")</f>
        <v>1.8888339999999999</v>
      </c>
      <c r="H110" s="83"/>
      <c r="I110" s="83"/>
      <c r="J110" s="83"/>
      <c r="K110" s="75">
        <f>IF('ETF Data'!$H$2,IF('ETF Data'!V2="","",IF('ETF Data'!X2="","",'ETF Data'!X2)),"")</f>
        <v>46325</v>
      </c>
      <c r="L110" s="75"/>
      <c r="M110" s="75"/>
      <c r="N110" s="75"/>
      <c r="O110" s="84"/>
      <c r="P110" s="16"/>
      <c r="Q110" s="45" t="s">
        <v>101</v>
      </c>
      <c r="R110" s="46"/>
      <c r="S110" s="46"/>
      <c r="T110" s="46"/>
      <c r="U110" s="46"/>
      <c r="V110" s="46"/>
      <c r="W110" s="64"/>
      <c r="X110" s="16"/>
    </row>
    <row r="111" spans="1:24" ht="17.100000000000001" customHeight="1">
      <c r="A111" s="16"/>
      <c r="B111" s="74"/>
      <c r="C111" s="75"/>
      <c r="D111" s="75"/>
      <c r="E111" s="75"/>
      <c r="F111" s="75"/>
      <c r="G111" s="83"/>
      <c r="H111" s="83"/>
      <c r="I111" s="83"/>
      <c r="J111" s="83"/>
      <c r="K111" s="75"/>
      <c r="L111" s="75"/>
      <c r="M111" s="75"/>
      <c r="N111" s="75"/>
      <c r="O111" s="84"/>
      <c r="P111" s="16"/>
      <c r="Q111" s="47"/>
      <c r="R111" s="48"/>
      <c r="S111" s="48"/>
      <c r="T111" s="48"/>
      <c r="U111" s="48"/>
      <c r="V111" s="48"/>
      <c r="W111" s="69"/>
      <c r="X111" s="16"/>
    </row>
    <row r="112" spans="1:24" ht="17.100000000000001" customHeight="1">
      <c r="A112" s="16"/>
      <c r="B112" s="74">
        <f>IF('ETF Data'!$H$2,IF('ETF Data'!V3="","",IF('ETF Data'!V3="","",'ETF Data'!V3)),"")</f>
        <v>46191</v>
      </c>
      <c r="C112" s="75"/>
      <c r="D112" s="75"/>
      <c r="E112" s="75"/>
      <c r="F112" s="75"/>
      <c r="G112" s="83">
        <f>IF('ETF Data'!$H$2,IF('ETF Data'!V3="","",IF('ETF Data'!W3="","",'ETF Data'!W3)),"")</f>
        <v>1.903516</v>
      </c>
      <c r="H112" s="83"/>
      <c r="I112" s="83"/>
      <c r="J112" s="83"/>
      <c r="K112" s="75">
        <f>IF('ETF Data'!$H$2,IF('ETF Data'!V3="","",IF('ETF Data'!X3="","",'ETF Data'!X3)),"")</f>
        <v>46234</v>
      </c>
      <c r="L112" s="75"/>
      <c r="M112" s="75"/>
      <c r="N112" s="75"/>
      <c r="O112" s="84"/>
      <c r="P112" s="16"/>
      <c r="Q112" s="16"/>
      <c r="R112" s="16"/>
      <c r="S112" s="16"/>
      <c r="T112" s="16"/>
      <c r="U112" s="16"/>
      <c r="V112" s="16"/>
      <c r="W112" s="16"/>
      <c r="X112" s="16"/>
    </row>
    <row r="113" spans="1:24" ht="17.100000000000001" customHeight="1">
      <c r="A113" s="16"/>
      <c r="B113" s="74"/>
      <c r="C113" s="75"/>
      <c r="D113" s="75"/>
      <c r="E113" s="75"/>
      <c r="F113" s="75"/>
      <c r="G113" s="83"/>
      <c r="H113" s="83"/>
      <c r="I113" s="83"/>
      <c r="J113" s="83"/>
      <c r="K113" s="75"/>
      <c r="L113" s="75"/>
      <c r="M113" s="75"/>
      <c r="N113" s="75"/>
      <c r="O113" s="84"/>
      <c r="P113" s="16"/>
      <c r="Q113" s="16"/>
      <c r="R113" s="16"/>
      <c r="S113" s="16"/>
      <c r="T113" s="16"/>
      <c r="U113" s="16"/>
      <c r="V113" s="16"/>
      <c r="W113" s="16"/>
      <c r="X113" s="16"/>
    </row>
    <row r="114" spans="1:24" ht="17.100000000000001" customHeight="1">
      <c r="A114" s="16"/>
      <c r="B114" s="74">
        <f>IF('ETF Data'!$H$2,IF('ETF Data'!V4="","",IF('ETF Data'!V4="","",'ETF Data'!V4)),"")</f>
        <v>46101</v>
      </c>
      <c r="C114" s="75"/>
      <c r="D114" s="75"/>
      <c r="E114" s="75"/>
      <c r="F114" s="75"/>
      <c r="G114" s="83">
        <f>IF('ETF Data'!$H$2,IF('ETF Data'!V4="","",IF('ETF Data'!W4="","",'ETF Data'!W4)),"")</f>
        <v>1.796999</v>
      </c>
      <c r="H114" s="83"/>
      <c r="I114" s="83"/>
      <c r="J114" s="83"/>
      <c r="K114" s="75">
        <f>IF('ETF Data'!$H$2,IF('ETF Data'!V4="","",IF('ETF Data'!X4="","",'ETF Data'!X4)),"")</f>
        <v>46142</v>
      </c>
      <c r="L114" s="75"/>
      <c r="M114" s="75"/>
      <c r="N114" s="75"/>
      <c r="O114" s="84"/>
      <c r="P114" s="16"/>
      <c r="Q114" s="56" t="s">
        <v>102</v>
      </c>
      <c r="R114" s="57"/>
      <c r="S114" s="57"/>
      <c r="T114" s="57"/>
      <c r="U114" s="57"/>
      <c r="V114" s="57"/>
      <c r="W114" s="58"/>
      <c r="X114" s="16"/>
    </row>
    <row r="115" spans="1:24" ht="17.100000000000001" customHeight="1">
      <c r="A115" s="16"/>
      <c r="B115" s="74"/>
      <c r="C115" s="75"/>
      <c r="D115" s="75"/>
      <c r="E115" s="75"/>
      <c r="F115" s="75"/>
      <c r="G115" s="83"/>
      <c r="H115" s="83"/>
      <c r="I115" s="83"/>
      <c r="J115" s="83"/>
      <c r="K115" s="75"/>
      <c r="L115" s="75"/>
      <c r="M115" s="75"/>
      <c r="N115" s="75"/>
      <c r="O115" s="84"/>
      <c r="P115" s="16"/>
      <c r="Q115" s="59"/>
      <c r="R115" s="60"/>
      <c r="S115" s="60"/>
      <c r="T115" s="60"/>
      <c r="U115" s="60"/>
      <c r="V115" s="60"/>
      <c r="W115" s="61"/>
      <c r="X115" s="16"/>
    </row>
    <row r="116" spans="1:24" ht="17.100000000000001" customHeight="1">
      <c r="A116" s="16"/>
      <c r="B116" s="74">
        <f>IF('ETF Data'!$H$2,IF('ETF Data'!V5="","",IF('ETF Data'!V5="","",'ETF Data'!V5)),"")</f>
        <v>46010</v>
      </c>
      <c r="C116" s="75"/>
      <c r="D116" s="75"/>
      <c r="E116" s="75"/>
      <c r="F116" s="75"/>
      <c r="G116" s="83">
        <f>IF('ETF Data'!$H$2,IF('ETF Data'!V5="","",IF('ETF Data'!W5="","",'ETF Data'!W5)),"")</f>
        <v>1.993368</v>
      </c>
      <c r="H116" s="83"/>
      <c r="I116" s="83"/>
      <c r="J116" s="83"/>
      <c r="K116" s="75">
        <f>IF('ETF Data'!$H$2,IF('ETF Data'!V5="","",IF('ETF Data'!X5="","",'ETF Data'!X5)),"")</f>
        <v>46052</v>
      </c>
      <c r="L116" s="75"/>
      <c r="M116" s="75"/>
      <c r="N116" s="75"/>
      <c r="O116" s="84"/>
      <c r="P116" s="16"/>
      <c r="Q116" s="22"/>
      <c r="R116" s="18"/>
      <c r="S116" s="18"/>
      <c r="T116" s="18"/>
      <c r="U116" s="18"/>
      <c r="V116" s="18"/>
      <c r="W116" s="23"/>
      <c r="X116" s="16"/>
    </row>
    <row r="117" spans="1:24" ht="17.100000000000001" customHeight="1">
      <c r="A117" s="16"/>
      <c r="B117" s="74"/>
      <c r="C117" s="75"/>
      <c r="D117" s="75"/>
      <c r="E117" s="75"/>
      <c r="F117" s="75"/>
      <c r="G117" s="83"/>
      <c r="H117" s="83"/>
      <c r="I117" s="83"/>
      <c r="J117" s="83"/>
      <c r="K117" s="75"/>
      <c r="L117" s="75"/>
      <c r="M117" s="75"/>
      <c r="N117" s="75"/>
      <c r="O117" s="84"/>
      <c r="P117" s="16"/>
      <c r="Q117" s="45" t="s">
        <v>103</v>
      </c>
      <c r="R117" s="46"/>
      <c r="S117" s="46"/>
      <c r="T117" s="46"/>
      <c r="U117" s="46"/>
      <c r="V117" s="46"/>
      <c r="W117" s="64"/>
      <c r="X117" s="16"/>
    </row>
    <row r="118" spans="1:24" ht="17.100000000000001" customHeight="1">
      <c r="A118" s="16"/>
      <c r="B118" s="22"/>
      <c r="C118" s="18"/>
      <c r="D118" s="18"/>
      <c r="E118" s="18"/>
      <c r="F118" s="18"/>
      <c r="G118" s="18"/>
      <c r="H118" s="18"/>
      <c r="I118" s="18"/>
      <c r="J118" s="18"/>
      <c r="K118" s="18"/>
      <c r="L118" s="18"/>
      <c r="M118" s="18"/>
      <c r="N118" s="18"/>
      <c r="O118" s="23"/>
      <c r="P118" s="16"/>
      <c r="Q118" s="45"/>
      <c r="R118" s="46"/>
      <c r="S118" s="46"/>
      <c r="T118" s="46"/>
      <c r="U118" s="46"/>
      <c r="V118" s="46"/>
      <c r="W118" s="64"/>
      <c r="X118" s="16"/>
    </row>
    <row r="119" spans="1:24" ht="17.100000000000001" customHeight="1">
      <c r="A119" s="16"/>
      <c r="B119" s="45" t="s">
        <v>53</v>
      </c>
      <c r="C119" s="46"/>
      <c r="D119" s="46"/>
      <c r="E119" s="46"/>
      <c r="F119" s="46"/>
      <c r="G119" s="46"/>
      <c r="H119" s="46"/>
      <c r="I119" s="46"/>
      <c r="J119" s="46"/>
      <c r="K119" s="46"/>
      <c r="L119" s="46"/>
      <c r="M119" s="46"/>
      <c r="N119" s="46"/>
      <c r="O119" s="64"/>
      <c r="P119" s="16"/>
      <c r="Q119" s="45"/>
      <c r="R119" s="46"/>
      <c r="S119" s="46"/>
      <c r="T119" s="46"/>
      <c r="U119" s="46"/>
      <c r="V119" s="46"/>
      <c r="W119" s="64"/>
      <c r="X119" s="16"/>
    </row>
    <row r="120" spans="1:24" ht="17.100000000000001" customHeight="1">
      <c r="A120" s="16"/>
      <c r="B120" s="47"/>
      <c r="C120" s="48"/>
      <c r="D120" s="48"/>
      <c r="E120" s="48"/>
      <c r="F120" s="48"/>
      <c r="G120" s="48"/>
      <c r="H120" s="48"/>
      <c r="I120" s="48"/>
      <c r="J120" s="48"/>
      <c r="K120" s="48"/>
      <c r="L120" s="48"/>
      <c r="M120" s="48"/>
      <c r="N120" s="48"/>
      <c r="O120" s="69"/>
      <c r="P120" s="16"/>
      <c r="Q120" s="45"/>
      <c r="R120" s="46"/>
      <c r="S120" s="46"/>
      <c r="T120" s="46"/>
      <c r="U120" s="46"/>
      <c r="V120" s="46"/>
      <c r="W120" s="64"/>
      <c r="X120" s="16"/>
    </row>
    <row r="121" spans="1:24" ht="17.100000000000001" customHeight="1">
      <c r="A121" s="16"/>
      <c r="B121" s="16"/>
      <c r="C121" s="16"/>
      <c r="D121" s="16"/>
      <c r="E121" s="16"/>
      <c r="F121" s="16"/>
      <c r="G121" s="16"/>
      <c r="H121" s="16"/>
      <c r="I121" s="16"/>
      <c r="J121" s="16"/>
      <c r="K121" s="16"/>
      <c r="L121" s="16"/>
      <c r="M121" s="16"/>
      <c r="N121" s="16"/>
      <c r="O121" s="16"/>
      <c r="P121" s="16"/>
      <c r="Q121" s="45"/>
      <c r="R121" s="46"/>
      <c r="S121" s="46"/>
      <c r="T121" s="46"/>
      <c r="U121" s="46"/>
      <c r="V121" s="46"/>
      <c r="W121" s="64"/>
      <c r="X121" s="16"/>
    </row>
    <row r="122" spans="1:24" ht="17.100000000000001" customHeight="1">
      <c r="A122" s="16"/>
      <c r="B122" s="16"/>
      <c r="C122" s="16"/>
      <c r="D122" s="16"/>
      <c r="E122" s="16"/>
      <c r="F122" s="16"/>
      <c r="G122" s="16"/>
      <c r="H122" s="16"/>
      <c r="I122" s="16"/>
      <c r="J122" s="16"/>
      <c r="K122" s="16"/>
      <c r="L122" s="16"/>
      <c r="M122" s="16"/>
      <c r="N122" s="16"/>
      <c r="O122" s="16"/>
      <c r="P122" s="16"/>
      <c r="Q122" s="22"/>
      <c r="R122" s="18"/>
      <c r="S122" s="18"/>
      <c r="T122" s="18"/>
      <c r="U122" s="18"/>
      <c r="V122" s="18"/>
      <c r="W122" s="23"/>
      <c r="X122" s="16"/>
    </row>
    <row r="123" spans="1:24" ht="17.100000000000001" customHeight="1">
      <c r="A123" s="16"/>
      <c r="B123" s="56" t="s">
        <v>55</v>
      </c>
      <c r="C123" s="57"/>
      <c r="D123" s="57"/>
      <c r="E123" s="57"/>
      <c r="F123" s="57"/>
      <c r="G123" s="57"/>
      <c r="H123" s="57"/>
      <c r="I123" s="57"/>
      <c r="J123" s="57"/>
      <c r="K123" s="57"/>
      <c r="L123" s="57"/>
      <c r="M123" s="57"/>
      <c r="N123" s="57"/>
      <c r="O123" s="58"/>
      <c r="P123" s="16"/>
      <c r="Q123" s="45" t="s">
        <v>104</v>
      </c>
      <c r="R123" s="46"/>
      <c r="S123" s="46"/>
      <c r="T123" s="46"/>
      <c r="U123" s="46"/>
      <c r="V123" s="46"/>
      <c r="W123" s="64"/>
      <c r="X123" s="16"/>
    </row>
    <row r="124" spans="1:24" ht="17.100000000000001" customHeight="1">
      <c r="A124" s="16"/>
      <c r="B124" s="59"/>
      <c r="C124" s="60"/>
      <c r="D124" s="60"/>
      <c r="E124" s="60"/>
      <c r="F124" s="60"/>
      <c r="G124" s="60"/>
      <c r="H124" s="60"/>
      <c r="I124" s="60"/>
      <c r="J124" s="60"/>
      <c r="K124" s="60"/>
      <c r="L124" s="60"/>
      <c r="M124" s="60"/>
      <c r="N124" s="60"/>
      <c r="O124" s="61"/>
      <c r="P124" s="16"/>
      <c r="Q124" s="45"/>
      <c r="R124" s="46"/>
      <c r="S124" s="46"/>
      <c r="T124" s="46"/>
      <c r="U124" s="46"/>
      <c r="V124" s="46"/>
      <c r="W124" s="64"/>
      <c r="X124" s="16"/>
    </row>
    <row r="125" spans="1:24" ht="17.100000000000001" customHeight="1">
      <c r="A125" s="16"/>
      <c r="B125" s="22"/>
      <c r="C125" s="18"/>
      <c r="D125" s="18"/>
      <c r="E125" s="18"/>
      <c r="F125" s="18"/>
      <c r="G125" s="18"/>
      <c r="H125" s="18"/>
      <c r="I125" s="18"/>
      <c r="J125" s="18"/>
      <c r="K125" s="18"/>
      <c r="L125" s="18"/>
      <c r="M125" s="18"/>
      <c r="N125" s="18"/>
      <c r="O125" s="23"/>
      <c r="P125" s="16"/>
      <c r="Q125" s="45"/>
      <c r="R125" s="46"/>
      <c r="S125" s="46"/>
      <c r="T125" s="46"/>
      <c r="U125" s="46"/>
      <c r="V125" s="46"/>
      <c r="W125" s="64"/>
      <c r="X125" s="16"/>
    </row>
    <row r="126" spans="1:24" ht="17.100000000000001" customHeight="1">
      <c r="A126" s="16"/>
      <c r="B126" s="85" t="str">
        <f>IF('ETF Data'!$H$2,IF('ETF Data'!AY2="","",IF('ETF Data'!AY2="","",'ETF Data'!AY2)),"")</f>
        <v>Delta Air Lines (DAL) Reports Record Revenue but Cuts Earnings Guidance. Can Profits Recover?</v>
      </c>
      <c r="C126" s="86"/>
      <c r="D126" s="86"/>
      <c r="E126" s="86"/>
      <c r="F126" s="86"/>
      <c r="G126" s="86"/>
      <c r="H126" s="86"/>
      <c r="I126" s="86"/>
      <c r="J126" s="86"/>
      <c r="K126" s="86"/>
      <c r="L126" s="86"/>
      <c r="M126" s="86"/>
      <c r="N126" s="86"/>
      <c r="O126" s="87"/>
      <c r="P126" s="16"/>
      <c r="Q126" s="45"/>
      <c r="R126" s="46"/>
      <c r="S126" s="46"/>
      <c r="T126" s="46"/>
      <c r="U126" s="46"/>
      <c r="V126" s="46"/>
      <c r="W126" s="64"/>
      <c r="X126" s="16"/>
    </row>
    <row r="127" spans="1:24" ht="17.100000000000001" customHeight="1">
      <c r="A127" s="16"/>
      <c r="B127" s="85"/>
      <c r="C127" s="86"/>
      <c r="D127" s="86"/>
      <c r="E127" s="86"/>
      <c r="F127" s="86"/>
      <c r="G127" s="86"/>
      <c r="H127" s="86"/>
      <c r="I127" s="86"/>
      <c r="J127" s="86"/>
      <c r="K127" s="86"/>
      <c r="L127" s="86"/>
      <c r="M127" s="86"/>
      <c r="N127" s="86"/>
      <c r="O127" s="87"/>
      <c r="P127" s="16"/>
      <c r="Q127" s="22"/>
      <c r="R127" s="18"/>
      <c r="S127" s="18"/>
      <c r="T127" s="18"/>
      <c r="U127" s="18"/>
      <c r="V127" s="18"/>
      <c r="W127" s="23"/>
      <c r="X127" s="16"/>
    </row>
    <row r="128" spans="1:24" ht="17.100000000000001" customHeight="1">
      <c r="A128" s="16"/>
      <c r="B128" s="88" t="str">
        <f>IF('ETF Data'!$H$2,IF('ETF Data'!AY2="","",IF('ETF Data'!BA2="","",'ETF Data'!BA2)),"")</f>
        <v>Insider Monkey</v>
      </c>
      <c r="C128" s="89"/>
      <c r="D128" s="89"/>
      <c r="E128" s="89"/>
      <c r="F128" s="89"/>
      <c r="G128" s="89"/>
      <c r="H128" s="89"/>
      <c r="I128" s="89"/>
      <c r="J128" s="89"/>
      <c r="K128" s="89"/>
      <c r="L128" s="89"/>
      <c r="M128" s="89"/>
      <c r="N128" s="89"/>
      <c r="O128" s="90"/>
      <c r="P128" s="16"/>
      <c r="Q128" s="24"/>
      <c r="R128" s="25"/>
      <c r="S128" s="25"/>
      <c r="T128" s="25"/>
      <c r="U128" s="25"/>
      <c r="V128" s="25"/>
      <c r="W128" s="26"/>
      <c r="X128" s="16"/>
    </row>
    <row r="129" spans="1:24" ht="17.100000000000001" customHeight="1">
      <c r="A129" s="16"/>
      <c r="B129" s="22"/>
      <c r="C129" s="18"/>
      <c r="D129" s="18"/>
      <c r="E129" s="18"/>
      <c r="F129" s="18"/>
      <c r="G129" s="18"/>
      <c r="H129" s="18"/>
      <c r="I129" s="18"/>
      <c r="J129" s="18"/>
      <c r="K129" s="18"/>
      <c r="L129" s="18"/>
      <c r="M129" s="18"/>
      <c r="N129" s="18"/>
      <c r="O129" s="23"/>
      <c r="P129" s="16"/>
      <c r="Q129" s="16"/>
      <c r="R129" s="16"/>
      <c r="S129" s="16"/>
      <c r="T129" s="16"/>
      <c r="U129" s="16"/>
      <c r="V129" s="16"/>
      <c r="W129" s="16"/>
      <c r="X129" s="16"/>
    </row>
    <row r="130" spans="1:24" ht="17.100000000000001" customHeight="1">
      <c r="A130" s="16"/>
      <c r="B130" s="85" t="str">
        <f>IF('ETF Data'!$H$2,IF('ETF Data'!AY3="","",IF('ETF Data'!AY3="","",'ETF Data'!AY3)),"")</f>
        <v>Joby Just Dropped 20% in a Month: Is It Time to Sell?</v>
      </c>
      <c r="C130" s="86"/>
      <c r="D130" s="86"/>
      <c r="E130" s="86"/>
      <c r="F130" s="86"/>
      <c r="G130" s="86"/>
      <c r="H130" s="86"/>
      <c r="I130" s="86"/>
      <c r="J130" s="86"/>
      <c r="K130" s="86"/>
      <c r="L130" s="86"/>
      <c r="M130" s="86"/>
      <c r="N130" s="86"/>
      <c r="O130" s="87"/>
      <c r="P130" s="16"/>
      <c r="Q130" s="16"/>
      <c r="R130" s="16"/>
      <c r="S130" s="16"/>
      <c r="T130" s="16"/>
      <c r="U130" s="16"/>
      <c r="V130" s="16"/>
      <c r="W130" s="16"/>
      <c r="X130" s="16"/>
    </row>
    <row r="131" spans="1:24" ht="17.100000000000001" customHeight="1">
      <c r="A131" s="16"/>
      <c r="B131" s="85"/>
      <c r="C131" s="86"/>
      <c r="D131" s="86"/>
      <c r="E131" s="86"/>
      <c r="F131" s="86"/>
      <c r="G131" s="86"/>
      <c r="H131" s="86"/>
      <c r="I131" s="86"/>
      <c r="J131" s="86"/>
      <c r="K131" s="86"/>
      <c r="L131" s="86"/>
      <c r="M131" s="86"/>
      <c r="N131" s="86"/>
      <c r="O131" s="87"/>
      <c r="P131" s="16"/>
      <c r="Q131" s="56" t="s">
        <v>105</v>
      </c>
      <c r="R131" s="57"/>
      <c r="S131" s="57"/>
      <c r="T131" s="57"/>
      <c r="U131" s="57"/>
      <c r="V131" s="57"/>
      <c r="W131" s="58"/>
      <c r="X131" s="16"/>
    </row>
    <row r="132" spans="1:24" ht="17.100000000000001" customHeight="1">
      <c r="A132" s="16"/>
      <c r="B132" s="88" t="str">
        <f>IF('ETF Data'!$H$2,IF('ETF Data'!AY3="","",IF('ETF Data'!BA3="","",'ETF Data'!BA3)),"")</f>
        <v>24/7 Wall St.</v>
      </c>
      <c r="C132" s="89"/>
      <c r="D132" s="89"/>
      <c r="E132" s="89"/>
      <c r="F132" s="89"/>
      <c r="G132" s="89"/>
      <c r="H132" s="89"/>
      <c r="I132" s="89"/>
      <c r="J132" s="89"/>
      <c r="K132" s="89"/>
      <c r="L132" s="89"/>
      <c r="M132" s="89"/>
      <c r="N132" s="89"/>
      <c r="O132" s="90"/>
      <c r="P132" s="16"/>
      <c r="Q132" s="59"/>
      <c r="R132" s="60"/>
      <c r="S132" s="60"/>
      <c r="T132" s="60"/>
      <c r="U132" s="60"/>
      <c r="V132" s="60"/>
      <c r="W132" s="61"/>
      <c r="X132" s="16"/>
    </row>
    <row r="133" spans="1:24" ht="17.100000000000001" customHeight="1">
      <c r="A133" s="16"/>
      <c r="B133" s="22"/>
      <c r="C133" s="18"/>
      <c r="D133" s="18"/>
      <c r="E133" s="18"/>
      <c r="F133" s="18"/>
      <c r="G133" s="18"/>
      <c r="H133" s="18"/>
      <c r="I133" s="18"/>
      <c r="J133" s="18"/>
      <c r="K133" s="18"/>
      <c r="L133" s="18"/>
      <c r="M133" s="18"/>
      <c r="N133" s="18"/>
      <c r="O133" s="23"/>
      <c r="P133" s="16"/>
      <c r="Q133" s="22"/>
      <c r="R133" s="18"/>
      <c r="S133" s="18"/>
      <c r="T133" s="18"/>
      <c r="U133" s="18"/>
      <c r="V133" s="18"/>
      <c r="W133" s="23"/>
      <c r="X133" s="16"/>
    </row>
    <row r="134" spans="1:24" ht="17.100000000000001" customHeight="1">
      <c r="A134" s="16"/>
      <c r="B134" s="85" t="str">
        <f>IF('ETF Data'!$H$2,IF('ETF Data'!AY4="","",IF('ETF Data'!AY4="","",'ETF Data'!AY4)),"")</f>
        <v>USA Rare Earth Drops 6% With Milestone-Based Government Funding Still Ahead of It; MP Materials Falls 6%, Critical Metals Holds Steady</v>
      </c>
      <c r="C134" s="86"/>
      <c r="D134" s="86"/>
      <c r="E134" s="86"/>
      <c r="F134" s="86"/>
      <c r="G134" s="86"/>
      <c r="H134" s="86"/>
      <c r="I134" s="86"/>
      <c r="J134" s="86"/>
      <c r="K134" s="86"/>
      <c r="L134" s="86"/>
      <c r="M134" s="86"/>
      <c r="N134" s="86"/>
      <c r="O134" s="87"/>
      <c r="P134" s="16"/>
      <c r="Q134" s="45" t="s">
        <v>106</v>
      </c>
      <c r="R134" s="46"/>
      <c r="S134" s="46"/>
      <c r="T134" s="46"/>
      <c r="U134" s="46"/>
      <c r="V134" s="46"/>
      <c r="W134" s="64"/>
      <c r="X134" s="16"/>
    </row>
    <row r="135" spans="1:24" ht="17.100000000000001" customHeight="1">
      <c r="A135" s="16"/>
      <c r="B135" s="85"/>
      <c r="C135" s="86"/>
      <c r="D135" s="86"/>
      <c r="E135" s="86"/>
      <c r="F135" s="86"/>
      <c r="G135" s="86"/>
      <c r="H135" s="86"/>
      <c r="I135" s="86"/>
      <c r="J135" s="86"/>
      <c r="K135" s="86"/>
      <c r="L135" s="86"/>
      <c r="M135" s="86"/>
      <c r="N135" s="86"/>
      <c r="O135" s="87"/>
      <c r="P135" s="16"/>
      <c r="Q135" s="45"/>
      <c r="R135" s="46"/>
      <c r="S135" s="46"/>
      <c r="T135" s="46"/>
      <c r="U135" s="46"/>
      <c r="V135" s="46"/>
      <c r="W135" s="64"/>
      <c r="X135" s="16"/>
    </row>
    <row r="136" spans="1:24" ht="17.100000000000001" customHeight="1">
      <c r="A136" s="16"/>
      <c r="B136" s="88" t="str">
        <f>IF('ETF Data'!$H$2,IF('ETF Data'!AY4="","",IF('ETF Data'!BA4="","",'ETF Data'!BA4)),"")</f>
        <v>24/7 Wall St.</v>
      </c>
      <c r="C136" s="89"/>
      <c r="D136" s="89"/>
      <c r="E136" s="89"/>
      <c r="F136" s="89"/>
      <c r="G136" s="89"/>
      <c r="H136" s="89"/>
      <c r="I136" s="89"/>
      <c r="J136" s="89"/>
      <c r="K136" s="89"/>
      <c r="L136" s="89"/>
      <c r="M136" s="89"/>
      <c r="N136" s="89"/>
      <c r="O136" s="90"/>
      <c r="P136" s="16"/>
      <c r="Q136" s="45"/>
      <c r="R136" s="46"/>
      <c r="S136" s="46"/>
      <c r="T136" s="46"/>
      <c r="U136" s="46"/>
      <c r="V136" s="46"/>
      <c r="W136" s="64"/>
      <c r="X136" s="16"/>
    </row>
    <row r="137" spans="1:24" ht="17.100000000000001" customHeight="1">
      <c r="A137" s="16"/>
      <c r="B137" s="22"/>
      <c r="C137" s="18"/>
      <c r="D137" s="18"/>
      <c r="E137" s="18"/>
      <c r="F137" s="18"/>
      <c r="G137" s="18"/>
      <c r="H137" s="18"/>
      <c r="I137" s="18"/>
      <c r="J137" s="18"/>
      <c r="K137" s="18"/>
      <c r="L137" s="18"/>
      <c r="M137" s="18"/>
      <c r="N137" s="18"/>
      <c r="O137" s="23"/>
      <c r="P137" s="16"/>
      <c r="Q137" s="45"/>
      <c r="R137" s="46"/>
      <c r="S137" s="46"/>
      <c r="T137" s="46"/>
      <c r="U137" s="46"/>
      <c r="V137" s="46"/>
      <c r="W137" s="64"/>
      <c r="X137" s="16"/>
    </row>
    <row r="138" spans="1:24" ht="17.100000000000001" customHeight="1">
      <c r="A138" s="16"/>
      <c r="B138" s="85" t="str">
        <f>IF('ETF Data'!$H$2,IF('ETF Data'!AY5="","",IF('ETF Data'!AY5="","",'ETF Data'!AY5)),"")</f>
        <v>T-Mobile Rebounds 3% After Record Drop on Starlink Spectrum Move; SpaceX Ticks Up, Verizon Edges Higher</v>
      </c>
      <c r="C138" s="86"/>
      <c r="D138" s="86"/>
      <c r="E138" s="86"/>
      <c r="F138" s="86"/>
      <c r="G138" s="86"/>
      <c r="H138" s="86"/>
      <c r="I138" s="86"/>
      <c r="J138" s="86"/>
      <c r="K138" s="86"/>
      <c r="L138" s="86"/>
      <c r="M138" s="86"/>
      <c r="N138" s="86"/>
      <c r="O138" s="87"/>
      <c r="P138" s="16"/>
      <c r="Q138" s="45"/>
      <c r="R138" s="46"/>
      <c r="S138" s="46"/>
      <c r="T138" s="46"/>
      <c r="U138" s="46"/>
      <c r="V138" s="46"/>
      <c r="W138" s="64"/>
      <c r="X138" s="16"/>
    </row>
    <row r="139" spans="1:24" ht="17.100000000000001" customHeight="1">
      <c r="A139" s="16"/>
      <c r="B139" s="85"/>
      <c r="C139" s="86"/>
      <c r="D139" s="86"/>
      <c r="E139" s="86"/>
      <c r="F139" s="86"/>
      <c r="G139" s="86"/>
      <c r="H139" s="86"/>
      <c r="I139" s="86"/>
      <c r="J139" s="86"/>
      <c r="K139" s="86"/>
      <c r="L139" s="86"/>
      <c r="M139" s="86"/>
      <c r="N139" s="86"/>
      <c r="O139" s="87"/>
      <c r="P139" s="16"/>
      <c r="Q139" s="115" t="str">
        <f>IF('ETF Data'!$B$78="Unavailable","Issuer documents: link not returned",IF('ETF Data'!$H$2,'ETF Data'!$B$78,"Refresh required"))</f>
        <v>https://www.ssga.com/us/en/institutional/etfs/resources/doc-viewer#spy&amp;prospectus</v>
      </c>
      <c r="R139" s="116"/>
      <c r="S139" s="116"/>
      <c r="T139" s="116"/>
      <c r="U139" s="116"/>
      <c r="V139" s="116"/>
      <c r="W139" s="117"/>
      <c r="X139" s="16"/>
    </row>
    <row r="140" spans="1:24" ht="17.100000000000001" customHeight="1">
      <c r="A140" s="16"/>
      <c r="B140" s="88" t="str">
        <f>IF('ETF Data'!$H$2,IF('ETF Data'!AY5="","",IF('ETF Data'!BA5="","",'ETF Data'!BA5)),"")</f>
        <v>24/7 Wall St.</v>
      </c>
      <c r="C140" s="89"/>
      <c r="D140" s="89"/>
      <c r="E140" s="89"/>
      <c r="F140" s="89"/>
      <c r="G140" s="89"/>
      <c r="H140" s="89"/>
      <c r="I140" s="89"/>
      <c r="J140" s="89"/>
      <c r="K140" s="89"/>
      <c r="L140" s="89"/>
      <c r="M140" s="89"/>
      <c r="N140" s="89"/>
      <c r="O140" s="90"/>
      <c r="P140" s="16"/>
      <c r="Q140" s="115"/>
      <c r="R140" s="116"/>
      <c r="S140" s="116"/>
      <c r="T140" s="116"/>
      <c r="U140" s="116"/>
      <c r="V140" s="116"/>
      <c r="W140" s="117"/>
      <c r="X140" s="16"/>
    </row>
    <row r="141" spans="1:24" ht="17.100000000000001" customHeight="1">
      <c r="A141" s="16"/>
      <c r="B141" s="22"/>
      <c r="C141" s="18"/>
      <c r="D141" s="18"/>
      <c r="E141" s="18"/>
      <c r="F141" s="18"/>
      <c r="G141" s="18"/>
      <c r="H141" s="18"/>
      <c r="I141" s="18"/>
      <c r="J141" s="18"/>
      <c r="K141" s="18"/>
      <c r="L141" s="18"/>
      <c r="M141" s="18"/>
      <c r="N141" s="18"/>
      <c r="O141" s="23"/>
      <c r="P141" s="16"/>
      <c r="Q141" s="115"/>
      <c r="R141" s="116"/>
      <c r="S141" s="116"/>
      <c r="T141" s="116"/>
      <c r="U141" s="116"/>
      <c r="V141" s="116"/>
      <c r="W141" s="117"/>
      <c r="X141" s="16"/>
    </row>
    <row r="142" spans="1:24" ht="17.100000000000001" customHeight="1">
      <c r="A142" s="16"/>
      <c r="B142" s="22"/>
      <c r="C142" s="18"/>
      <c r="D142" s="18"/>
      <c r="E142" s="18"/>
      <c r="F142" s="18"/>
      <c r="G142" s="18"/>
      <c r="H142" s="18"/>
      <c r="I142" s="18"/>
      <c r="J142" s="18"/>
      <c r="K142" s="18"/>
      <c r="L142" s="18"/>
      <c r="M142" s="18"/>
      <c r="N142" s="18"/>
      <c r="O142" s="23"/>
      <c r="P142" s="16"/>
      <c r="Q142" s="115"/>
      <c r="R142" s="116"/>
      <c r="S142" s="116"/>
      <c r="T142" s="116"/>
      <c r="U142" s="116"/>
      <c r="V142" s="116"/>
      <c r="W142" s="117"/>
      <c r="X142" s="16"/>
    </row>
    <row r="143" spans="1:24" ht="17.100000000000001" customHeight="1">
      <c r="A143" s="16"/>
      <c r="B143" s="22"/>
      <c r="C143" s="18"/>
      <c r="D143" s="18"/>
      <c r="E143" s="18"/>
      <c r="F143" s="18"/>
      <c r="G143" s="18"/>
      <c r="H143" s="18"/>
      <c r="I143" s="18"/>
      <c r="J143" s="18"/>
      <c r="K143" s="18"/>
      <c r="L143" s="18"/>
      <c r="M143" s="18"/>
      <c r="N143" s="18"/>
      <c r="O143" s="23"/>
      <c r="P143" s="16"/>
      <c r="Q143" s="22"/>
      <c r="R143" s="18"/>
      <c r="S143" s="18"/>
      <c r="T143" s="18"/>
      <c r="U143" s="18"/>
      <c r="V143" s="18"/>
      <c r="W143" s="23"/>
      <c r="X143" s="16"/>
    </row>
    <row r="144" spans="1:24" ht="17.100000000000001" customHeight="1">
      <c r="A144" s="16"/>
      <c r="B144" s="24"/>
      <c r="C144" s="25"/>
      <c r="D144" s="25"/>
      <c r="E144" s="25"/>
      <c r="F144" s="25"/>
      <c r="G144" s="25"/>
      <c r="H144" s="25"/>
      <c r="I144" s="25"/>
      <c r="J144" s="25"/>
      <c r="K144" s="25"/>
      <c r="L144" s="25"/>
      <c r="M144" s="25"/>
      <c r="N144" s="25"/>
      <c r="O144" s="26"/>
      <c r="P144" s="16"/>
      <c r="Q144" s="24"/>
      <c r="R144" s="25"/>
      <c r="S144" s="25"/>
      <c r="T144" s="25"/>
      <c r="U144" s="25"/>
      <c r="V144" s="25"/>
      <c r="W144" s="26"/>
      <c r="X144" s="16"/>
    </row>
    <row r="145" spans="1:24" ht="17.100000000000001" customHeight="1">
      <c r="A145" s="16"/>
      <c r="B145" s="16"/>
      <c r="C145" s="16"/>
      <c r="D145" s="16"/>
      <c r="E145" s="16"/>
      <c r="F145" s="16"/>
      <c r="G145" s="16"/>
      <c r="H145" s="16"/>
      <c r="I145" s="16"/>
      <c r="J145" s="16"/>
      <c r="K145" s="16"/>
      <c r="L145" s="16"/>
      <c r="M145" s="16"/>
      <c r="N145" s="16"/>
      <c r="O145" s="16"/>
      <c r="P145" s="16"/>
      <c r="Q145" s="16"/>
      <c r="R145" s="16"/>
      <c r="S145" s="16"/>
      <c r="T145" s="16"/>
      <c r="U145" s="16"/>
      <c r="V145" s="16"/>
      <c r="W145" s="16"/>
      <c r="X145" s="16"/>
    </row>
    <row r="146" spans="1:24" ht="17.100000000000001" customHeight="1">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row>
    <row r="147" spans="1:24" ht="17.100000000000001" customHeight="1">
      <c r="A147" s="16"/>
      <c r="B147" s="56" t="s">
        <v>60</v>
      </c>
      <c r="C147" s="57"/>
      <c r="D147" s="57"/>
      <c r="E147" s="57"/>
      <c r="F147" s="57"/>
      <c r="G147" s="57"/>
      <c r="H147" s="57"/>
      <c r="I147" s="57"/>
      <c r="J147" s="57"/>
      <c r="K147" s="57"/>
      <c r="L147" s="57"/>
      <c r="M147" s="57"/>
      <c r="N147" s="57"/>
      <c r="O147" s="57"/>
      <c r="P147" s="57"/>
      <c r="Q147" s="57"/>
      <c r="R147" s="57"/>
      <c r="S147" s="57"/>
      <c r="T147" s="57"/>
      <c r="U147" s="57"/>
      <c r="V147" s="57"/>
      <c r="W147" s="58"/>
      <c r="X147" s="16"/>
    </row>
    <row r="148" spans="1:24" ht="17.100000000000001" customHeight="1">
      <c r="A148" s="16"/>
      <c r="B148" s="59"/>
      <c r="C148" s="60"/>
      <c r="D148" s="60"/>
      <c r="E148" s="60"/>
      <c r="F148" s="60"/>
      <c r="G148" s="60"/>
      <c r="H148" s="60"/>
      <c r="I148" s="60"/>
      <c r="J148" s="60"/>
      <c r="K148" s="60"/>
      <c r="L148" s="60"/>
      <c r="M148" s="60"/>
      <c r="N148" s="60"/>
      <c r="O148" s="60"/>
      <c r="P148" s="60"/>
      <c r="Q148" s="60"/>
      <c r="R148" s="60"/>
      <c r="S148" s="60"/>
      <c r="T148" s="60"/>
      <c r="U148" s="60"/>
      <c r="V148" s="60"/>
      <c r="W148" s="61"/>
      <c r="X148" s="16"/>
    </row>
    <row r="149" spans="1:24" ht="17.100000000000001" customHeight="1">
      <c r="A149" s="16"/>
      <c r="B149" s="22"/>
      <c r="C149" s="18"/>
      <c r="D149" s="18"/>
      <c r="E149" s="18"/>
      <c r="F149" s="18"/>
      <c r="G149" s="18"/>
      <c r="H149" s="18"/>
      <c r="I149" s="18"/>
      <c r="J149" s="18"/>
      <c r="K149" s="18"/>
      <c r="L149" s="18"/>
      <c r="M149" s="18"/>
      <c r="N149" s="18"/>
      <c r="O149" s="18"/>
      <c r="P149" s="18"/>
      <c r="Q149" s="18"/>
      <c r="R149" s="18"/>
      <c r="S149" s="18"/>
      <c r="T149" s="18"/>
      <c r="U149" s="18"/>
      <c r="V149" s="18"/>
      <c r="W149" s="23"/>
      <c r="X149" s="16"/>
    </row>
    <row r="150" spans="1:24" ht="17.100000000000001" customHeight="1">
      <c r="A150" s="16"/>
      <c r="B150" s="101" t="str">
        <f>IF('ETF Data'!$H$2,'ETF Data'!$B$95,"Refresh required")</f>
        <v xml:space="preserve">Holdings as of 46304. Beta and Sharpe are ratios despite vendor Percent labels. </v>
      </c>
      <c r="C150" s="102"/>
      <c r="D150" s="102"/>
      <c r="E150" s="102"/>
      <c r="F150" s="102"/>
      <c r="G150" s="102"/>
      <c r="H150" s="102"/>
      <c r="I150" s="102"/>
      <c r="J150" s="102"/>
      <c r="K150" s="102"/>
      <c r="L150" s="102"/>
      <c r="M150" s="102"/>
      <c r="N150" s="102"/>
      <c r="O150" s="102"/>
      <c r="P150" s="102"/>
      <c r="Q150" s="102"/>
      <c r="R150" s="102"/>
      <c r="S150" s="102"/>
      <c r="T150" s="102"/>
      <c r="U150" s="102"/>
      <c r="V150" s="102"/>
      <c r="W150" s="103"/>
      <c r="X150" s="16"/>
    </row>
    <row r="151" spans="1:24" ht="17.100000000000001" customHeight="1">
      <c r="A151" s="16"/>
      <c r="B151" s="101"/>
      <c r="C151" s="102"/>
      <c r="D151" s="102"/>
      <c r="E151" s="102"/>
      <c r="F151" s="102"/>
      <c r="G151" s="102"/>
      <c r="H151" s="102"/>
      <c r="I151" s="102"/>
      <c r="J151" s="102"/>
      <c r="K151" s="102"/>
      <c r="L151" s="102"/>
      <c r="M151" s="102"/>
      <c r="N151" s="102"/>
      <c r="O151" s="102"/>
      <c r="P151" s="102"/>
      <c r="Q151" s="102"/>
      <c r="R151" s="102"/>
      <c r="S151" s="102"/>
      <c r="T151" s="102"/>
      <c r="U151" s="102"/>
      <c r="V151" s="102"/>
      <c r="W151" s="103"/>
      <c r="X151" s="16"/>
    </row>
    <row r="152" spans="1:24" ht="17.100000000000001" customHeight="1">
      <c r="A152" s="16"/>
      <c r="B152" s="101"/>
      <c r="C152" s="102"/>
      <c r="D152" s="102"/>
      <c r="E152" s="102"/>
      <c r="F152" s="102"/>
      <c r="G152" s="102"/>
      <c r="H152" s="102"/>
      <c r="I152" s="102"/>
      <c r="J152" s="102"/>
      <c r="K152" s="102"/>
      <c r="L152" s="102"/>
      <c r="M152" s="102"/>
      <c r="N152" s="102"/>
      <c r="O152" s="102"/>
      <c r="P152" s="102"/>
      <c r="Q152" s="102"/>
      <c r="R152" s="102"/>
      <c r="S152" s="102"/>
      <c r="T152" s="102"/>
      <c r="U152" s="102"/>
      <c r="V152" s="102"/>
      <c r="W152" s="103"/>
      <c r="X152" s="16"/>
    </row>
    <row r="153" spans="1:24" ht="17.100000000000001" customHeight="1">
      <c r="A153" s="16"/>
      <c r="B153" s="101"/>
      <c r="C153" s="102"/>
      <c r="D153" s="102"/>
      <c r="E153" s="102"/>
      <c r="F153" s="102"/>
      <c r="G153" s="102"/>
      <c r="H153" s="102"/>
      <c r="I153" s="102"/>
      <c r="J153" s="102"/>
      <c r="K153" s="102"/>
      <c r="L153" s="102"/>
      <c r="M153" s="102"/>
      <c r="N153" s="102"/>
      <c r="O153" s="102"/>
      <c r="P153" s="102"/>
      <c r="Q153" s="102"/>
      <c r="R153" s="102"/>
      <c r="S153" s="102"/>
      <c r="T153" s="102"/>
      <c r="U153" s="102"/>
      <c r="V153" s="102"/>
      <c r="W153" s="103"/>
      <c r="X153" s="16"/>
    </row>
    <row r="154" spans="1:24" ht="17.100000000000001" customHeight="1">
      <c r="A154" s="16"/>
      <c r="B154" s="101"/>
      <c r="C154" s="102"/>
      <c r="D154" s="102"/>
      <c r="E154" s="102"/>
      <c r="F154" s="102"/>
      <c r="G154" s="102"/>
      <c r="H154" s="102"/>
      <c r="I154" s="102"/>
      <c r="J154" s="102"/>
      <c r="K154" s="102"/>
      <c r="L154" s="102"/>
      <c r="M154" s="102"/>
      <c r="N154" s="102"/>
      <c r="O154" s="102"/>
      <c r="P154" s="102"/>
      <c r="Q154" s="102"/>
      <c r="R154" s="102"/>
      <c r="S154" s="102"/>
      <c r="T154" s="102"/>
      <c r="U154" s="102"/>
      <c r="V154" s="102"/>
      <c r="W154" s="103"/>
      <c r="X154" s="16"/>
    </row>
    <row r="155" spans="1:24" ht="17.100000000000001" customHeight="1">
      <c r="A155" s="16"/>
      <c r="B155" s="101"/>
      <c r="C155" s="102"/>
      <c r="D155" s="102"/>
      <c r="E155" s="102"/>
      <c r="F155" s="102"/>
      <c r="G155" s="102"/>
      <c r="H155" s="102"/>
      <c r="I155" s="102"/>
      <c r="J155" s="102"/>
      <c r="K155" s="102"/>
      <c r="L155" s="102"/>
      <c r="M155" s="102"/>
      <c r="N155" s="102"/>
      <c r="O155" s="102"/>
      <c r="P155" s="102"/>
      <c r="Q155" s="102"/>
      <c r="R155" s="102"/>
      <c r="S155" s="102"/>
      <c r="T155" s="102"/>
      <c r="U155" s="102"/>
      <c r="V155" s="102"/>
      <c r="W155" s="103"/>
      <c r="X155" s="16"/>
    </row>
    <row r="156" spans="1:24" ht="17.100000000000001" customHeight="1">
      <c r="A156" s="16"/>
      <c r="B156" s="101"/>
      <c r="C156" s="102"/>
      <c r="D156" s="102"/>
      <c r="E156" s="102"/>
      <c r="F156" s="102"/>
      <c r="G156" s="102"/>
      <c r="H156" s="102"/>
      <c r="I156" s="102"/>
      <c r="J156" s="102"/>
      <c r="K156" s="102"/>
      <c r="L156" s="102"/>
      <c r="M156" s="102"/>
      <c r="N156" s="102"/>
      <c r="O156" s="102"/>
      <c r="P156" s="102"/>
      <c r="Q156" s="102"/>
      <c r="R156" s="102"/>
      <c r="S156" s="102"/>
      <c r="T156" s="102"/>
      <c r="U156" s="102"/>
      <c r="V156" s="102"/>
      <c r="W156" s="103"/>
      <c r="X156" s="16"/>
    </row>
    <row r="157" spans="1:24" ht="17.100000000000001" customHeight="1">
      <c r="A157" s="16"/>
      <c r="B157" s="45" t="s">
        <v>61</v>
      </c>
      <c r="C157" s="46"/>
      <c r="D157" s="46"/>
      <c r="E157" s="46"/>
      <c r="F157" s="46"/>
      <c r="G157" s="46"/>
      <c r="H157" s="46"/>
      <c r="I157" s="46"/>
      <c r="J157" s="46"/>
      <c r="K157" s="46"/>
      <c r="L157" s="46"/>
      <c r="M157" s="46"/>
      <c r="N157" s="46"/>
      <c r="O157" s="46"/>
      <c r="P157" s="46"/>
      <c r="Q157" s="46"/>
      <c r="R157" s="46"/>
      <c r="S157" s="46"/>
      <c r="T157" s="46"/>
      <c r="U157" s="46"/>
      <c r="V157" s="46"/>
      <c r="W157" s="64"/>
      <c r="X157" s="16"/>
    </row>
    <row r="158" spans="1:24" ht="17.100000000000001" customHeight="1">
      <c r="A158" s="16"/>
      <c r="B158" s="47"/>
      <c r="C158" s="48"/>
      <c r="D158" s="48"/>
      <c r="E158" s="48"/>
      <c r="F158" s="48"/>
      <c r="G158" s="48"/>
      <c r="H158" s="48"/>
      <c r="I158" s="48"/>
      <c r="J158" s="48"/>
      <c r="K158" s="48"/>
      <c r="L158" s="48"/>
      <c r="M158" s="48"/>
      <c r="N158" s="48"/>
      <c r="O158" s="48"/>
      <c r="P158" s="48"/>
      <c r="Q158" s="48"/>
      <c r="R158" s="48"/>
      <c r="S158" s="48"/>
      <c r="T158" s="48"/>
      <c r="U158" s="48"/>
      <c r="V158" s="48"/>
      <c r="W158" s="69"/>
      <c r="X158" s="16"/>
    </row>
    <row r="159" spans="1:24" ht="17.100000000000001" customHeight="1">
      <c r="A159" s="16"/>
      <c r="B159" s="16"/>
      <c r="C159" s="16"/>
      <c r="D159" s="16"/>
      <c r="E159" s="16"/>
      <c r="F159" s="16"/>
      <c r="G159" s="16"/>
      <c r="H159" s="16"/>
      <c r="I159" s="16"/>
      <c r="J159" s="16"/>
      <c r="K159" s="16"/>
      <c r="L159" s="16"/>
      <c r="M159" s="16"/>
      <c r="N159" s="16"/>
      <c r="O159" s="16"/>
      <c r="P159" s="16"/>
      <c r="Q159" s="16"/>
      <c r="R159" s="16"/>
      <c r="S159" s="16"/>
      <c r="T159" s="16"/>
      <c r="U159" s="16"/>
      <c r="V159" s="16"/>
      <c r="W159" s="16"/>
      <c r="X159" s="16"/>
    </row>
    <row r="160" spans="1:24" ht="17.100000000000001" customHeight="1">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row>
    <row r="161" spans="1:24" ht="17.100000000000001" customHeight="1">
      <c r="A161" s="16"/>
      <c r="B161" s="104" t="s">
        <v>62</v>
      </c>
      <c r="C161" s="104"/>
      <c r="D161" s="104"/>
      <c r="E161" s="104"/>
      <c r="F161" s="104"/>
      <c r="G161" s="104"/>
      <c r="H161" s="104"/>
      <c r="I161" s="104"/>
      <c r="J161" s="104"/>
      <c r="K161" s="104"/>
      <c r="L161" s="104"/>
      <c r="M161" s="104"/>
      <c r="N161" s="104"/>
      <c r="O161" s="104"/>
      <c r="P161" s="104"/>
      <c r="Q161" s="104"/>
      <c r="R161" s="104"/>
      <c r="S161" s="104"/>
      <c r="T161" s="104"/>
      <c r="U161" s="104"/>
      <c r="V161" s="104"/>
      <c r="W161" s="104"/>
      <c r="X161" s="16"/>
    </row>
    <row r="162" spans="1:24" ht="17.100000000000001" customHeight="1">
      <c r="A162" s="16"/>
      <c r="B162" s="104"/>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6"/>
    </row>
    <row r="163" spans="1:24" ht="17.100000000000001" customHeight="1">
      <c r="A163" s="16"/>
      <c r="B163" s="105" t="s">
        <v>63</v>
      </c>
      <c r="C163" s="105"/>
      <c r="D163" s="105"/>
      <c r="E163" s="105"/>
      <c r="F163" s="105"/>
      <c r="G163" s="105"/>
      <c r="H163" s="105"/>
      <c r="I163" s="105"/>
      <c r="J163" s="105"/>
      <c r="K163" s="105"/>
      <c r="L163" s="105"/>
      <c r="M163" s="105"/>
      <c r="N163" s="105"/>
      <c r="O163" s="105"/>
      <c r="P163" s="105"/>
      <c r="Q163" s="105"/>
      <c r="R163" s="105"/>
      <c r="S163" s="105"/>
      <c r="T163" s="105"/>
      <c r="U163" s="105"/>
      <c r="V163" s="105"/>
      <c r="W163" s="105"/>
      <c r="X163" s="16"/>
    </row>
    <row r="164" spans="1:24" ht="17.100000000000001" customHeight="1">
      <c r="A164" s="16"/>
      <c r="B164" s="105"/>
      <c r="C164" s="105"/>
      <c r="D164" s="105"/>
      <c r="E164" s="105"/>
      <c r="F164" s="105"/>
      <c r="G164" s="105"/>
      <c r="H164" s="105"/>
      <c r="I164" s="105"/>
      <c r="J164" s="105"/>
      <c r="K164" s="105"/>
      <c r="L164" s="105"/>
      <c r="M164" s="105"/>
      <c r="N164" s="105"/>
      <c r="O164" s="105"/>
      <c r="P164" s="105"/>
      <c r="Q164" s="105"/>
      <c r="R164" s="105"/>
      <c r="S164" s="105"/>
      <c r="T164" s="105"/>
      <c r="U164" s="105"/>
      <c r="V164" s="105"/>
      <c r="W164" s="105"/>
      <c r="X164" s="16"/>
    </row>
    <row r="165" spans="1:24" ht="17.100000000000001" customHeight="1">
      <c r="A165" s="16"/>
      <c r="B165" s="105"/>
      <c r="C165" s="105"/>
      <c r="D165" s="105"/>
      <c r="E165" s="105"/>
      <c r="F165" s="105"/>
      <c r="G165" s="105"/>
      <c r="H165" s="105"/>
      <c r="I165" s="105"/>
      <c r="J165" s="105"/>
      <c r="K165" s="105"/>
      <c r="L165" s="105"/>
      <c r="M165" s="105"/>
      <c r="N165" s="105"/>
      <c r="O165" s="105"/>
      <c r="P165" s="105"/>
      <c r="Q165" s="105"/>
      <c r="R165" s="105"/>
      <c r="S165" s="105"/>
      <c r="T165" s="105"/>
      <c r="U165" s="105"/>
      <c r="V165" s="105"/>
      <c r="W165" s="105"/>
      <c r="X165" s="16"/>
    </row>
    <row r="166" spans="1:24" ht="17.100000000000001" customHeight="1">
      <c r="A166" s="16"/>
      <c r="B166" s="16"/>
      <c r="C166" s="16"/>
      <c r="D166" s="16"/>
      <c r="E166" s="16"/>
      <c r="F166" s="16"/>
      <c r="G166" s="16"/>
      <c r="H166" s="16"/>
      <c r="I166" s="16"/>
      <c r="J166" s="16"/>
      <c r="K166" s="16"/>
      <c r="L166" s="16"/>
      <c r="M166" s="16"/>
      <c r="N166" s="16"/>
      <c r="O166" s="16"/>
      <c r="P166" s="16"/>
      <c r="Q166" s="16"/>
      <c r="R166" s="16"/>
      <c r="S166" s="16"/>
      <c r="T166" s="16"/>
      <c r="U166" s="16"/>
      <c r="V166" s="16"/>
      <c r="W166" s="16"/>
      <c r="X166" s="16"/>
    </row>
    <row r="167" spans="1:24" ht="17.100000000000001" customHeight="1">
      <c r="A167" s="16"/>
      <c r="B167" s="32" t="str">
        <f>"Retrieved "&amp;IF(ISNUMBER(IF('ETF Data'!$H$2,'ETF Data'!$B$90,"Refresh required")),TEXT(IF('ETF Data'!$H$2,'ETF Data'!$B$90,"Refresh required"),"yyyy-mm-dd hh:mm:ss"),IF('ETF Data'!$H$2,'ETF Data'!$B$90,"Refresh required"))&amp;" · source observations may be older. Past performance does not guarantee future results."</f>
        <v>Retrieved 2026-10-12 18:25:51 · source observations may be older. Past performance does not guarantee future results.</v>
      </c>
      <c r="C167" s="32"/>
      <c r="D167" s="32"/>
      <c r="E167" s="32"/>
      <c r="F167" s="32"/>
      <c r="G167" s="32"/>
      <c r="H167" s="32"/>
      <c r="I167" s="32"/>
      <c r="J167" s="32"/>
      <c r="K167" s="32"/>
      <c r="L167" s="32"/>
      <c r="M167" s="32"/>
      <c r="N167" s="32"/>
      <c r="O167" s="32"/>
      <c r="P167" s="32"/>
      <c r="Q167" s="32"/>
      <c r="R167" s="32"/>
      <c r="S167" s="32"/>
      <c r="T167" s="32"/>
      <c r="U167" s="32"/>
      <c r="V167" s="32"/>
      <c r="W167" s="32"/>
      <c r="X167" s="16"/>
    </row>
    <row r="168" spans="1:24" ht="17.100000000000001" customHeight="1">
      <c r="A168" s="16"/>
      <c r="B168" s="32"/>
      <c r="C168" s="32"/>
      <c r="D168" s="32"/>
      <c r="E168" s="32"/>
      <c r="F168" s="32"/>
      <c r="G168" s="32"/>
      <c r="H168" s="32"/>
      <c r="I168" s="32"/>
      <c r="J168" s="32"/>
      <c r="K168" s="32"/>
      <c r="L168" s="32"/>
      <c r="M168" s="32"/>
      <c r="N168" s="32"/>
      <c r="O168" s="32"/>
      <c r="P168" s="32"/>
      <c r="Q168" s="32"/>
      <c r="R168" s="32"/>
      <c r="S168" s="32"/>
      <c r="T168" s="32"/>
      <c r="U168" s="32"/>
      <c r="V168" s="32"/>
      <c r="W168" s="32"/>
      <c r="X168" s="16"/>
    </row>
    <row r="169" spans="1:24" ht="17.100000000000001" customHeight="1">
      <c r="A169" s="16"/>
      <c r="B169" s="32"/>
      <c r="C169" s="32"/>
      <c r="D169" s="32"/>
      <c r="E169" s="32"/>
      <c r="F169" s="32"/>
      <c r="G169" s="32"/>
      <c r="H169" s="32"/>
      <c r="I169" s="32"/>
      <c r="J169" s="32"/>
      <c r="K169" s="32"/>
      <c r="L169" s="32"/>
      <c r="M169" s="32"/>
      <c r="N169" s="32"/>
      <c r="O169" s="32"/>
      <c r="P169" s="32"/>
      <c r="Q169" s="32"/>
      <c r="R169" s="32"/>
      <c r="S169" s="32"/>
      <c r="T169" s="32"/>
      <c r="U169" s="32"/>
      <c r="V169" s="32"/>
      <c r="W169" s="32"/>
      <c r="X169" s="16"/>
    </row>
    <row r="170" spans="1:24" ht="17.100000000000001" customHeight="1">
      <c r="A170" s="16"/>
      <c r="B170" s="32"/>
      <c r="C170" s="32"/>
      <c r="D170" s="32"/>
      <c r="E170" s="32"/>
      <c r="F170" s="32"/>
      <c r="G170" s="32"/>
      <c r="H170" s="32"/>
      <c r="I170" s="32"/>
      <c r="J170" s="32"/>
      <c r="K170" s="32"/>
      <c r="L170" s="32"/>
      <c r="M170" s="32"/>
      <c r="N170" s="32"/>
      <c r="O170" s="32"/>
      <c r="P170" s="32"/>
      <c r="Q170" s="32"/>
      <c r="R170" s="32"/>
      <c r="S170" s="32"/>
      <c r="T170" s="32"/>
      <c r="U170" s="32"/>
      <c r="V170" s="32"/>
      <c r="W170" s="32"/>
      <c r="X170" s="16"/>
    </row>
    <row r="171" spans="1:24" ht="17.100000000000001" customHeight="1">
      <c r="A171" s="16"/>
      <c r="B171" s="16"/>
      <c r="C171" s="16"/>
      <c r="D171" s="16"/>
      <c r="E171" s="16"/>
      <c r="F171" s="16"/>
      <c r="G171" s="16"/>
      <c r="H171" s="16"/>
      <c r="I171" s="16"/>
      <c r="J171" s="16"/>
      <c r="K171" s="16"/>
      <c r="L171" s="16"/>
      <c r="M171" s="16"/>
      <c r="N171" s="16"/>
      <c r="O171" s="16"/>
      <c r="P171" s="16"/>
      <c r="Q171" s="16"/>
      <c r="R171" s="16"/>
      <c r="S171" s="16"/>
      <c r="T171" s="16"/>
      <c r="U171" s="16"/>
      <c r="V171" s="16"/>
      <c r="W171" s="16"/>
      <c r="X171" s="16"/>
    </row>
    <row r="172" spans="1:24" ht="17.100000000000001" customHeight="1">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row>
  </sheetData>
  <mergeCells count="155">
    <mergeCell ref="B161:W162"/>
    <mergeCell ref="B163:W165"/>
    <mergeCell ref="B167:W170"/>
    <mergeCell ref="Q134:W138"/>
    <mergeCell ref="Q139:W142"/>
    <mergeCell ref="B147:W148"/>
    <mergeCell ref="B150:W156"/>
    <mergeCell ref="B157:W158"/>
    <mergeCell ref="Q110:W111"/>
    <mergeCell ref="Q114:W115"/>
    <mergeCell ref="Q117:W121"/>
    <mergeCell ref="Q123:W126"/>
    <mergeCell ref="Q131:W132"/>
    <mergeCell ref="Q102:T103"/>
    <mergeCell ref="U102:W103"/>
    <mergeCell ref="Q105:T106"/>
    <mergeCell ref="U105:W106"/>
    <mergeCell ref="Q108:T109"/>
    <mergeCell ref="U108:W109"/>
    <mergeCell ref="Q92:T93"/>
    <mergeCell ref="U92:W93"/>
    <mergeCell ref="Q95:W96"/>
    <mergeCell ref="Q98:W98"/>
    <mergeCell ref="Q99:T100"/>
    <mergeCell ref="U99:W100"/>
    <mergeCell ref="Q83:T84"/>
    <mergeCell ref="U83:W84"/>
    <mergeCell ref="Q86:T87"/>
    <mergeCell ref="U86:W87"/>
    <mergeCell ref="Q89:T90"/>
    <mergeCell ref="U89:W90"/>
    <mergeCell ref="B136:O136"/>
    <mergeCell ref="B138:O139"/>
    <mergeCell ref="B140:O140"/>
    <mergeCell ref="Q55:W56"/>
    <mergeCell ref="Q58:T59"/>
    <mergeCell ref="U58:W59"/>
    <mergeCell ref="Q61:T62"/>
    <mergeCell ref="U61:W62"/>
    <mergeCell ref="Q64:T65"/>
    <mergeCell ref="U64:W65"/>
    <mergeCell ref="Q67:T68"/>
    <mergeCell ref="U67:W68"/>
    <mergeCell ref="Q70:W73"/>
    <mergeCell ref="Q77:W78"/>
    <mergeCell ref="Q80:T81"/>
    <mergeCell ref="U80:W81"/>
    <mergeCell ref="B126:O127"/>
    <mergeCell ref="B128:O128"/>
    <mergeCell ref="B130:O131"/>
    <mergeCell ref="B132:O132"/>
    <mergeCell ref="B134:O135"/>
    <mergeCell ref="B116:F117"/>
    <mergeCell ref="G116:J117"/>
    <mergeCell ref="K116:O117"/>
    <mergeCell ref="B119:O120"/>
    <mergeCell ref="B123:O124"/>
    <mergeCell ref="B112:F113"/>
    <mergeCell ref="G112:J113"/>
    <mergeCell ref="K112:O113"/>
    <mergeCell ref="B114:F115"/>
    <mergeCell ref="G114:J115"/>
    <mergeCell ref="K114:O115"/>
    <mergeCell ref="B109:F109"/>
    <mergeCell ref="G109:J109"/>
    <mergeCell ref="K109:O109"/>
    <mergeCell ref="B110:F111"/>
    <mergeCell ref="G110:J111"/>
    <mergeCell ref="K110:O111"/>
    <mergeCell ref="B96:O98"/>
    <mergeCell ref="B102:O103"/>
    <mergeCell ref="B105:F105"/>
    <mergeCell ref="B106:F107"/>
    <mergeCell ref="H105:O105"/>
    <mergeCell ref="H106:O107"/>
    <mergeCell ref="B91:D92"/>
    <mergeCell ref="E91:L92"/>
    <mergeCell ref="M91:O92"/>
    <mergeCell ref="B93:D94"/>
    <mergeCell ref="E93:L94"/>
    <mergeCell ref="M93:O94"/>
    <mergeCell ref="B87:D88"/>
    <mergeCell ref="E87:L88"/>
    <mergeCell ref="M87:O88"/>
    <mergeCell ref="B89:D90"/>
    <mergeCell ref="E89:L90"/>
    <mergeCell ref="M89:O90"/>
    <mergeCell ref="B83:D84"/>
    <mergeCell ref="E83:L84"/>
    <mergeCell ref="M83:O84"/>
    <mergeCell ref="B85:D86"/>
    <mergeCell ref="E85:L86"/>
    <mergeCell ref="M85:O86"/>
    <mergeCell ref="B79:D80"/>
    <mergeCell ref="E79:L80"/>
    <mergeCell ref="M79:O80"/>
    <mergeCell ref="B81:D82"/>
    <mergeCell ref="E81:L82"/>
    <mergeCell ref="M81:O82"/>
    <mergeCell ref="B75:D76"/>
    <mergeCell ref="E75:L76"/>
    <mergeCell ref="M75:O76"/>
    <mergeCell ref="B77:D78"/>
    <mergeCell ref="E77:L78"/>
    <mergeCell ref="M77:O78"/>
    <mergeCell ref="B68:O69"/>
    <mergeCell ref="B71:O72"/>
    <mergeCell ref="B74:D74"/>
    <mergeCell ref="E74:L74"/>
    <mergeCell ref="M74:O74"/>
    <mergeCell ref="B64:O65"/>
    <mergeCell ref="Q32:W33"/>
    <mergeCell ref="Q35:T36"/>
    <mergeCell ref="U35:W36"/>
    <mergeCell ref="Q37:W38"/>
    <mergeCell ref="Q39:T40"/>
    <mergeCell ref="U39:W40"/>
    <mergeCell ref="Q41:W42"/>
    <mergeCell ref="Q43:T44"/>
    <mergeCell ref="U43:W44"/>
    <mergeCell ref="Q46:W48"/>
    <mergeCell ref="Q49:T50"/>
    <mergeCell ref="U49:W50"/>
    <mergeCell ref="B57:O58"/>
    <mergeCell ref="B60:F60"/>
    <mergeCell ref="B61:F62"/>
    <mergeCell ref="H60:O60"/>
    <mergeCell ref="H61:O62"/>
    <mergeCell ref="B35:F35"/>
    <mergeCell ref="B36:F37"/>
    <mergeCell ref="G35:K35"/>
    <mergeCell ref="G36:K37"/>
    <mergeCell ref="L35:O35"/>
    <mergeCell ref="L36:O37"/>
    <mergeCell ref="B29:E30"/>
    <mergeCell ref="F29:J30"/>
    <mergeCell ref="K29:O30"/>
    <mergeCell ref="Q29:W30"/>
    <mergeCell ref="B32:O33"/>
    <mergeCell ref="B20:O20"/>
    <mergeCell ref="B21:O21"/>
    <mergeCell ref="B23:O24"/>
    <mergeCell ref="R18:W20"/>
    <mergeCell ref="B26:W27"/>
    <mergeCell ref="B8:C10"/>
    <mergeCell ref="D8:W9"/>
    <mergeCell ref="D10:W11"/>
    <mergeCell ref="B14:J14"/>
    <mergeCell ref="B16:F18"/>
    <mergeCell ref="G17:O18"/>
    <mergeCell ref="Q2:W2"/>
    <mergeCell ref="B5:M6"/>
    <mergeCell ref="T4:U4"/>
    <mergeCell ref="T5:U6"/>
    <mergeCell ref="V5:W6"/>
  </mergeCells>
  <conditionalFormatting sqref="G17:O18">
    <cfRule type="expression" dxfId="3" priority="1">
      <formula>LEFT($G$17,1)="-"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245DC1"/>
  </sheetPr>
  <dimension ref="A1:X172"/>
  <sheetViews>
    <sheetView showGridLines="0" showRowColHeaders="0" zoomScale="80" workbookViewId="0">
      <pane ySplit="6" topLeftCell="A114" activePane="bottomLeft" state="frozen"/>
      <selection pane="bottomLeft" activeCell="Q139" sqref="Q139:W142"/>
    </sheetView>
  </sheetViews>
  <sheetFormatPr defaultRowHeight="14.25"/>
  <cols>
    <col min="1" max="1" width="2.25" customWidth="1"/>
    <col min="2" max="15" width="5.375" customWidth="1"/>
    <col min="16" max="16" width="2.25" customWidth="1"/>
    <col min="17" max="23" width="5.375" customWidth="1"/>
    <col min="24" max="24" width="2.25" customWidth="1"/>
  </cols>
  <sheetData>
    <row r="1" spans="1:24" ht="17.100000000000001" customHeight="1">
      <c r="A1" s="17"/>
      <c r="B1" s="17"/>
      <c r="C1" s="17"/>
      <c r="D1" s="17"/>
      <c r="E1" s="17"/>
      <c r="F1" s="17"/>
      <c r="G1" s="17"/>
      <c r="H1" s="17"/>
      <c r="I1" s="17"/>
      <c r="J1" s="17"/>
      <c r="K1" s="17"/>
      <c r="L1" s="17"/>
      <c r="M1" s="17"/>
      <c r="N1" s="17"/>
      <c r="O1" s="17"/>
      <c r="P1" s="17"/>
      <c r="Q1" s="17"/>
      <c r="R1" s="17"/>
      <c r="S1" s="17"/>
      <c r="T1" s="17"/>
      <c r="U1" s="17"/>
      <c r="V1" s="17"/>
      <c r="W1" s="17"/>
      <c r="X1" s="17"/>
    </row>
    <row r="2" spans="1:24" ht="17.100000000000001" customHeight="1">
      <c r="A2" s="17"/>
      <c r="B2" s="17"/>
      <c r="C2" s="17"/>
      <c r="D2" s="17"/>
      <c r="E2" s="17"/>
      <c r="F2" s="17"/>
      <c r="G2" s="17"/>
      <c r="H2" s="17"/>
      <c r="I2" s="17"/>
      <c r="J2" s="17"/>
      <c r="K2" s="17"/>
      <c r="L2" s="17"/>
      <c r="M2" s="17"/>
      <c r="N2" s="17"/>
      <c r="O2" s="17"/>
      <c r="P2" s="17"/>
      <c r="Q2" s="31" t="s">
        <v>0</v>
      </c>
      <c r="R2" s="31"/>
      <c r="S2" s="31"/>
      <c r="T2" s="31"/>
      <c r="U2" s="31"/>
      <c r="V2" s="31"/>
      <c r="W2" s="31"/>
      <c r="X2" s="17"/>
    </row>
    <row r="3" spans="1:24" ht="17.100000000000001" customHeight="1">
      <c r="A3" s="17"/>
      <c r="B3" s="17"/>
      <c r="C3" s="17"/>
      <c r="D3" s="17"/>
      <c r="E3" s="17"/>
      <c r="F3" s="17"/>
      <c r="G3" s="17"/>
      <c r="H3" s="17"/>
      <c r="I3" s="17"/>
      <c r="J3" s="17"/>
      <c r="K3" s="17"/>
      <c r="L3" s="17"/>
      <c r="M3" s="17"/>
      <c r="N3" s="17"/>
      <c r="O3" s="17"/>
      <c r="P3" s="17"/>
      <c r="Q3" s="17"/>
      <c r="R3" s="17"/>
      <c r="S3" s="17"/>
      <c r="T3" s="17"/>
      <c r="U3" s="17"/>
      <c r="V3" s="17"/>
      <c r="W3" s="17"/>
      <c r="X3" s="17"/>
    </row>
    <row r="4" spans="1:24" ht="17.100000000000001" customHeight="1">
      <c r="A4" s="16"/>
      <c r="B4" s="16"/>
      <c r="C4" s="16"/>
      <c r="D4" s="16"/>
      <c r="E4" s="16"/>
      <c r="F4" s="16"/>
      <c r="G4" s="16"/>
      <c r="H4" s="16"/>
      <c r="I4" s="16"/>
      <c r="J4" s="16"/>
      <c r="K4" s="16"/>
      <c r="L4" s="16"/>
      <c r="M4" s="16"/>
      <c r="N4" s="16"/>
      <c r="O4" s="16"/>
      <c r="P4" s="16"/>
      <c r="Q4" s="16"/>
      <c r="R4" s="16"/>
      <c r="S4" s="16"/>
      <c r="T4" s="33" t="s">
        <v>1</v>
      </c>
      <c r="U4" s="33"/>
      <c r="V4" s="16"/>
      <c r="W4" s="16"/>
      <c r="X4" s="16"/>
    </row>
    <row r="5" spans="1:24" ht="17.100000000000001" customHeight="1">
      <c r="A5" s="16"/>
      <c r="B5" s="32" t="s">
        <v>107</v>
      </c>
      <c r="C5" s="32"/>
      <c r="D5" s="32"/>
      <c r="E5" s="32"/>
      <c r="F5" s="32"/>
      <c r="G5" s="32"/>
      <c r="H5" s="32"/>
      <c r="I5" s="32"/>
      <c r="J5" s="32"/>
      <c r="K5" s="32"/>
      <c r="L5" s="32"/>
      <c r="M5" s="32"/>
      <c r="N5" s="16"/>
      <c r="O5" s="16"/>
      <c r="P5" s="16"/>
      <c r="Q5" s="16"/>
      <c r="R5" s="16"/>
      <c r="S5" s="16"/>
      <c r="T5" s="34" t="s">
        <v>979</v>
      </c>
      <c r="U5" s="35"/>
      <c r="V5" s="38" t="s">
        <v>4</v>
      </c>
      <c r="W5" s="38"/>
      <c r="X5" s="16"/>
    </row>
    <row r="6" spans="1:24" ht="17.100000000000001" customHeight="1">
      <c r="A6" s="16"/>
      <c r="B6" s="32"/>
      <c r="C6" s="32"/>
      <c r="D6" s="32"/>
      <c r="E6" s="32"/>
      <c r="F6" s="32"/>
      <c r="G6" s="32"/>
      <c r="H6" s="32"/>
      <c r="I6" s="32"/>
      <c r="J6" s="32"/>
      <c r="K6" s="32"/>
      <c r="L6" s="32"/>
      <c r="M6" s="32"/>
      <c r="N6" s="16"/>
      <c r="O6" s="16"/>
      <c r="P6" s="16"/>
      <c r="Q6" s="16"/>
      <c r="R6" s="16"/>
      <c r="S6" s="16"/>
      <c r="T6" s="36"/>
      <c r="U6" s="37"/>
      <c r="V6" s="38"/>
      <c r="W6" s="38"/>
      <c r="X6" s="16"/>
    </row>
    <row r="7" spans="1:24" ht="17.100000000000001" customHeight="1">
      <c r="A7" s="16"/>
      <c r="B7" s="16"/>
      <c r="C7" s="16"/>
      <c r="D7" s="16"/>
      <c r="E7" s="16"/>
      <c r="F7" s="16"/>
      <c r="G7" s="16"/>
      <c r="H7" s="16"/>
      <c r="I7" s="16"/>
      <c r="J7" s="16"/>
      <c r="K7" s="16"/>
      <c r="L7" s="16"/>
      <c r="M7" s="16"/>
      <c r="N7" s="16"/>
      <c r="O7" s="16"/>
      <c r="P7" s="16"/>
      <c r="Q7" s="16"/>
      <c r="R7" s="16"/>
      <c r="S7" s="16"/>
      <c r="T7" s="16"/>
      <c r="U7" s="16"/>
      <c r="V7" s="16"/>
      <c r="W7" s="16"/>
      <c r="X7" s="16"/>
    </row>
    <row r="8" spans="1:24" ht="17.100000000000001" customHeight="1">
      <c r="A8" s="16"/>
      <c r="B8" s="163" t="str">
        <f>IF('Fund Data'!$H$2,'Fund Data'!$B$88,"Refresh required")</f>
        <v>SNXFX</v>
      </c>
      <c r="C8" s="163"/>
      <c r="D8" s="39" t="str">
        <f>IF('Fund Data'!$H$2,'Fund Data'!$B$2,"Refresh required")</f>
        <v>Schwab Investments - Schwab 1000 Index Fd USD</v>
      </c>
      <c r="E8" s="39"/>
      <c r="F8" s="39"/>
      <c r="G8" s="39"/>
      <c r="H8" s="39"/>
      <c r="I8" s="39"/>
      <c r="J8" s="39"/>
      <c r="K8" s="39"/>
      <c r="L8" s="39"/>
      <c r="M8" s="39"/>
      <c r="N8" s="39"/>
      <c r="O8" s="39"/>
      <c r="P8" s="39"/>
      <c r="Q8" s="39"/>
      <c r="R8" s="39"/>
      <c r="S8" s="39"/>
      <c r="T8" s="39"/>
      <c r="U8" s="39"/>
      <c r="V8" s="39"/>
      <c r="W8" s="39"/>
      <c r="X8" s="16"/>
    </row>
    <row r="9" spans="1:24" ht="17.100000000000001" customHeight="1">
      <c r="A9" s="16"/>
      <c r="B9" s="163"/>
      <c r="C9" s="163"/>
      <c r="D9" s="39"/>
      <c r="E9" s="39"/>
      <c r="F9" s="39"/>
      <c r="G9" s="39"/>
      <c r="H9" s="39"/>
      <c r="I9" s="39"/>
      <c r="J9" s="39"/>
      <c r="K9" s="39"/>
      <c r="L9" s="39"/>
      <c r="M9" s="39"/>
      <c r="N9" s="39"/>
      <c r="O9" s="39"/>
      <c r="P9" s="39"/>
      <c r="Q9" s="39"/>
      <c r="R9" s="39"/>
      <c r="S9" s="39"/>
      <c r="T9" s="39"/>
      <c r="U9" s="39"/>
      <c r="V9" s="39"/>
      <c r="W9" s="39"/>
      <c r="X9" s="16"/>
    </row>
    <row r="10" spans="1:24" ht="17.100000000000001" customHeight="1">
      <c r="A10" s="16"/>
      <c r="B10" s="163"/>
      <c r="C10" s="163"/>
      <c r="D10" s="32" t="str">
        <f>IF('Fund Data'!$H$2,'Fund Data'!$B$88,"Refresh required")&amp;"  ·  Mutual Fund  ·  "&amp;IF('Fund Data'!$B$4="XNYS","NYSE",IF('Fund Data'!$B$4="ARCX","NYSE Arca",IF('Fund Data'!$B$89="Mutual Fund","Daily NAV",IF('Fund Data'!$H$2,'Fund Data'!$B$4,"Refresh required"))))&amp;"  ·  "&amp;IF('Fund Data'!$H$2,'Fund Data'!$B$3,"Refresh required")</f>
        <v>SNXFX  ·  Mutual Fund  ·  Daily NAV  ·  USD</v>
      </c>
      <c r="E10" s="32"/>
      <c r="F10" s="32"/>
      <c r="G10" s="32"/>
      <c r="H10" s="32"/>
      <c r="I10" s="32"/>
      <c r="J10" s="32"/>
      <c r="K10" s="32"/>
      <c r="L10" s="32"/>
      <c r="M10" s="32"/>
      <c r="N10" s="32"/>
      <c r="O10" s="32"/>
      <c r="P10" s="32"/>
      <c r="Q10" s="32"/>
      <c r="R10" s="32"/>
      <c r="S10" s="32"/>
      <c r="T10" s="32"/>
      <c r="U10" s="32"/>
      <c r="V10" s="32"/>
      <c r="W10" s="32"/>
      <c r="X10" s="16"/>
    </row>
    <row r="11" spans="1:24" ht="17.100000000000001" customHeight="1">
      <c r="A11" s="16"/>
      <c r="B11" s="16"/>
      <c r="C11" s="16"/>
      <c r="D11" s="32"/>
      <c r="E11" s="32"/>
      <c r="F11" s="32"/>
      <c r="G11" s="32"/>
      <c r="H11" s="32"/>
      <c r="I11" s="32"/>
      <c r="J11" s="32"/>
      <c r="K11" s="32"/>
      <c r="L11" s="32"/>
      <c r="M11" s="32"/>
      <c r="N11" s="32"/>
      <c r="O11" s="32"/>
      <c r="P11" s="32"/>
      <c r="Q11" s="32"/>
      <c r="R11" s="32"/>
      <c r="S11" s="32"/>
      <c r="T11" s="32"/>
      <c r="U11" s="32"/>
      <c r="V11" s="32"/>
      <c r="W11" s="32"/>
      <c r="X11" s="16"/>
    </row>
    <row r="12" spans="1:24" ht="17.100000000000001" customHeight="1">
      <c r="A12" s="16"/>
      <c r="B12" s="16"/>
      <c r="C12" s="16"/>
      <c r="D12" s="16"/>
      <c r="E12" s="16"/>
      <c r="F12" s="16"/>
      <c r="G12" s="16"/>
      <c r="H12" s="16"/>
      <c r="I12" s="16"/>
      <c r="J12" s="16"/>
      <c r="K12" s="16"/>
      <c r="L12" s="16"/>
      <c r="M12" s="16"/>
      <c r="N12" s="16"/>
      <c r="O12" s="16"/>
      <c r="P12" s="16"/>
      <c r="Q12" s="16"/>
      <c r="R12" s="16"/>
      <c r="S12" s="16"/>
      <c r="T12" s="16"/>
      <c r="U12" s="16"/>
      <c r="V12" s="16"/>
      <c r="W12" s="16"/>
      <c r="X12" s="16"/>
    </row>
    <row r="13" spans="1:24" ht="17.100000000000001" customHeight="1">
      <c r="A13" s="16"/>
      <c r="B13" s="19"/>
      <c r="C13" s="20"/>
      <c r="D13" s="20"/>
      <c r="E13" s="20"/>
      <c r="F13" s="20"/>
      <c r="G13" s="20"/>
      <c r="H13" s="20"/>
      <c r="I13" s="20"/>
      <c r="J13" s="20"/>
      <c r="K13" s="20"/>
      <c r="L13" s="20"/>
      <c r="M13" s="20"/>
      <c r="N13" s="20"/>
      <c r="O13" s="20"/>
      <c r="P13" s="20"/>
      <c r="Q13" s="20"/>
      <c r="R13" s="20"/>
      <c r="S13" s="20"/>
      <c r="T13" s="20"/>
      <c r="U13" s="20"/>
      <c r="V13" s="20"/>
      <c r="W13" s="21"/>
      <c r="X13" s="16"/>
    </row>
    <row r="14" spans="1:24" ht="17.100000000000001" customHeight="1">
      <c r="A14" s="16"/>
      <c r="B14" s="40" t="s">
        <v>108</v>
      </c>
      <c r="C14" s="41"/>
      <c r="D14" s="41"/>
      <c r="E14" s="41"/>
      <c r="F14" s="41"/>
      <c r="G14" s="41"/>
      <c r="H14" s="41"/>
      <c r="I14" s="41"/>
      <c r="J14" s="41"/>
      <c r="K14" s="18"/>
      <c r="L14" s="18"/>
      <c r="M14" s="18"/>
      <c r="N14" s="18"/>
      <c r="O14" s="18"/>
      <c r="P14" s="18"/>
      <c r="Q14" s="18"/>
      <c r="R14" s="18"/>
      <c r="S14" s="18"/>
      <c r="T14" s="18"/>
      <c r="U14" s="18"/>
      <c r="V14" s="18"/>
      <c r="W14" s="23"/>
      <c r="X14" s="16"/>
    </row>
    <row r="15" spans="1:24" ht="17.100000000000001" customHeight="1">
      <c r="A15" s="16"/>
      <c r="B15" s="22"/>
      <c r="C15" s="18"/>
      <c r="D15" s="18"/>
      <c r="E15" s="18"/>
      <c r="F15" s="18"/>
      <c r="G15" s="18"/>
      <c r="H15" s="18"/>
      <c r="I15" s="18"/>
      <c r="J15" s="18"/>
      <c r="K15" s="18"/>
      <c r="L15" s="18"/>
      <c r="M15" s="18"/>
      <c r="N15" s="18"/>
      <c r="O15" s="18"/>
      <c r="P15" s="18"/>
      <c r="Q15" s="18"/>
      <c r="R15" s="18"/>
      <c r="S15" s="18"/>
      <c r="T15" s="18"/>
      <c r="U15" s="18"/>
      <c r="V15" s="18"/>
      <c r="W15" s="23"/>
      <c r="X15" s="16"/>
    </row>
    <row r="16" spans="1:24" ht="17.100000000000001" customHeight="1">
      <c r="A16" s="16"/>
      <c r="B16" s="42">
        <f>IF('Fund Data'!$H$2,'Fund Data'!$B$5,"Refresh required")</f>
        <v>16.739999999999998</v>
      </c>
      <c r="C16" s="43"/>
      <c r="D16" s="43"/>
      <c r="E16" s="43"/>
      <c r="F16" s="43"/>
      <c r="G16" s="18"/>
      <c r="H16" s="18"/>
      <c r="I16" s="18"/>
      <c r="J16" s="18"/>
      <c r="K16" s="18"/>
      <c r="L16" s="18"/>
      <c r="M16" s="18"/>
      <c r="N16" s="18"/>
      <c r="O16" s="18"/>
      <c r="P16" s="18"/>
      <c r="Q16" s="18"/>
      <c r="R16" s="18"/>
      <c r="S16" s="18"/>
      <c r="T16" s="18"/>
      <c r="U16" s="18"/>
      <c r="V16" s="18"/>
      <c r="W16" s="23"/>
      <c r="X16" s="16"/>
    </row>
    <row r="17" spans="1:24" ht="17.100000000000001" customHeight="1">
      <c r="A17" s="16"/>
      <c r="B17" s="42"/>
      <c r="C17" s="43"/>
      <c r="D17" s="43"/>
      <c r="E17" s="43"/>
      <c r="F17" s="43"/>
      <c r="G17" s="44" t="str">
        <f>IF(ISNUMBER(IF('Fund Data'!$H$2,'Fund Data'!$B$7,"Refresh required")),TEXT(IF('Fund Data'!$H$2,'Fund Data'!$B$7,"Refresh required"),"+$0.00;-$0.00;$0.00"),IF('Fund Data'!$H$2,'Fund Data'!$B$7,"Refresh required"))&amp;"  ("&amp;IF(ISNUMBER(IF('Fund Data'!$H$2,'Fund Data'!$B$8,"Refresh required")),TEXT(IF('Fund Data'!$H$2,'Fund Data'!$B$8,"Refresh required"),"+0.00%;-0.00%;0.00%"),IF('Fund Data'!$H$2,'Fund Data'!$B$8,"Refresh required"))&amp;")"</f>
        <v>+$0.10  (+0.60%)</v>
      </c>
      <c r="H17" s="44"/>
      <c r="I17" s="44"/>
      <c r="J17" s="44"/>
      <c r="K17" s="44"/>
      <c r="L17" s="44"/>
      <c r="M17" s="44"/>
      <c r="N17" s="44"/>
      <c r="O17" s="44"/>
      <c r="P17" s="18"/>
      <c r="Q17" s="18"/>
      <c r="R17" s="18"/>
      <c r="S17" s="18"/>
      <c r="T17" s="18"/>
      <c r="U17" s="18"/>
      <c r="V17" s="18"/>
      <c r="W17" s="23"/>
      <c r="X17" s="16"/>
    </row>
    <row r="18" spans="1:24" ht="17.100000000000001" customHeight="1">
      <c r="A18" s="16"/>
      <c r="B18" s="42"/>
      <c r="C18" s="43"/>
      <c r="D18" s="43"/>
      <c r="E18" s="43"/>
      <c r="F18" s="43"/>
      <c r="G18" s="44"/>
      <c r="H18" s="44"/>
      <c r="I18" s="44"/>
      <c r="J18" s="44"/>
      <c r="K18" s="44"/>
      <c r="L18" s="44"/>
      <c r="M18" s="44"/>
      <c r="N18" s="44"/>
      <c r="O18" s="44"/>
      <c r="P18" s="18"/>
      <c r="Q18" s="18"/>
      <c r="R18" s="49" t="s">
        <v>6</v>
      </c>
      <c r="S18" s="49"/>
      <c r="T18" s="49"/>
      <c r="U18" s="49"/>
      <c r="V18" s="49"/>
      <c r="W18" s="50"/>
      <c r="X18" s="16"/>
    </row>
    <row r="19" spans="1:24" ht="17.100000000000001" customHeight="1">
      <c r="A19" s="16"/>
      <c r="B19" s="22"/>
      <c r="C19" s="18"/>
      <c r="D19" s="18"/>
      <c r="E19" s="18"/>
      <c r="F19" s="18"/>
      <c r="G19" s="18"/>
      <c r="H19" s="18"/>
      <c r="I19" s="18"/>
      <c r="J19" s="18"/>
      <c r="K19" s="18"/>
      <c r="L19" s="18"/>
      <c r="M19" s="18"/>
      <c r="N19" s="18"/>
      <c r="O19" s="18"/>
      <c r="P19" s="18"/>
      <c r="Q19" s="18"/>
      <c r="R19" s="49"/>
      <c r="S19" s="49"/>
      <c r="T19" s="49"/>
      <c r="U19" s="49"/>
      <c r="V19" s="49"/>
      <c r="W19" s="50"/>
      <c r="X19" s="16"/>
    </row>
    <row r="20" spans="1:24" ht="17.100000000000001" customHeight="1">
      <c r="A20" s="16"/>
      <c r="B20" s="45" t="str">
        <f>"As of "&amp;IF('Fund Data'!$H$2,'Fund Data'!$B$9,"Refresh required")</f>
        <v>As of 46304</v>
      </c>
      <c r="C20" s="46"/>
      <c r="D20" s="46"/>
      <c r="E20" s="46"/>
      <c r="F20" s="46"/>
      <c r="G20" s="46"/>
      <c r="H20" s="46"/>
      <c r="I20" s="46"/>
      <c r="J20" s="46"/>
      <c r="K20" s="46"/>
      <c r="L20" s="46"/>
      <c r="M20" s="46"/>
      <c r="N20" s="46"/>
      <c r="O20" s="46"/>
      <c r="P20" s="18"/>
      <c r="Q20" s="18"/>
      <c r="R20" s="49"/>
      <c r="S20" s="49"/>
      <c r="T20" s="49"/>
      <c r="U20" s="49"/>
      <c r="V20" s="49"/>
      <c r="W20" s="50"/>
      <c r="X20" s="16"/>
    </row>
    <row r="21" spans="1:24" ht="17.100000000000001" customHeight="1">
      <c r="A21" s="16"/>
      <c r="B21" s="45" t="str">
        <f>"Priced once daily · "&amp;IF('Fund Data'!$H$2,'Fund Data'!$B$3,"Refresh required")&amp;" per share"</f>
        <v>Priced once daily · USD per share</v>
      </c>
      <c r="C21" s="46"/>
      <c r="D21" s="46"/>
      <c r="E21" s="46"/>
      <c r="F21" s="46"/>
      <c r="G21" s="46"/>
      <c r="H21" s="46"/>
      <c r="I21" s="46"/>
      <c r="J21" s="46"/>
      <c r="K21" s="46"/>
      <c r="L21" s="46"/>
      <c r="M21" s="46"/>
      <c r="N21" s="46"/>
      <c r="O21" s="46"/>
      <c r="P21" s="18"/>
      <c r="Q21" s="18"/>
      <c r="R21" s="18"/>
      <c r="S21" s="18"/>
      <c r="T21" s="18"/>
      <c r="U21" s="18"/>
      <c r="V21" s="18"/>
      <c r="W21" s="23"/>
      <c r="X21" s="16"/>
    </row>
    <row r="22" spans="1:24" ht="17.100000000000001" customHeight="1">
      <c r="A22" s="16"/>
      <c r="B22" s="22"/>
      <c r="C22" s="18"/>
      <c r="D22" s="18"/>
      <c r="E22" s="18"/>
      <c r="F22" s="18"/>
      <c r="G22" s="18"/>
      <c r="H22" s="18"/>
      <c r="I22" s="18"/>
      <c r="J22" s="18"/>
      <c r="K22" s="18"/>
      <c r="L22" s="18"/>
      <c r="M22" s="18"/>
      <c r="N22" s="18"/>
      <c r="O22" s="18"/>
      <c r="P22" s="18"/>
      <c r="Q22" s="18"/>
      <c r="R22" s="18"/>
      <c r="S22" s="18"/>
      <c r="T22" s="18"/>
      <c r="U22" s="18"/>
      <c r="V22" s="18"/>
      <c r="W22" s="23"/>
      <c r="X22" s="16"/>
    </row>
    <row r="23" spans="1:24" ht="17.100000000000001" customHeight="1">
      <c r="A23" s="16"/>
      <c r="B23" s="45" t="str">
        <f>"Previous NAV "&amp;IF(ISNUMBER(IF('Fund Data'!$H$2,'Fund Data'!$B$12,"Refresh required")),TEXT(IF('Fund Data'!$H$2,'Fund Data'!$B$12,"Refresh required"),"$0.00"),IF('Fund Data'!$H$2,'Fund Data'!$B$12,"Refresh required"))</f>
        <v>Previous NAV $16.64</v>
      </c>
      <c r="C23" s="46"/>
      <c r="D23" s="46"/>
      <c r="E23" s="46"/>
      <c r="F23" s="46"/>
      <c r="G23" s="46"/>
      <c r="H23" s="46"/>
      <c r="I23" s="46"/>
      <c r="J23" s="46"/>
      <c r="K23" s="46"/>
      <c r="L23" s="46"/>
      <c r="M23" s="46"/>
      <c r="N23" s="46"/>
      <c r="O23" s="46"/>
      <c r="P23" s="18"/>
      <c r="Q23" s="18"/>
      <c r="R23" s="18"/>
      <c r="S23" s="18"/>
      <c r="T23" s="18"/>
      <c r="U23" s="18"/>
      <c r="V23" s="18"/>
      <c r="W23" s="23"/>
      <c r="X23" s="16"/>
    </row>
    <row r="24" spans="1:24" ht="17.100000000000001" customHeight="1">
      <c r="A24" s="16"/>
      <c r="B24" s="47"/>
      <c r="C24" s="48"/>
      <c r="D24" s="48"/>
      <c r="E24" s="48"/>
      <c r="F24" s="48"/>
      <c r="G24" s="48"/>
      <c r="H24" s="48"/>
      <c r="I24" s="48"/>
      <c r="J24" s="48"/>
      <c r="K24" s="48"/>
      <c r="L24" s="48"/>
      <c r="M24" s="48"/>
      <c r="N24" s="48"/>
      <c r="O24" s="48"/>
      <c r="P24" s="25"/>
      <c r="Q24" s="25"/>
      <c r="R24" s="25"/>
      <c r="S24" s="25"/>
      <c r="T24" s="25"/>
      <c r="U24" s="25"/>
      <c r="V24" s="25"/>
      <c r="W24" s="26"/>
      <c r="X24" s="16"/>
    </row>
    <row r="25" spans="1:24" ht="17.100000000000001" customHeight="1">
      <c r="A25" s="16"/>
      <c r="B25" s="16"/>
      <c r="C25" s="16"/>
      <c r="D25" s="16"/>
      <c r="E25" s="16"/>
      <c r="F25" s="16"/>
      <c r="G25" s="16"/>
      <c r="H25" s="16"/>
      <c r="I25" s="16"/>
      <c r="J25" s="16"/>
      <c r="K25" s="16"/>
      <c r="L25" s="16"/>
      <c r="M25" s="16"/>
      <c r="N25" s="16"/>
      <c r="O25" s="16"/>
      <c r="P25" s="16"/>
      <c r="Q25" s="16"/>
      <c r="R25" s="16"/>
      <c r="S25" s="16"/>
      <c r="T25" s="16"/>
      <c r="U25" s="16"/>
      <c r="V25" s="16"/>
      <c r="W25" s="16"/>
      <c r="X25" s="16"/>
    </row>
    <row r="26" spans="1:24" ht="17.100000000000001" customHeight="1">
      <c r="A26" s="16"/>
      <c r="B26" s="32" t="s">
        <v>1031</v>
      </c>
      <c r="C26" s="32"/>
      <c r="D26" s="32"/>
      <c r="E26" s="32"/>
      <c r="F26" s="32"/>
      <c r="G26" s="32"/>
      <c r="H26" s="32"/>
      <c r="I26" s="32"/>
      <c r="J26" s="32"/>
      <c r="K26" s="32"/>
      <c r="L26" s="32"/>
      <c r="M26" s="32"/>
      <c r="N26" s="32"/>
      <c r="O26" s="32"/>
      <c r="P26" s="32"/>
      <c r="Q26" s="32"/>
      <c r="R26" s="32"/>
      <c r="S26" s="32"/>
      <c r="T26" s="32"/>
      <c r="U26" s="32"/>
      <c r="V26" s="32"/>
      <c r="W26" s="32"/>
      <c r="X26" s="16"/>
    </row>
    <row r="27" spans="1:24" ht="17.100000000000001" customHeight="1">
      <c r="A27" s="16"/>
      <c r="B27" s="32"/>
      <c r="C27" s="32"/>
      <c r="D27" s="32"/>
      <c r="E27" s="32"/>
      <c r="F27" s="32"/>
      <c r="G27" s="32"/>
      <c r="H27" s="32"/>
      <c r="I27" s="32"/>
      <c r="J27" s="32"/>
      <c r="K27" s="32"/>
      <c r="L27" s="32"/>
      <c r="M27" s="32"/>
      <c r="N27" s="32"/>
      <c r="O27" s="32"/>
      <c r="P27" s="32"/>
      <c r="Q27" s="32"/>
      <c r="R27" s="32"/>
      <c r="S27" s="32"/>
      <c r="T27" s="32"/>
      <c r="U27" s="32"/>
      <c r="V27" s="32"/>
      <c r="W27" s="32"/>
      <c r="X27" s="16"/>
    </row>
    <row r="28" spans="1:24" ht="17.100000000000001" customHeight="1">
      <c r="A28" s="16"/>
      <c r="B28" s="16"/>
      <c r="C28" s="16"/>
      <c r="D28" s="16"/>
      <c r="E28" s="16"/>
      <c r="F28" s="16"/>
      <c r="G28" s="16"/>
      <c r="H28" s="16"/>
      <c r="I28" s="16"/>
      <c r="J28" s="16"/>
      <c r="K28" s="16"/>
      <c r="L28" s="16"/>
      <c r="M28" s="16"/>
      <c r="N28" s="16"/>
      <c r="O28" s="16"/>
      <c r="P28" s="16"/>
      <c r="Q28" s="16"/>
      <c r="R28" s="16"/>
      <c r="S28" s="16"/>
      <c r="T28" s="16"/>
      <c r="U28" s="16"/>
      <c r="V28" s="16"/>
      <c r="W28" s="16"/>
      <c r="X28" s="16"/>
    </row>
    <row r="29" spans="1:24" ht="17.100000000000001" customHeight="1">
      <c r="A29" s="16"/>
      <c r="B29" s="51" t="s">
        <v>7</v>
      </c>
      <c r="C29" s="51"/>
      <c r="D29" s="51"/>
      <c r="E29" s="51"/>
      <c r="F29" s="53" t="s">
        <v>65</v>
      </c>
      <c r="G29" s="53"/>
      <c r="H29" s="53"/>
      <c r="I29" s="53"/>
      <c r="J29" s="53"/>
      <c r="K29" s="53" t="s">
        <v>66</v>
      </c>
      <c r="L29" s="53"/>
      <c r="M29" s="53"/>
      <c r="N29" s="53"/>
      <c r="O29" s="53"/>
      <c r="P29" s="16"/>
      <c r="Q29" s="32" t="s">
        <v>10</v>
      </c>
      <c r="R29" s="32"/>
      <c r="S29" s="32"/>
      <c r="T29" s="32"/>
      <c r="U29" s="32"/>
      <c r="V29" s="32"/>
      <c r="W29" s="32"/>
      <c r="X29" s="16"/>
    </row>
    <row r="30" spans="1:24" ht="17.100000000000001" customHeight="1">
      <c r="A30" s="16"/>
      <c r="B30" s="52"/>
      <c r="C30" s="52"/>
      <c r="D30" s="52"/>
      <c r="E30" s="52"/>
      <c r="F30" s="54"/>
      <c r="G30" s="54"/>
      <c r="H30" s="54"/>
      <c r="I30" s="54"/>
      <c r="J30" s="54"/>
      <c r="K30" s="54"/>
      <c r="L30" s="54"/>
      <c r="M30" s="54"/>
      <c r="N30" s="54"/>
      <c r="O30" s="54"/>
      <c r="P30" s="29"/>
      <c r="Q30" s="55"/>
      <c r="R30" s="55"/>
      <c r="S30" s="55"/>
      <c r="T30" s="55"/>
      <c r="U30" s="55"/>
      <c r="V30" s="55"/>
      <c r="W30" s="55"/>
      <c r="X30" s="16"/>
    </row>
    <row r="31" spans="1:24" ht="17.100000000000001" customHeight="1">
      <c r="A31" s="16"/>
      <c r="B31" s="16"/>
      <c r="C31" s="16"/>
      <c r="D31" s="16"/>
      <c r="E31" s="16"/>
      <c r="F31" s="16"/>
      <c r="G31" s="16"/>
      <c r="H31" s="16"/>
      <c r="I31" s="16"/>
      <c r="J31" s="16"/>
      <c r="K31" s="16"/>
      <c r="L31" s="16"/>
      <c r="M31" s="16"/>
      <c r="N31" s="16"/>
      <c r="O31" s="16"/>
      <c r="P31" s="16"/>
      <c r="Q31" s="16"/>
      <c r="R31" s="16"/>
      <c r="S31" s="16"/>
      <c r="T31" s="16"/>
      <c r="U31" s="16"/>
      <c r="V31" s="16"/>
      <c r="W31" s="16"/>
      <c r="X31" s="16"/>
    </row>
    <row r="32" spans="1:24" ht="17.100000000000001" customHeight="1">
      <c r="A32" s="16"/>
      <c r="B32" s="56" t="s">
        <v>67</v>
      </c>
      <c r="C32" s="57"/>
      <c r="D32" s="57"/>
      <c r="E32" s="57"/>
      <c r="F32" s="57"/>
      <c r="G32" s="57"/>
      <c r="H32" s="57"/>
      <c r="I32" s="57"/>
      <c r="J32" s="57"/>
      <c r="K32" s="57"/>
      <c r="L32" s="57"/>
      <c r="M32" s="57"/>
      <c r="N32" s="57"/>
      <c r="O32" s="58"/>
      <c r="P32" s="16"/>
      <c r="Q32" s="56" t="s">
        <v>109</v>
      </c>
      <c r="R32" s="57"/>
      <c r="S32" s="57"/>
      <c r="T32" s="57"/>
      <c r="U32" s="57"/>
      <c r="V32" s="57"/>
      <c r="W32" s="58"/>
      <c r="X32" s="16"/>
    </row>
    <row r="33" spans="1:24" ht="17.100000000000001" customHeight="1">
      <c r="A33" s="16"/>
      <c r="B33" s="59"/>
      <c r="C33" s="60"/>
      <c r="D33" s="60"/>
      <c r="E33" s="60"/>
      <c r="F33" s="60"/>
      <c r="G33" s="60"/>
      <c r="H33" s="60"/>
      <c r="I33" s="60"/>
      <c r="J33" s="60"/>
      <c r="K33" s="60"/>
      <c r="L33" s="60"/>
      <c r="M33" s="60"/>
      <c r="N33" s="60"/>
      <c r="O33" s="61"/>
      <c r="P33" s="16"/>
      <c r="Q33" s="59"/>
      <c r="R33" s="60"/>
      <c r="S33" s="60"/>
      <c r="T33" s="60"/>
      <c r="U33" s="60"/>
      <c r="V33" s="60"/>
      <c r="W33" s="61"/>
      <c r="X33" s="16"/>
    </row>
    <row r="34" spans="1:24" ht="17.100000000000001" customHeight="1">
      <c r="A34" s="16"/>
      <c r="B34" s="22"/>
      <c r="C34" s="18"/>
      <c r="D34" s="18"/>
      <c r="E34" s="18"/>
      <c r="F34" s="18"/>
      <c r="G34" s="18"/>
      <c r="H34" s="18"/>
      <c r="I34" s="18"/>
      <c r="J34" s="18"/>
      <c r="K34" s="18"/>
      <c r="L34" s="18"/>
      <c r="M34" s="18"/>
      <c r="N34" s="18"/>
      <c r="O34" s="23"/>
      <c r="P34" s="16"/>
      <c r="Q34" s="22"/>
      <c r="R34" s="18"/>
      <c r="S34" s="18"/>
      <c r="T34" s="18"/>
      <c r="U34" s="18"/>
      <c r="V34" s="18"/>
      <c r="W34" s="23"/>
      <c r="X34" s="16"/>
    </row>
    <row r="35" spans="1:24" ht="17.100000000000001" customHeight="1">
      <c r="A35" s="16"/>
      <c r="B35" s="45" t="s">
        <v>69</v>
      </c>
      <c r="C35" s="46"/>
      <c r="D35" s="46"/>
      <c r="E35" s="46"/>
      <c r="F35" s="46"/>
      <c r="G35" s="46" t="s">
        <v>70</v>
      </c>
      <c r="H35" s="46"/>
      <c r="I35" s="46"/>
      <c r="J35" s="46"/>
      <c r="K35" s="46"/>
      <c r="L35" s="46" t="s">
        <v>71</v>
      </c>
      <c r="M35" s="46"/>
      <c r="N35" s="46"/>
      <c r="O35" s="64"/>
      <c r="P35" s="16"/>
      <c r="Q35" s="45" t="s">
        <v>72</v>
      </c>
      <c r="R35" s="46"/>
      <c r="S35" s="46"/>
      <c r="T35" s="46"/>
      <c r="U35" s="93" t="str">
        <f>IF(ISNUMBER(IF('Fund Data'!$H$2,'Fund Data'!$B$58,"Refresh required")),TEXT(IF('Fund Data'!$H$2,'Fund Data'!$B$58,"Refresh required"),"0.00%"),IF('Fund Data'!$H$2,'Fund Data'!$B$58,"Refresh required"))</f>
        <v>0.05%</v>
      </c>
      <c r="V35" s="93"/>
      <c r="W35" s="94"/>
      <c r="X35" s="16"/>
    </row>
    <row r="36" spans="1:24" ht="17.100000000000001" customHeight="1">
      <c r="A36" s="16"/>
      <c r="B36" s="62">
        <f>IF('Fund Data'!$H$2,IF('Fund Data'!P2="","",IF('Fund Data'!Q2="","",'Fund Data'!Q2)),"")</f>
        <v>0.12328799999999999</v>
      </c>
      <c r="C36" s="63"/>
      <c r="D36" s="63"/>
      <c r="E36" s="63"/>
      <c r="F36" s="63"/>
      <c r="G36" s="63">
        <f>IF('Fund Data'!$H$2,IF('Fund Data'!P3="","",IF('Fund Data'!Q3="","",'Fund Data'!Q3)),"")</f>
        <v>0.15387999999999999</v>
      </c>
      <c r="H36" s="63"/>
      <c r="I36" s="63"/>
      <c r="J36" s="63"/>
      <c r="K36" s="63"/>
      <c r="L36" s="63">
        <f>IF('Fund Data'!$H$2,IF('Fund Data'!P4="","",IF('Fund Data'!Q4="","",'Fund Data'!Q4)),"")</f>
        <v>0.225296</v>
      </c>
      <c r="M36" s="63"/>
      <c r="N36" s="63"/>
      <c r="O36" s="106"/>
      <c r="P36" s="16"/>
      <c r="Q36" s="91"/>
      <c r="R36" s="92"/>
      <c r="S36" s="92"/>
      <c r="T36" s="92"/>
      <c r="U36" s="95"/>
      <c r="V36" s="95"/>
      <c r="W36" s="96"/>
      <c r="X36" s="16"/>
    </row>
    <row r="37" spans="1:24" ht="17.100000000000001" customHeight="1">
      <c r="A37" s="16"/>
      <c r="B37" s="62"/>
      <c r="C37" s="63"/>
      <c r="D37" s="63"/>
      <c r="E37" s="63"/>
      <c r="F37" s="63"/>
      <c r="G37" s="63"/>
      <c r="H37" s="63"/>
      <c r="I37" s="63"/>
      <c r="J37" s="63"/>
      <c r="K37" s="63"/>
      <c r="L37" s="63"/>
      <c r="M37" s="63"/>
      <c r="N37" s="63"/>
      <c r="O37" s="106"/>
      <c r="P37" s="16"/>
      <c r="Q37" s="45" t="str">
        <f>"As of "&amp;'Fund Data'!$D$58</f>
        <v>As of 46295</v>
      </c>
      <c r="R37" s="46"/>
      <c r="S37" s="46"/>
      <c r="T37" s="46"/>
      <c r="U37" s="46"/>
      <c r="V37" s="46"/>
      <c r="W37" s="64"/>
      <c r="X37" s="16"/>
    </row>
    <row r="38" spans="1:24" ht="17.100000000000001" customHeight="1">
      <c r="A38" s="16"/>
      <c r="B38" s="22"/>
      <c r="C38" s="18"/>
      <c r="D38" s="18"/>
      <c r="E38" s="18"/>
      <c r="F38" s="18"/>
      <c r="G38" s="18"/>
      <c r="H38" s="18"/>
      <c r="I38" s="18"/>
      <c r="J38" s="18"/>
      <c r="K38" s="18"/>
      <c r="L38" s="18"/>
      <c r="M38" s="18"/>
      <c r="N38" s="18"/>
      <c r="O38" s="23"/>
      <c r="P38" s="16"/>
      <c r="Q38" s="45"/>
      <c r="R38" s="46"/>
      <c r="S38" s="46"/>
      <c r="T38" s="46"/>
      <c r="U38" s="46"/>
      <c r="V38" s="46"/>
      <c r="W38" s="64"/>
      <c r="X38" s="16"/>
    </row>
    <row r="39" spans="1:24" ht="17.100000000000001" customHeight="1">
      <c r="A39" s="16"/>
      <c r="B39" s="22"/>
      <c r="C39" s="18"/>
      <c r="D39" s="18"/>
      <c r="E39" s="18"/>
      <c r="F39" s="18"/>
      <c r="G39" s="18"/>
      <c r="H39" s="18"/>
      <c r="I39" s="18"/>
      <c r="J39" s="18"/>
      <c r="K39" s="18"/>
      <c r="L39" s="18"/>
      <c r="M39" s="18"/>
      <c r="N39" s="18"/>
      <c r="O39" s="23"/>
      <c r="P39" s="16"/>
      <c r="Q39" s="45" t="s">
        <v>73</v>
      </c>
      <c r="R39" s="46"/>
      <c r="S39" s="46"/>
      <c r="T39" s="46"/>
      <c r="U39" s="93" t="str">
        <f>IF(ISNUMBER(IF('Fund Data'!$H$2,'Fund Data'!$B$57,"Refresh required")),TEXT(IF('Fund Data'!$H$2,'Fund Data'!$B$57,"Refresh required"),"0.00%"),IF('Fund Data'!$H$2,'Fund Data'!$B$57,"Refresh required"))</f>
        <v>0.05%</v>
      </c>
      <c r="V39" s="93"/>
      <c r="W39" s="94"/>
      <c r="X39" s="16"/>
    </row>
    <row r="40" spans="1:24" ht="17.100000000000001" customHeight="1">
      <c r="A40" s="16"/>
      <c r="B40" s="22"/>
      <c r="C40" s="18"/>
      <c r="D40" s="18"/>
      <c r="E40" s="18"/>
      <c r="F40" s="18"/>
      <c r="G40" s="18"/>
      <c r="H40" s="18"/>
      <c r="I40" s="18"/>
      <c r="J40" s="18"/>
      <c r="K40" s="18"/>
      <c r="L40" s="18"/>
      <c r="M40" s="18"/>
      <c r="N40" s="18"/>
      <c r="O40" s="23"/>
      <c r="P40" s="16"/>
      <c r="Q40" s="91"/>
      <c r="R40" s="92"/>
      <c r="S40" s="92"/>
      <c r="T40" s="92"/>
      <c r="U40" s="95"/>
      <c r="V40" s="95"/>
      <c r="W40" s="96"/>
      <c r="X40" s="16"/>
    </row>
    <row r="41" spans="1:24" ht="17.100000000000001" customHeight="1">
      <c r="A41" s="16"/>
      <c r="B41" s="22"/>
      <c r="C41" s="18"/>
      <c r="D41" s="18"/>
      <c r="E41" s="18"/>
      <c r="F41" s="18"/>
      <c r="G41" s="18"/>
      <c r="H41" s="18"/>
      <c r="I41" s="18"/>
      <c r="J41" s="18"/>
      <c r="K41" s="18"/>
      <c r="L41" s="18"/>
      <c r="M41" s="18"/>
      <c r="N41" s="18"/>
      <c r="O41" s="23"/>
      <c r="P41" s="16"/>
      <c r="Q41" s="45" t="str">
        <f>"As of "&amp;'Fund Data'!$D$57</f>
        <v>As of 46295</v>
      </c>
      <c r="R41" s="46"/>
      <c r="S41" s="46"/>
      <c r="T41" s="46"/>
      <c r="U41" s="46"/>
      <c r="V41" s="46"/>
      <c r="W41" s="64"/>
      <c r="X41" s="16"/>
    </row>
    <row r="42" spans="1:24" ht="17.100000000000001" customHeight="1">
      <c r="A42" s="16"/>
      <c r="B42" s="22"/>
      <c r="C42" s="18"/>
      <c r="D42" s="18"/>
      <c r="E42" s="18"/>
      <c r="F42" s="18"/>
      <c r="G42" s="18"/>
      <c r="H42" s="18"/>
      <c r="I42" s="18"/>
      <c r="J42" s="18"/>
      <c r="K42" s="18"/>
      <c r="L42" s="18"/>
      <c r="M42" s="18"/>
      <c r="N42" s="18"/>
      <c r="O42" s="23"/>
      <c r="P42" s="16"/>
      <c r="Q42" s="45"/>
      <c r="R42" s="46"/>
      <c r="S42" s="46"/>
      <c r="T42" s="46"/>
      <c r="U42" s="46"/>
      <c r="V42" s="46"/>
      <c r="W42" s="64"/>
      <c r="X42" s="16"/>
    </row>
    <row r="43" spans="1:24" ht="17.100000000000001" customHeight="1">
      <c r="A43" s="16"/>
      <c r="B43" s="22"/>
      <c r="C43" s="18"/>
      <c r="D43" s="18"/>
      <c r="E43" s="18"/>
      <c r="F43" s="18"/>
      <c r="G43" s="18"/>
      <c r="H43" s="18"/>
      <c r="I43" s="18"/>
      <c r="J43" s="18"/>
      <c r="K43" s="18"/>
      <c r="L43" s="18"/>
      <c r="M43" s="18"/>
      <c r="N43" s="18"/>
      <c r="O43" s="23"/>
      <c r="P43" s="16"/>
      <c r="Q43" s="45" t="s">
        <v>110</v>
      </c>
      <c r="R43" s="46"/>
      <c r="S43" s="46"/>
      <c r="T43" s="46"/>
      <c r="U43" s="93" t="str">
        <f>IF(ISNUMBER(IF('Fund Data'!$H$2,'Fund Data'!$B$62,"Refresh required")),TEXT(IF('Fund Data'!$H$2,'Fund Data'!$B$62,"Refresh required"),"#,##0.00"),IF('Fund Data'!$H$2,'Fund Data'!$B$62,"Refresh required"))</f>
        <v>Unavailable</v>
      </c>
      <c r="V43" s="93"/>
      <c r="W43" s="94"/>
      <c r="X43" s="16"/>
    </row>
    <row r="44" spans="1:24" ht="17.100000000000001" customHeight="1">
      <c r="A44" s="16"/>
      <c r="B44" s="22"/>
      <c r="C44" s="18"/>
      <c r="D44" s="18"/>
      <c r="E44" s="18"/>
      <c r="F44" s="18"/>
      <c r="G44" s="18"/>
      <c r="H44" s="18"/>
      <c r="I44" s="18"/>
      <c r="J44" s="18"/>
      <c r="K44" s="18"/>
      <c r="L44" s="18"/>
      <c r="M44" s="18"/>
      <c r="N44" s="18"/>
      <c r="O44" s="23"/>
      <c r="P44" s="16"/>
      <c r="Q44" s="91"/>
      <c r="R44" s="92"/>
      <c r="S44" s="92"/>
      <c r="T44" s="92"/>
      <c r="U44" s="95"/>
      <c r="V44" s="95"/>
      <c r="W44" s="96"/>
      <c r="X44" s="16"/>
    </row>
    <row r="45" spans="1:24" ht="17.100000000000001" customHeight="1">
      <c r="A45" s="16"/>
      <c r="B45" s="22"/>
      <c r="C45" s="18"/>
      <c r="D45" s="18"/>
      <c r="E45" s="18"/>
      <c r="F45" s="18"/>
      <c r="G45" s="18"/>
      <c r="H45" s="18"/>
      <c r="I45" s="18"/>
      <c r="J45" s="18"/>
      <c r="K45" s="18"/>
      <c r="L45" s="18"/>
      <c r="M45" s="18"/>
      <c r="N45" s="18"/>
      <c r="O45" s="23"/>
      <c r="P45" s="16"/>
      <c r="Q45" s="22"/>
      <c r="R45" s="18"/>
      <c r="S45" s="18"/>
      <c r="T45" s="18"/>
      <c r="U45" s="18"/>
      <c r="V45" s="18"/>
      <c r="W45" s="23"/>
      <c r="X45" s="16"/>
    </row>
    <row r="46" spans="1:24" ht="17.100000000000001" customHeight="1">
      <c r="A46" s="16"/>
      <c r="B46" s="22"/>
      <c r="C46" s="18"/>
      <c r="D46" s="18"/>
      <c r="E46" s="18"/>
      <c r="F46" s="18"/>
      <c r="G46" s="18"/>
      <c r="H46" s="18"/>
      <c r="I46" s="18"/>
      <c r="J46" s="18"/>
      <c r="K46" s="18"/>
      <c r="L46" s="18"/>
      <c r="M46" s="18"/>
      <c r="N46" s="18"/>
      <c r="O46" s="23"/>
      <c r="P46" s="16"/>
      <c r="Q46" s="45" t="s">
        <v>111</v>
      </c>
      <c r="R46" s="46"/>
      <c r="S46" s="46"/>
      <c r="T46" s="46"/>
      <c r="U46" s="46"/>
      <c r="V46" s="46"/>
      <c r="W46" s="64"/>
      <c r="X46" s="16"/>
    </row>
    <row r="47" spans="1:24" ht="17.100000000000001" customHeight="1">
      <c r="A47" s="16"/>
      <c r="B47" s="22"/>
      <c r="C47" s="18"/>
      <c r="D47" s="18"/>
      <c r="E47" s="18"/>
      <c r="F47" s="18"/>
      <c r="G47" s="18"/>
      <c r="H47" s="18"/>
      <c r="I47" s="18"/>
      <c r="J47" s="18"/>
      <c r="K47" s="18"/>
      <c r="L47" s="18"/>
      <c r="M47" s="18"/>
      <c r="N47" s="18"/>
      <c r="O47" s="23"/>
      <c r="P47" s="16"/>
      <c r="Q47" s="45"/>
      <c r="R47" s="46"/>
      <c r="S47" s="46"/>
      <c r="T47" s="46"/>
      <c r="U47" s="46"/>
      <c r="V47" s="46"/>
      <c r="W47" s="64"/>
      <c r="X47" s="16"/>
    </row>
    <row r="48" spans="1:24" ht="17.100000000000001" customHeight="1">
      <c r="A48" s="16"/>
      <c r="B48" s="22"/>
      <c r="C48" s="18"/>
      <c r="D48" s="18"/>
      <c r="E48" s="18"/>
      <c r="F48" s="18"/>
      <c r="G48" s="18"/>
      <c r="H48" s="18"/>
      <c r="I48" s="18"/>
      <c r="J48" s="18"/>
      <c r="K48" s="18"/>
      <c r="L48" s="18"/>
      <c r="M48" s="18"/>
      <c r="N48" s="18"/>
      <c r="O48" s="23"/>
      <c r="P48" s="16"/>
      <c r="Q48" s="45"/>
      <c r="R48" s="46"/>
      <c r="S48" s="46"/>
      <c r="T48" s="46"/>
      <c r="U48" s="46"/>
      <c r="V48" s="46"/>
      <c r="W48" s="64"/>
      <c r="X48" s="16"/>
    </row>
    <row r="49" spans="1:24" ht="17.100000000000001" customHeight="1">
      <c r="A49" s="16"/>
      <c r="B49" s="22"/>
      <c r="C49" s="18"/>
      <c r="D49" s="18"/>
      <c r="E49" s="18"/>
      <c r="F49" s="18"/>
      <c r="G49" s="18"/>
      <c r="H49" s="18"/>
      <c r="I49" s="18"/>
      <c r="J49" s="18"/>
      <c r="K49" s="18"/>
      <c r="L49" s="18"/>
      <c r="M49" s="18"/>
      <c r="N49" s="18"/>
      <c r="O49" s="23"/>
      <c r="P49" s="16"/>
      <c r="Q49" s="22"/>
      <c r="R49" s="18"/>
      <c r="S49" s="18"/>
      <c r="T49" s="18"/>
      <c r="U49" s="18"/>
      <c r="V49" s="18"/>
      <c r="W49" s="23"/>
      <c r="X49" s="16"/>
    </row>
    <row r="50" spans="1:24" ht="17.100000000000001" customHeight="1">
      <c r="A50" s="16"/>
      <c r="B50" s="22"/>
      <c r="C50" s="18"/>
      <c r="D50" s="18"/>
      <c r="E50" s="18"/>
      <c r="F50" s="18"/>
      <c r="G50" s="18"/>
      <c r="H50" s="18"/>
      <c r="I50" s="18"/>
      <c r="J50" s="18"/>
      <c r="K50" s="18"/>
      <c r="L50" s="18"/>
      <c r="M50" s="18"/>
      <c r="N50" s="18"/>
      <c r="O50" s="23"/>
      <c r="P50" s="16"/>
      <c r="Q50" s="22"/>
      <c r="R50" s="18"/>
      <c r="S50" s="18"/>
      <c r="T50" s="18"/>
      <c r="U50" s="18"/>
      <c r="V50" s="18"/>
      <c r="W50" s="23"/>
      <c r="X50" s="16"/>
    </row>
    <row r="51" spans="1:24" ht="17.100000000000001" customHeight="1">
      <c r="A51" s="16"/>
      <c r="B51" s="22"/>
      <c r="C51" s="18"/>
      <c r="D51" s="18"/>
      <c r="E51" s="18"/>
      <c r="F51" s="18"/>
      <c r="G51" s="18"/>
      <c r="H51" s="18"/>
      <c r="I51" s="18"/>
      <c r="J51" s="18"/>
      <c r="K51" s="18"/>
      <c r="L51" s="18"/>
      <c r="M51" s="18"/>
      <c r="N51" s="18"/>
      <c r="O51" s="23"/>
      <c r="P51" s="16"/>
      <c r="Q51" s="22"/>
      <c r="R51" s="18"/>
      <c r="S51" s="18"/>
      <c r="T51" s="18"/>
      <c r="U51" s="18"/>
      <c r="V51" s="18"/>
      <c r="W51" s="23"/>
      <c r="X51" s="16"/>
    </row>
    <row r="52" spans="1:24" ht="17.100000000000001" customHeight="1">
      <c r="A52" s="16"/>
      <c r="B52" s="22"/>
      <c r="C52" s="18"/>
      <c r="D52" s="18"/>
      <c r="E52" s="18"/>
      <c r="F52" s="18"/>
      <c r="G52" s="18"/>
      <c r="H52" s="18"/>
      <c r="I52" s="18"/>
      <c r="J52" s="18"/>
      <c r="K52" s="18"/>
      <c r="L52" s="18"/>
      <c r="M52" s="18"/>
      <c r="N52" s="18"/>
      <c r="O52" s="23"/>
      <c r="P52" s="16"/>
      <c r="Q52" s="24"/>
      <c r="R52" s="25"/>
      <c r="S52" s="25"/>
      <c r="T52" s="25"/>
      <c r="U52" s="25"/>
      <c r="V52" s="25"/>
      <c r="W52" s="26"/>
      <c r="X52" s="16"/>
    </row>
    <row r="53" spans="1:24" ht="17.100000000000001" customHeight="1">
      <c r="A53" s="16"/>
      <c r="B53" s="22"/>
      <c r="C53" s="18"/>
      <c r="D53" s="18"/>
      <c r="E53" s="18"/>
      <c r="F53" s="18"/>
      <c r="G53" s="18"/>
      <c r="H53" s="18"/>
      <c r="I53" s="18"/>
      <c r="J53" s="18"/>
      <c r="K53" s="18"/>
      <c r="L53" s="18"/>
      <c r="M53" s="18"/>
      <c r="N53" s="18"/>
      <c r="O53" s="23"/>
      <c r="P53" s="16"/>
      <c r="Q53" s="16"/>
      <c r="R53" s="16"/>
      <c r="S53" s="16"/>
      <c r="T53" s="16"/>
      <c r="U53" s="16"/>
      <c r="V53" s="16"/>
      <c r="W53" s="16"/>
      <c r="X53" s="16"/>
    </row>
    <row r="54" spans="1:24" ht="17.100000000000001" customHeight="1">
      <c r="A54" s="16"/>
      <c r="B54" s="22"/>
      <c r="C54" s="18"/>
      <c r="D54" s="18"/>
      <c r="E54" s="18"/>
      <c r="F54" s="18"/>
      <c r="G54" s="18"/>
      <c r="H54" s="18"/>
      <c r="I54" s="18"/>
      <c r="J54" s="18"/>
      <c r="K54" s="18"/>
      <c r="L54" s="18"/>
      <c r="M54" s="18"/>
      <c r="N54" s="18"/>
      <c r="O54" s="23"/>
      <c r="P54" s="16"/>
      <c r="Q54" s="16"/>
      <c r="R54" s="16"/>
      <c r="S54" s="16"/>
      <c r="T54" s="16"/>
      <c r="U54" s="16"/>
      <c r="V54" s="16"/>
      <c r="W54" s="16"/>
      <c r="X54" s="16"/>
    </row>
    <row r="55" spans="1:24" ht="17.100000000000001" customHeight="1">
      <c r="A55" s="16"/>
      <c r="B55" s="22"/>
      <c r="C55" s="18"/>
      <c r="D55" s="18"/>
      <c r="E55" s="18"/>
      <c r="F55" s="18"/>
      <c r="G55" s="18"/>
      <c r="H55" s="18"/>
      <c r="I55" s="18"/>
      <c r="J55" s="18"/>
      <c r="K55" s="18"/>
      <c r="L55" s="18"/>
      <c r="M55" s="18"/>
      <c r="N55" s="18"/>
      <c r="O55" s="23"/>
      <c r="P55" s="16"/>
      <c r="Q55" s="56" t="s">
        <v>76</v>
      </c>
      <c r="R55" s="57"/>
      <c r="S55" s="57"/>
      <c r="T55" s="57"/>
      <c r="U55" s="57"/>
      <c r="V55" s="57"/>
      <c r="W55" s="58"/>
      <c r="X55" s="16"/>
    </row>
    <row r="56" spans="1:24" ht="17.100000000000001" customHeight="1">
      <c r="A56" s="16"/>
      <c r="B56" s="22"/>
      <c r="C56" s="18"/>
      <c r="D56" s="18"/>
      <c r="E56" s="18"/>
      <c r="F56" s="18"/>
      <c r="G56" s="18"/>
      <c r="H56" s="18"/>
      <c r="I56" s="18"/>
      <c r="J56" s="18"/>
      <c r="K56" s="18"/>
      <c r="L56" s="18"/>
      <c r="M56" s="18"/>
      <c r="N56" s="18"/>
      <c r="O56" s="23"/>
      <c r="P56" s="16"/>
      <c r="Q56" s="59"/>
      <c r="R56" s="60"/>
      <c r="S56" s="60"/>
      <c r="T56" s="60"/>
      <c r="U56" s="60"/>
      <c r="V56" s="60"/>
      <c r="W56" s="61"/>
      <c r="X56" s="16"/>
    </row>
    <row r="57" spans="1:24" ht="17.100000000000001" customHeight="1">
      <c r="A57" s="16"/>
      <c r="B57" s="45" t="s">
        <v>77</v>
      </c>
      <c r="C57" s="46"/>
      <c r="D57" s="46"/>
      <c r="E57" s="46"/>
      <c r="F57" s="46"/>
      <c r="G57" s="46"/>
      <c r="H57" s="46"/>
      <c r="I57" s="46"/>
      <c r="J57" s="46"/>
      <c r="K57" s="46"/>
      <c r="L57" s="46"/>
      <c r="M57" s="46"/>
      <c r="N57" s="46"/>
      <c r="O57" s="64"/>
      <c r="P57" s="16"/>
      <c r="Q57" s="22"/>
      <c r="R57" s="18"/>
      <c r="S57" s="18"/>
      <c r="T57" s="18"/>
      <c r="U57" s="18"/>
      <c r="V57" s="18"/>
      <c r="W57" s="23"/>
      <c r="X57" s="16"/>
    </row>
    <row r="58" spans="1:24" ht="17.100000000000001" customHeight="1">
      <c r="A58" s="16"/>
      <c r="B58" s="45"/>
      <c r="C58" s="46"/>
      <c r="D58" s="46"/>
      <c r="E58" s="46"/>
      <c r="F58" s="46"/>
      <c r="G58" s="46"/>
      <c r="H58" s="46"/>
      <c r="I58" s="46"/>
      <c r="J58" s="46"/>
      <c r="K58" s="46"/>
      <c r="L58" s="46"/>
      <c r="M58" s="46"/>
      <c r="N58" s="46"/>
      <c r="O58" s="64"/>
      <c r="P58" s="16"/>
      <c r="Q58" s="45" t="s">
        <v>78</v>
      </c>
      <c r="R58" s="46"/>
      <c r="S58" s="46"/>
      <c r="T58" s="46"/>
      <c r="U58" s="93" t="str">
        <f>IF(ISNUMBER(IF('Fund Data'!$H$2,'Fund Data'!$B$71,"Refresh required")),TEXT(IF('Fund Data'!$H$2,'Fund Data'!$B$71,"Refresh required"),"0.00%"),IF('Fund Data'!$H$2,'Fund Data'!$B$71,"Refresh required"))</f>
        <v>14.87%</v>
      </c>
      <c r="V58" s="93"/>
      <c r="W58" s="94"/>
      <c r="X58" s="16"/>
    </row>
    <row r="59" spans="1:24" ht="17.100000000000001" customHeight="1">
      <c r="A59" s="16"/>
      <c r="B59" s="22"/>
      <c r="C59" s="18"/>
      <c r="D59" s="18"/>
      <c r="E59" s="18"/>
      <c r="F59" s="18"/>
      <c r="G59" s="18"/>
      <c r="H59" s="18"/>
      <c r="I59" s="18"/>
      <c r="J59" s="18"/>
      <c r="K59" s="18"/>
      <c r="L59" s="18"/>
      <c r="M59" s="18"/>
      <c r="N59" s="18"/>
      <c r="O59" s="23"/>
      <c r="P59" s="16"/>
      <c r="Q59" s="91"/>
      <c r="R59" s="92"/>
      <c r="S59" s="92"/>
      <c r="T59" s="92"/>
      <c r="U59" s="95"/>
      <c r="V59" s="95"/>
      <c r="W59" s="96"/>
      <c r="X59" s="16"/>
    </row>
    <row r="60" spans="1:24" ht="17.100000000000001" customHeight="1">
      <c r="A60" s="16"/>
      <c r="B60" s="45" t="s">
        <v>79</v>
      </c>
      <c r="C60" s="46"/>
      <c r="D60" s="46"/>
      <c r="E60" s="46"/>
      <c r="F60" s="46"/>
      <c r="G60" s="18"/>
      <c r="H60" s="46" t="s">
        <v>80</v>
      </c>
      <c r="I60" s="46"/>
      <c r="J60" s="46"/>
      <c r="K60" s="46"/>
      <c r="L60" s="46"/>
      <c r="M60" s="46"/>
      <c r="N60" s="46"/>
      <c r="O60" s="64"/>
      <c r="P60" s="16"/>
      <c r="Q60" s="22"/>
      <c r="R60" s="18"/>
      <c r="S60" s="18"/>
      <c r="T60" s="18"/>
      <c r="U60" s="18"/>
      <c r="V60" s="18"/>
      <c r="W60" s="23"/>
      <c r="X60" s="16"/>
    </row>
    <row r="61" spans="1:24" ht="17.100000000000001" customHeight="1">
      <c r="A61" s="16"/>
      <c r="B61" s="62">
        <f>IF('Fund Data'!$H$2,IF('Fund Data'!P5="","",IF('Fund Data'!Q5="","",'Fund Data'!Q5)),"")</f>
        <v>0.129523</v>
      </c>
      <c r="C61" s="63"/>
      <c r="D61" s="63"/>
      <c r="E61" s="63"/>
      <c r="F61" s="63"/>
      <c r="G61" s="18"/>
      <c r="H61" s="63">
        <f>IF('Fund Data'!$H$2,IF('Fund Data'!P6="","",IF('Fund Data'!Q6="","",'Fund Data'!Q6)),"")</f>
        <v>0.14933099999999999</v>
      </c>
      <c r="I61" s="63"/>
      <c r="J61" s="63"/>
      <c r="K61" s="63"/>
      <c r="L61" s="63"/>
      <c r="M61" s="63"/>
      <c r="N61" s="63"/>
      <c r="O61" s="106"/>
      <c r="P61" s="16"/>
      <c r="Q61" s="45" t="s">
        <v>81</v>
      </c>
      <c r="R61" s="46"/>
      <c r="S61" s="46"/>
      <c r="T61" s="46"/>
      <c r="U61" s="93" t="str">
        <f>IF(ISNUMBER(IF('Fund Data'!$H$2,'Fund Data'!$B$51,"Refresh required")),TEXT(IF('Fund Data'!$H$2,'Fund Data'!$B$51,"Refresh required"),"0.00"),IF('Fund Data'!$H$2,'Fund Data'!$B$51,"Refresh required"))</f>
        <v>1.00</v>
      </c>
      <c r="V61" s="93"/>
      <c r="W61" s="94"/>
      <c r="X61" s="16"/>
    </row>
    <row r="62" spans="1:24" ht="17.100000000000001" customHeight="1">
      <c r="A62" s="16"/>
      <c r="B62" s="62"/>
      <c r="C62" s="63"/>
      <c r="D62" s="63"/>
      <c r="E62" s="63"/>
      <c r="F62" s="63"/>
      <c r="G62" s="18"/>
      <c r="H62" s="63"/>
      <c r="I62" s="63"/>
      <c r="J62" s="63"/>
      <c r="K62" s="63"/>
      <c r="L62" s="63"/>
      <c r="M62" s="63"/>
      <c r="N62" s="63"/>
      <c r="O62" s="106"/>
      <c r="P62" s="16"/>
      <c r="Q62" s="91"/>
      <c r="R62" s="92"/>
      <c r="S62" s="92"/>
      <c r="T62" s="92"/>
      <c r="U62" s="95"/>
      <c r="V62" s="95"/>
      <c r="W62" s="96"/>
      <c r="X62" s="16"/>
    </row>
    <row r="63" spans="1:24" ht="17.100000000000001" customHeight="1">
      <c r="A63" s="16"/>
      <c r="B63" s="22"/>
      <c r="C63" s="18"/>
      <c r="D63" s="18"/>
      <c r="E63" s="18"/>
      <c r="F63" s="18"/>
      <c r="G63" s="18"/>
      <c r="H63" s="18"/>
      <c r="I63" s="18"/>
      <c r="J63" s="18"/>
      <c r="K63" s="18"/>
      <c r="L63" s="18"/>
      <c r="M63" s="18"/>
      <c r="N63" s="18"/>
      <c r="O63" s="23"/>
      <c r="P63" s="16"/>
      <c r="Q63" s="22"/>
      <c r="R63" s="18"/>
      <c r="S63" s="18"/>
      <c r="T63" s="18"/>
      <c r="U63" s="18"/>
      <c r="V63" s="18"/>
      <c r="W63" s="23"/>
      <c r="X63" s="16"/>
    </row>
    <row r="64" spans="1:24" ht="17.100000000000001" customHeight="1">
      <c r="A64" s="16"/>
      <c r="B64" s="45" t="str">
        <f>"Performance as of "&amp;IF('Fund Data'!$H$2,'Fund Data'!$B$92,"Refresh required")</f>
        <v>Performance as of 46295</v>
      </c>
      <c r="C64" s="46"/>
      <c r="D64" s="46"/>
      <c r="E64" s="46"/>
      <c r="F64" s="46"/>
      <c r="G64" s="46"/>
      <c r="H64" s="46"/>
      <c r="I64" s="46"/>
      <c r="J64" s="46"/>
      <c r="K64" s="46"/>
      <c r="L64" s="46"/>
      <c r="M64" s="46"/>
      <c r="N64" s="46"/>
      <c r="O64" s="64"/>
      <c r="P64" s="16"/>
      <c r="Q64" s="45" t="s">
        <v>82</v>
      </c>
      <c r="R64" s="46"/>
      <c r="S64" s="46"/>
      <c r="T64" s="46"/>
      <c r="U64" s="93" t="str">
        <f>IF(ISNUMBER(IF('Fund Data'!$H$2,'Fund Data'!$B$72,"Refresh required")),TEXT(IF('Fund Data'!$H$2,'Fund Data'!$B$72,"Refresh required"),"0.00"),IF('Fund Data'!$H$2,'Fund Data'!$B$72,"Refresh required"))</f>
        <v>0.92</v>
      </c>
      <c r="V64" s="93"/>
      <c r="W64" s="94"/>
      <c r="X64" s="16"/>
    </row>
    <row r="65" spans="1:24" ht="17.100000000000001" customHeight="1">
      <c r="A65" s="16"/>
      <c r="B65" s="47"/>
      <c r="C65" s="48"/>
      <c r="D65" s="48"/>
      <c r="E65" s="48"/>
      <c r="F65" s="48"/>
      <c r="G65" s="48"/>
      <c r="H65" s="48"/>
      <c r="I65" s="48"/>
      <c r="J65" s="48"/>
      <c r="K65" s="48"/>
      <c r="L65" s="48"/>
      <c r="M65" s="48"/>
      <c r="N65" s="48"/>
      <c r="O65" s="69"/>
      <c r="P65" s="16"/>
      <c r="Q65" s="91"/>
      <c r="R65" s="92"/>
      <c r="S65" s="92"/>
      <c r="T65" s="92"/>
      <c r="U65" s="95"/>
      <c r="V65" s="95"/>
      <c r="W65" s="96"/>
      <c r="X65" s="16"/>
    </row>
    <row r="66" spans="1:24" ht="17.100000000000001" customHeight="1">
      <c r="A66" s="16"/>
      <c r="B66" s="16"/>
      <c r="C66" s="16"/>
      <c r="D66" s="16"/>
      <c r="E66" s="16"/>
      <c r="F66" s="16"/>
      <c r="G66" s="16"/>
      <c r="H66" s="16"/>
      <c r="I66" s="16"/>
      <c r="J66" s="16"/>
      <c r="K66" s="16"/>
      <c r="L66" s="16"/>
      <c r="M66" s="16"/>
      <c r="N66" s="16"/>
      <c r="O66" s="16"/>
      <c r="P66" s="16"/>
      <c r="Q66" s="22"/>
      <c r="R66" s="18"/>
      <c r="S66" s="18"/>
      <c r="T66" s="18"/>
      <c r="U66" s="18"/>
      <c r="V66" s="18"/>
      <c r="W66" s="23"/>
      <c r="X66" s="16"/>
    </row>
    <row r="67" spans="1:24" ht="17.100000000000001" customHeight="1">
      <c r="A67" s="16"/>
      <c r="B67" s="16"/>
      <c r="C67" s="16"/>
      <c r="D67" s="16"/>
      <c r="E67" s="16"/>
      <c r="F67" s="16"/>
      <c r="G67" s="16"/>
      <c r="H67" s="16"/>
      <c r="I67" s="16"/>
      <c r="J67" s="16"/>
      <c r="K67" s="16"/>
      <c r="L67" s="16"/>
      <c r="M67" s="16"/>
      <c r="N67" s="16"/>
      <c r="O67" s="16"/>
      <c r="P67" s="16"/>
      <c r="Q67" s="45" t="s">
        <v>83</v>
      </c>
      <c r="R67" s="46"/>
      <c r="S67" s="46"/>
      <c r="T67" s="46"/>
      <c r="U67" s="93" t="str">
        <f>IF(ISNUMBER(IF('Fund Data'!$H$2,'Fund Data'!$B$70,"Refresh required")),TEXT(IF('Fund Data'!$H$2,'Fund Data'!$B$70,"Refresh required"),"0.00%"),IF('Fund Data'!$H$2,'Fund Data'!$B$70,"Refresh required"))</f>
        <v>98.18%</v>
      </c>
      <c r="V67" s="93"/>
      <c r="W67" s="94"/>
      <c r="X67" s="16"/>
    </row>
    <row r="68" spans="1:24" ht="17.100000000000001" customHeight="1">
      <c r="A68" s="16"/>
      <c r="B68" s="56" t="s">
        <v>84</v>
      </c>
      <c r="C68" s="57"/>
      <c r="D68" s="57"/>
      <c r="E68" s="57"/>
      <c r="F68" s="57"/>
      <c r="G68" s="57"/>
      <c r="H68" s="57"/>
      <c r="I68" s="57"/>
      <c r="J68" s="57"/>
      <c r="K68" s="57"/>
      <c r="L68" s="57"/>
      <c r="M68" s="57"/>
      <c r="N68" s="57"/>
      <c r="O68" s="58"/>
      <c r="P68" s="16"/>
      <c r="Q68" s="91"/>
      <c r="R68" s="92"/>
      <c r="S68" s="92"/>
      <c r="T68" s="92"/>
      <c r="U68" s="95"/>
      <c r="V68" s="95"/>
      <c r="W68" s="96"/>
      <c r="X68" s="16"/>
    </row>
    <row r="69" spans="1:24" ht="17.100000000000001" customHeight="1">
      <c r="A69" s="16"/>
      <c r="B69" s="59"/>
      <c r="C69" s="60"/>
      <c r="D69" s="60"/>
      <c r="E69" s="60"/>
      <c r="F69" s="60"/>
      <c r="G69" s="60"/>
      <c r="H69" s="60"/>
      <c r="I69" s="60"/>
      <c r="J69" s="60"/>
      <c r="K69" s="60"/>
      <c r="L69" s="60"/>
      <c r="M69" s="60"/>
      <c r="N69" s="60"/>
      <c r="O69" s="61"/>
      <c r="P69" s="16"/>
      <c r="Q69" s="22"/>
      <c r="R69" s="18"/>
      <c r="S69" s="18"/>
      <c r="T69" s="18"/>
      <c r="U69" s="18"/>
      <c r="V69" s="18"/>
      <c r="W69" s="23"/>
      <c r="X69" s="16"/>
    </row>
    <row r="70" spans="1:24" ht="17.100000000000001" customHeight="1">
      <c r="A70" s="16"/>
      <c r="B70" s="22"/>
      <c r="C70" s="18"/>
      <c r="D70" s="18"/>
      <c r="E70" s="18"/>
      <c r="F70" s="18"/>
      <c r="G70" s="18"/>
      <c r="H70" s="18"/>
      <c r="I70" s="18"/>
      <c r="J70" s="18"/>
      <c r="K70" s="18"/>
      <c r="L70" s="18"/>
      <c r="M70" s="18"/>
      <c r="N70" s="18"/>
      <c r="O70" s="23"/>
      <c r="P70" s="16"/>
      <c r="Q70" s="45" t="s">
        <v>85</v>
      </c>
      <c r="R70" s="46"/>
      <c r="S70" s="46"/>
      <c r="T70" s="46"/>
      <c r="U70" s="46"/>
      <c r="V70" s="46"/>
      <c r="W70" s="64"/>
      <c r="X70" s="16"/>
    </row>
    <row r="71" spans="1:24" ht="17.100000000000001" customHeight="1">
      <c r="A71" s="16"/>
      <c r="B71" s="45" t="str">
        <f>"Portfolio as of "&amp;IF('Fund Data'!$H$2,'Fund Data'!$B$91,"Refresh required")&amp;" · vendor names shown as received"</f>
        <v>Portfolio as of 46265 · vendor names shown as received</v>
      </c>
      <c r="C71" s="46"/>
      <c r="D71" s="46"/>
      <c r="E71" s="46"/>
      <c r="F71" s="46"/>
      <c r="G71" s="46"/>
      <c r="H71" s="46"/>
      <c r="I71" s="46"/>
      <c r="J71" s="46"/>
      <c r="K71" s="46"/>
      <c r="L71" s="46"/>
      <c r="M71" s="46"/>
      <c r="N71" s="46"/>
      <c r="O71" s="64"/>
      <c r="P71" s="16"/>
      <c r="Q71" s="45"/>
      <c r="R71" s="46"/>
      <c r="S71" s="46"/>
      <c r="T71" s="46"/>
      <c r="U71" s="46"/>
      <c r="V71" s="46"/>
      <c r="W71" s="64"/>
      <c r="X71" s="16"/>
    </row>
    <row r="72" spans="1:24" ht="17.100000000000001" customHeight="1">
      <c r="A72" s="16"/>
      <c r="B72" s="45"/>
      <c r="C72" s="46"/>
      <c r="D72" s="46"/>
      <c r="E72" s="46"/>
      <c r="F72" s="46"/>
      <c r="G72" s="46"/>
      <c r="H72" s="46"/>
      <c r="I72" s="46"/>
      <c r="J72" s="46"/>
      <c r="K72" s="46"/>
      <c r="L72" s="46"/>
      <c r="M72" s="46"/>
      <c r="N72" s="46"/>
      <c r="O72" s="64"/>
      <c r="P72" s="16"/>
      <c r="Q72" s="45"/>
      <c r="R72" s="46"/>
      <c r="S72" s="46"/>
      <c r="T72" s="46"/>
      <c r="U72" s="46"/>
      <c r="V72" s="46"/>
      <c r="W72" s="64"/>
      <c r="X72" s="16"/>
    </row>
    <row r="73" spans="1:24" ht="17.100000000000001" customHeight="1">
      <c r="A73" s="16"/>
      <c r="B73" s="22"/>
      <c r="C73" s="18"/>
      <c r="D73" s="18"/>
      <c r="E73" s="18"/>
      <c r="F73" s="18"/>
      <c r="G73" s="18"/>
      <c r="H73" s="18"/>
      <c r="I73" s="18"/>
      <c r="J73" s="18"/>
      <c r="K73" s="18"/>
      <c r="L73" s="18"/>
      <c r="M73" s="18"/>
      <c r="N73" s="18"/>
      <c r="O73" s="23"/>
      <c r="P73" s="16"/>
      <c r="Q73" s="45"/>
      <c r="R73" s="46"/>
      <c r="S73" s="46"/>
      <c r="T73" s="46"/>
      <c r="U73" s="46"/>
      <c r="V73" s="46"/>
      <c r="W73" s="64"/>
      <c r="X73" s="16"/>
    </row>
    <row r="74" spans="1:24" ht="17.100000000000001" customHeight="1">
      <c r="A74" s="16"/>
      <c r="B74" s="45" t="s">
        <v>86</v>
      </c>
      <c r="C74" s="46"/>
      <c r="D74" s="46"/>
      <c r="E74" s="46" t="s">
        <v>87</v>
      </c>
      <c r="F74" s="46"/>
      <c r="G74" s="46"/>
      <c r="H74" s="46"/>
      <c r="I74" s="46"/>
      <c r="J74" s="46"/>
      <c r="K74" s="46"/>
      <c r="L74" s="46"/>
      <c r="M74" s="46" t="s">
        <v>88</v>
      </c>
      <c r="N74" s="46"/>
      <c r="O74" s="64"/>
      <c r="P74" s="16"/>
      <c r="Q74" s="24"/>
      <c r="R74" s="25"/>
      <c r="S74" s="25"/>
      <c r="T74" s="25"/>
      <c r="U74" s="25"/>
      <c r="V74" s="25"/>
      <c r="W74" s="26"/>
      <c r="X74" s="16"/>
    </row>
    <row r="75" spans="1:24" ht="17.100000000000001" customHeight="1">
      <c r="A75" s="16"/>
      <c r="B75" s="97" t="str">
        <f>IF('Fund Data'!$H$2,IF('Fund Data'!J2="","",IF('Fund Data'!J2="","",'Fund Data'!J2)),"")</f>
        <v>NVDA</v>
      </c>
      <c r="C75" s="98"/>
      <c r="D75" s="98"/>
      <c r="E75" s="109" t="str">
        <f>IF('Fund Data'!$H$2,IF('Fund Data'!J2="","",IF('Fund Data'!K2="","",'Fund Data'!K2)),"")</f>
        <v>Nvidia Corp.</v>
      </c>
      <c r="F75" s="109"/>
      <c r="G75" s="109"/>
      <c r="H75" s="109"/>
      <c r="I75" s="109"/>
      <c r="J75" s="109"/>
      <c r="K75" s="109"/>
      <c r="L75" s="109"/>
      <c r="M75" s="99">
        <f>IF('Fund Data'!$H$2,IF('Fund Data'!J2="","",IF('Fund Data'!L2="","",'Fund Data'!L2)),"")</f>
        <v>7.46E-2</v>
      </c>
      <c r="N75" s="99"/>
      <c r="O75" s="100"/>
      <c r="P75" s="16"/>
      <c r="Q75" s="16"/>
      <c r="R75" s="16"/>
      <c r="S75" s="16"/>
      <c r="T75" s="16"/>
      <c r="U75" s="16"/>
      <c r="V75" s="16"/>
      <c r="W75" s="16"/>
      <c r="X75" s="16"/>
    </row>
    <row r="76" spans="1:24" ht="17.100000000000001" customHeight="1">
      <c r="A76" s="16"/>
      <c r="B76" s="107"/>
      <c r="C76" s="108"/>
      <c r="D76" s="108"/>
      <c r="E76" s="110"/>
      <c r="F76" s="110"/>
      <c r="G76" s="110"/>
      <c r="H76" s="110"/>
      <c r="I76" s="110"/>
      <c r="J76" s="110"/>
      <c r="K76" s="110"/>
      <c r="L76" s="110"/>
      <c r="M76" s="111"/>
      <c r="N76" s="111"/>
      <c r="O76" s="112"/>
      <c r="P76" s="16"/>
      <c r="Q76" s="16"/>
      <c r="R76" s="16"/>
      <c r="S76" s="16"/>
      <c r="T76" s="16"/>
      <c r="U76" s="16"/>
      <c r="V76" s="16"/>
      <c r="W76" s="16"/>
      <c r="X76" s="16"/>
    </row>
    <row r="77" spans="1:24" ht="17.100000000000001" customHeight="1">
      <c r="A77" s="16"/>
      <c r="B77" s="97" t="str">
        <f>IF('Fund Data'!$H$2,IF('Fund Data'!J3="","",IF('Fund Data'!J3="","",'Fund Data'!J3)),"")</f>
        <v>AAPL</v>
      </c>
      <c r="C77" s="98"/>
      <c r="D77" s="98"/>
      <c r="E77" s="109" t="str">
        <f>IF('Fund Data'!$H$2,IF('Fund Data'!J3="","",IF('Fund Data'!K3="","",'Fund Data'!K3)),"")</f>
        <v>Apple, Inc</v>
      </c>
      <c r="F77" s="109"/>
      <c r="G77" s="109"/>
      <c r="H77" s="109"/>
      <c r="I77" s="109"/>
      <c r="J77" s="109"/>
      <c r="K77" s="109"/>
      <c r="L77" s="109"/>
      <c r="M77" s="99">
        <f>IF('Fund Data'!$H$2,IF('Fund Data'!J3="","",IF('Fund Data'!L3="","",'Fund Data'!L3)),"")</f>
        <v>6.5000000000000002E-2</v>
      </c>
      <c r="N77" s="99"/>
      <c r="O77" s="100"/>
      <c r="P77" s="16"/>
      <c r="Q77" s="56" t="s">
        <v>89</v>
      </c>
      <c r="R77" s="57"/>
      <c r="S77" s="57"/>
      <c r="T77" s="57"/>
      <c r="U77" s="57"/>
      <c r="V77" s="57"/>
      <c r="W77" s="58"/>
      <c r="X77" s="16"/>
    </row>
    <row r="78" spans="1:24" ht="17.100000000000001" customHeight="1">
      <c r="A78" s="16"/>
      <c r="B78" s="107"/>
      <c r="C78" s="108"/>
      <c r="D78" s="108"/>
      <c r="E78" s="110"/>
      <c r="F78" s="110"/>
      <c r="G78" s="110"/>
      <c r="H78" s="110"/>
      <c r="I78" s="110"/>
      <c r="J78" s="110"/>
      <c r="K78" s="110"/>
      <c r="L78" s="110"/>
      <c r="M78" s="111"/>
      <c r="N78" s="111"/>
      <c r="O78" s="112"/>
      <c r="P78" s="16"/>
      <c r="Q78" s="59"/>
      <c r="R78" s="60"/>
      <c r="S78" s="60"/>
      <c r="T78" s="60"/>
      <c r="U78" s="60"/>
      <c r="V78" s="60"/>
      <c r="W78" s="61"/>
      <c r="X78" s="16"/>
    </row>
    <row r="79" spans="1:24" ht="17.100000000000001" customHeight="1">
      <c r="A79" s="16"/>
      <c r="B79" s="97" t="str">
        <f>IF('Fund Data'!$H$2,IF('Fund Data'!J4="","",IF('Fund Data'!J4="","",'Fund Data'!J4)),"")</f>
        <v>MSFT</v>
      </c>
      <c r="C79" s="98"/>
      <c r="D79" s="98"/>
      <c r="E79" s="109" t="str">
        <f>IF('Fund Data'!$H$2,IF('Fund Data'!J4="","",IF('Fund Data'!K4="","",'Fund Data'!K4)),"")</f>
        <v>Microsoft Corp</v>
      </c>
      <c r="F79" s="109"/>
      <c r="G79" s="109"/>
      <c r="H79" s="109"/>
      <c r="I79" s="109"/>
      <c r="J79" s="109"/>
      <c r="K79" s="109"/>
      <c r="L79" s="109"/>
      <c r="M79" s="99">
        <f>IF('Fund Data'!$H$2,IF('Fund Data'!J4="","",IF('Fund Data'!L4="","",'Fund Data'!L4)),"")</f>
        <v>5.2600000000000001E-2</v>
      </c>
      <c r="N79" s="99"/>
      <c r="O79" s="100"/>
      <c r="P79" s="16"/>
      <c r="Q79" s="22"/>
      <c r="R79" s="18"/>
      <c r="S79" s="18"/>
      <c r="T79" s="18"/>
      <c r="U79" s="18"/>
      <c r="V79" s="18"/>
      <c r="W79" s="23"/>
      <c r="X79" s="16"/>
    </row>
    <row r="80" spans="1:24" ht="17.100000000000001" customHeight="1">
      <c r="A80" s="16"/>
      <c r="B80" s="107"/>
      <c r="C80" s="108"/>
      <c r="D80" s="108"/>
      <c r="E80" s="110"/>
      <c r="F80" s="110"/>
      <c r="G80" s="110"/>
      <c r="H80" s="110"/>
      <c r="I80" s="110"/>
      <c r="J80" s="110"/>
      <c r="K80" s="110"/>
      <c r="L80" s="110"/>
      <c r="M80" s="111"/>
      <c r="N80" s="111"/>
      <c r="O80" s="112"/>
      <c r="P80" s="16"/>
      <c r="Q80" s="45" t="s">
        <v>90</v>
      </c>
      <c r="R80" s="46"/>
      <c r="S80" s="46"/>
      <c r="T80" s="46"/>
      <c r="U80" s="93" t="str">
        <f>IF('Fund Data'!$H$2,'Fund Data'!$B$53,"Refresh required")</f>
        <v>Charles Schwab Asset Management</v>
      </c>
      <c r="V80" s="93"/>
      <c r="W80" s="94"/>
      <c r="X80" s="16"/>
    </row>
    <row r="81" spans="1:24" ht="17.100000000000001" customHeight="1">
      <c r="A81" s="16"/>
      <c r="B81" s="97" t="str">
        <f>IF('Fund Data'!$H$2,IF('Fund Data'!J5="","",IF('Fund Data'!J5="","",'Fund Data'!J5)),"")</f>
        <v>AMZN</v>
      </c>
      <c r="C81" s="98"/>
      <c r="D81" s="98"/>
      <c r="E81" s="109" t="str">
        <f>IF('Fund Data'!$H$2,IF('Fund Data'!J5="","",IF('Fund Data'!K5="","",'Fund Data'!K5)),"")</f>
        <v>Amazon.Com Inc</v>
      </c>
      <c r="F81" s="109"/>
      <c r="G81" s="109"/>
      <c r="H81" s="109"/>
      <c r="I81" s="109"/>
      <c r="J81" s="109"/>
      <c r="K81" s="109"/>
      <c r="L81" s="109"/>
      <c r="M81" s="99">
        <f>IF('Fund Data'!$H$2,IF('Fund Data'!J5="","",IF('Fund Data'!L5="","",'Fund Data'!L5)),"")</f>
        <v>3.5499999999999997E-2</v>
      </c>
      <c r="N81" s="99"/>
      <c r="O81" s="100"/>
      <c r="P81" s="16"/>
      <c r="Q81" s="91"/>
      <c r="R81" s="92"/>
      <c r="S81" s="92"/>
      <c r="T81" s="92"/>
      <c r="U81" s="95"/>
      <c r="V81" s="95"/>
      <c r="W81" s="96"/>
      <c r="X81" s="16"/>
    </row>
    <row r="82" spans="1:24" ht="17.100000000000001" customHeight="1">
      <c r="A82" s="16"/>
      <c r="B82" s="107"/>
      <c r="C82" s="108"/>
      <c r="D82" s="108"/>
      <c r="E82" s="110"/>
      <c r="F82" s="110"/>
      <c r="G82" s="110"/>
      <c r="H82" s="110"/>
      <c r="I82" s="110"/>
      <c r="J82" s="110"/>
      <c r="K82" s="110"/>
      <c r="L82" s="110"/>
      <c r="M82" s="111"/>
      <c r="N82" s="111"/>
      <c r="O82" s="112"/>
      <c r="P82" s="16"/>
      <c r="Q82" s="22"/>
      <c r="R82" s="18"/>
      <c r="S82" s="18"/>
      <c r="T82" s="18"/>
      <c r="U82" s="18"/>
      <c r="V82" s="18"/>
      <c r="W82" s="23"/>
      <c r="X82" s="16"/>
    </row>
    <row r="83" spans="1:24" ht="17.100000000000001" customHeight="1">
      <c r="A83" s="16"/>
      <c r="B83" s="97" t="str">
        <f>IF('Fund Data'!$H$2,IF('Fund Data'!J6="","",IF('Fund Data'!J6="","",'Fund Data'!J6)),"")</f>
        <v>GOOGL</v>
      </c>
      <c r="C83" s="98"/>
      <c r="D83" s="98"/>
      <c r="E83" s="109" t="str">
        <f>IF('Fund Data'!$H$2,IF('Fund Data'!J6="","",IF('Fund Data'!K6="","",'Fund Data'!K6)),"")</f>
        <v>Alphabet Inc-cl A</v>
      </c>
      <c r="F83" s="109"/>
      <c r="G83" s="109"/>
      <c r="H83" s="109"/>
      <c r="I83" s="109"/>
      <c r="J83" s="109"/>
      <c r="K83" s="109"/>
      <c r="L83" s="109"/>
      <c r="M83" s="99">
        <f>IF('Fund Data'!$H$2,IF('Fund Data'!J6="","",IF('Fund Data'!L6="","",'Fund Data'!L6)),"")</f>
        <v>2.7799999999999998E-2</v>
      </c>
      <c r="N83" s="99"/>
      <c r="O83" s="100"/>
      <c r="P83" s="16"/>
      <c r="Q83" s="45" t="s">
        <v>91</v>
      </c>
      <c r="R83" s="46"/>
      <c r="S83" s="46"/>
      <c r="T83" s="46"/>
      <c r="U83" s="93" t="str">
        <f>IF('Fund Data'!$H$2,'Fund Data'!$B$43,"Refresh required")</f>
        <v>United States Large Cap Blend Equity</v>
      </c>
      <c r="V83" s="93"/>
      <c r="W83" s="94"/>
      <c r="X83" s="16"/>
    </row>
    <row r="84" spans="1:24" ht="17.100000000000001" customHeight="1">
      <c r="A84" s="16"/>
      <c r="B84" s="107"/>
      <c r="C84" s="108"/>
      <c r="D84" s="108"/>
      <c r="E84" s="110"/>
      <c r="F84" s="110"/>
      <c r="G84" s="110"/>
      <c r="H84" s="110"/>
      <c r="I84" s="110"/>
      <c r="J84" s="110"/>
      <c r="K84" s="110"/>
      <c r="L84" s="110"/>
      <c r="M84" s="111"/>
      <c r="N84" s="111"/>
      <c r="O84" s="112"/>
      <c r="P84" s="16"/>
      <c r="Q84" s="91"/>
      <c r="R84" s="92"/>
      <c r="S84" s="92"/>
      <c r="T84" s="92"/>
      <c r="U84" s="95"/>
      <c r="V84" s="95"/>
      <c r="W84" s="96"/>
      <c r="X84" s="16"/>
    </row>
    <row r="85" spans="1:24" ht="17.100000000000001" customHeight="1">
      <c r="A85" s="16"/>
      <c r="B85" s="97" t="str">
        <f>IF('Fund Data'!$H$2,IF('Fund Data'!J7="","",IF('Fund Data'!J7="","",'Fund Data'!J7)),"")</f>
        <v>AVGO</v>
      </c>
      <c r="C85" s="98"/>
      <c r="D85" s="98"/>
      <c r="E85" s="109" t="str">
        <f>IF('Fund Data'!$H$2,IF('Fund Data'!J7="","",IF('Fund Data'!K7="","",'Fund Data'!K7)),"")</f>
        <v>Broadcom Inc</v>
      </c>
      <c r="F85" s="109"/>
      <c r="G85" s="109"/>
      <c r="H85" s="109"/>
      <c r="I85" s="109"/>
      <c r="J85" s="109"/>
      <c r="K85" s="109"/>
      <c r="L85" s="109"/>
      <c r="M85" s="99">
        <f>IF('Fund Data'!$H$2,IF('Fund Data'!J7="","",IF('Fund Data'!L7="","",'Fund Data'!L7)),"")</f>
        <v>2.4500000000000001E-2</v>
      </c>
      <c r="N85" s="99"/>
      <c r="O85" s="100"/>
      <c r="P85" s="16"/>
      <c r="Q85" s="22"/>
      <c r="R85" s="18"/>
      <c r="S85" s="18"/>
      <c r="T85" s="18"/>
      <c r="U85" s="18"/>
      <c r="V85" s="18"/>
      <c r="W85" s="23"/>
      <c r="X85" s="16"/>
    </row>
    <row r="86" spans="1:24" ht="17.100000000000001" customHeight="1">
      <c r="A86" s="16"/>
      <c r="B86" s="107"/>
      <c r="C86" s="108"/>
      <c r="D86" s="108"/>
      <c r="E86" s="110"/>
      <c r="F86" s="110"/>
      <c r="G86" s="110"/>
      <c r="H86" s="110"/>
      <c r="I86" s="110"/>
      <c r="J86" s="110"/>
      <c r="K86" s="110"/>
      <c r="L86" s="110"/>
      <c r="M86" s="111"/>
      <c r="N86" s="111"/>
      <c r="O86" s="112"/>
      <c r="P86" s="16"/>
      <c r="Q86" s="45" t="s">
        <v>92</v>
      </c>
      <c r="R86" s="46"/>
      <c r="S86" s="46"/>
      <c r="T86" s="46"/>
      <c r="U86" s="93" t="str">
        <f>IF('Fund Data'!$H$2,'Fund Data'!$B$59,"Refresh required")</f>
        <v>Russell 1000 Index</v>
      </c>
      <c r="V86" s="93"/>
      <c r="W86" s="94"/>
      <c r="X86" s="16"/>
    </row>
    <row r="87" spans="1:24" ht="17.100000000000001" customHeight="1">
      <c r="A87" s="16"/>
      <c r="B87" s="97" t="str">
        <f>IF('Fund Data'!$H$2,IF('Fund Data'!J8="","",IF('Fund Data'!J8="","",'Fund Data'!J8)),"")</f>
        <v>GOOG</v>
      </c>
      <c r="C87" s="98"/>
      <c r="D87" s="98"/>
      <c r="E87" s="109" t="str">
        <f>IF('Fund Data'!$H$2,IF('Fund Data'!J8="","",IF('Fund Data'!K8="","",'Fund Data'!K8)),"")</f>
        <v>Alphabet Inc</v>
      </c>
      <c r="F87" s="109"/>
      <c r="G87" s="109"/>
      <c r="H87" s="109"/>
      <c r="I87" s="109"/>
      <c r="J87" s="109"/>
      <c r="K87" s="109"/>
      <c r="L87" s="109"/>
      <c r="M87" s="99">
        <f>IF('Fund Data'!$H$2,IF('Fund Data'!J8="","",IF('Fund Data'!L8="","",'Fund Data'!L8)),"")</f>
        <v>2.2099999999999998E-2</v>
      </c>
      <c r="N87" s="99"/>
      <c r="O87" s="100"/>
      <c r="P87" s="16"/>
      <c r="Q87" s="91"/>
      <c r="R87" s="92"/>
      <c r="S87" s="92"/>
      <c r="T87" s="92"/>
      <c r="U87" s="95"/>
      <c r="V87" s="95"/>
      <c r="W87" s="96"/>
      <c r="X87" s="16"/>
    </row>
    <row r="88" spans="1:24" ht="17.100000000000001" customHeight="1">
      <c r="A88" s="16"/>
      <c r="B88" s="107"/>
      <c r="C88" s="108"/>
      <c r="D88" s="108"/>
      <c r="E88" s="110"/>
      <c r="F88" s="110"/>
      <c r="G88" s="110"/>
      <c r="H88" s="110"/>
      <c r="I88" s="110"/>
      <c r="J88" s="110"/>
      <c r="K88" s="110"/>
      <c r="L88" s="110"/>
      <c r="M88" s="111"/>
      <c r="N88" s="111"/>
      <c r="O88" s="112"/>
      <c r="P88" s="16"/>
      <c r="Q88" s="22"/>
      <c r="R88" s="18"/>
      <c r="S88" s="18"/>
      <c r="T88" s="18"/>
      <c r="U88" s="18"/>
      <c r="V88" s="18"/>
      <c r="W88" s="23"/>
      <c r="X88" s="16"/>
    </row>
    <row r="89" spans="1:24" ht="17.100000000000001" customHeight="1">
      <c r="A89" s="16"/>
      <c r="B89" s="97" t="str">
        <f>IF('Fund Data'!$H$2,IF('Fund Data'!J9="","",IF('Fund Data'!J9="","",'Fund Data'!J9)),"")</f>
        <v>META</v>
      </c>
      <c r="C89" s="98"/>
      <c r="D89" s="98"/>
      <c r="E89" s="109" t="str">
        <f>IF('Fund Data'!$H$2,IF('Fund Data'!J9="","",IF('Fund Data'!K9="","",'Fund Data'!K9)),"")</f>
        <v>Meta Platforms, Inc.</v>
      </c>
      <c r="F89" s="109"/>
      <c r="G89" s="109"/>
      <c r="H89" s="109"/>
      <c r="I89" s="109"/>
      <c r="J89" s="109"/>
      <c r="K89" s="109"/>
      <c r="L89" s="109"/>
      <c r="M89" s="99">
        <f>IF('Fund Data'!$H$2,IF('Fund Data'!J9="","",IF('Fund Data'!L9="","",'Fund Data'!L9)),"")</f>
        <v>1.7500000000000002E-2</v>
      </c>
      <c r="N89" s="99"/>
      <c r="O89" s="100"/>
      <c r="P89" s="16"/>
      <c r="Q89" s="45" t="s">
        <v>93</v>
      </c>
      <c r="R89" s="46"/>
      <c r="S89" s="46"/>
      <c r="T89" s="46"/>
      <c r="U89" s="93">
        <f>IF('Fund Data'!$H$2,'Fund Data'!$B$56,"Refresh required")</f>
        <v>33330</v>
      </c>
      <c r="V89" s="93"/>
      <c r="W89" s="94"/>
      <c r="X89" s="16"/>
    </row>
    <row r="90" spans="1:24" ht="17.100000000000001" customHeight="1">
      <c r="A90" s="16"/>
      <c r="B90" s="107"/>
      <c r="C90" s="108"/>
      <c r="D90" s="108"/>
      <c r="E90" s="110"/>
      <c r="F90" s="110"/>
      <c r="G90" s="110"/>
      <c r="H90" s="110"/>
      <c r="I90" s="110"/>
      <c r="J90" s="110"/>
      <c r="K90" s="110"/>
      <c r="L90" s="110"/>
      <c r="M90" s="111"/>
      <c r="N90" s="111"/>
      <c r="O90" s="112"/>
      <c r="P90" s="16"/>
      <c r="Q90" s="91"/>
      <c r="R90" s="92"/>
      <c r="S90" s="92"/>
      <c r="T90" s="92"/>
      <c r="U90" s="95"/>
      <c r="V90" s="95"/>
      <c r="W90" s="96"/>
      <c r="X90" s="16"/>
    </row>
    <row r="91" spans="1:24" ht="17.100000000000001" customHeight="1">
      <c r="A91" s="16"/>
      <c r="B91" s="97" t="str">
        <f>IF('Fund Data'!$H$2,IF('Fund Data'!J10="","",IF('Fund Data'!J10="","",'Fund Data'!J10)),"")</f>
        <v>MU</v>
      </c>
      <c r="C91" s="98"/>
      <c r="D91" s="98"/>
      <c r="E91" s="109" t="str">
        <f>IF('Fund Data'!$H$2,IF('Fund Data'!J10="","",IF('Fund Data'!K10="","",'Fund Data'!K10)),"")</f>
        <v>Micron Technology, Inc.</v>
      </c>
      <c r="F91" s="109"/>
      <c r="G91" s="109"/>
      <c r="H91" s="109"/>
      <c r="I91" s="109"/>
      <c r="J91" s="109"/>
      <c r="K91" s="109"/>
      <c r="L91" s="109"/>
      <c r="M91" s="99">
        <f>IF('Fund Data'!$H$2,IF('Fund Data'!J10="","",IF('Fund Data'!L10="","",'Fund Data'!L10)),"")</f>
        <v>1.5100000000000001E-2</v>
      </c>
      <c r="N91" s="99"/>
      <c r="O91" s="100"/>
      <c r="P91" s="16"/>
      <c r="Q91" s="22"/>
      <c r="R91" s="18"/>
      <c r="S91" s="18"/>
      <c r="T91" s="18"/>
      <c r="U91" s="18"/>
      <c r="V91" s="18"/>
      <c r="W91" s="23"/>
      <c r="X91" s="16"/>
    </row>
    <row r="92" spans="1:24" ht="17.100000000000001" customHeight="1">
      <c r="A92" s="16"/>
      <c r="B92" s="107"/>
      <c r="C92" s="108"/>
      <c r="D92" s="108"/>
      <c r="E92" s="110"/>
      <c r="F92" s="110"/>
      <c r="G92" s="110"/>
      <c r="H92" s="110"/>
      <c r="I92" s="110"/>
      <c r="J92" s="110"/>
      <c r="K92" s="110"/>
      <c r="L92" s="110"/>
      <c r="M92" s="111"/>
      <c r="N92" s="111"/>
      <c r="O92" s="112"/>
      <c r="P92" s="16"/>
      <c r="Q92" s="45" t="s">
        <v>94</v>
      </c>
      <c r="R92" s="46"/>
      <c r="S92" s="46"/>
      <c r="T92" s="46"/>
      <c r="U92" s="93" t="str">
        <f>IF(ISNUMBER(IF('Fund Data'!$H$2,'Fund Data'!$B$44,"Refresh required")),TEXT(IF('Fund Data'!$H$2,'Fund Data'!$B$44,"Refresh required"),"$0.00,,,""B"""),IF('Fund Data'!$H$2,'Fund Data'!$B$44,"Refresh required"))</f>
        <v>$22.86B</v>
      </c>
      <c r="V92" s="93"/>
      <c r="W92" s="94"/>
      <c r="X92" s="16"/>
    </row>
    <row r="93" spans="1:24" ht="17.100000000000001" customHeight="1">
      <c r="A93" s="16"/>
      <c r="B93" s="97" t="str">
        <f>IF('Fund Data'!$H$2,IF('Fund Data'!J11="","",IF('Fund Data'!J11="","",'Fund Data'!J11)),"")</f>
        <v>TSLA</v>
      </c>
      <c r="C93" s="98"/>
      <c r="D93" s="98"/>
      <c r="E93" s="109" t="str">
        <f>IF('Fund Data'!$H$2,IF('Fund Data'!J11="","",IF('Fund Data'!K11="","",'Fund Data'!K11)),"")</f>
        <v>Tesla Inc</v>
      </c>
      <c r="F93" s="109"/>
      <c r="G93" s="109"/>
      <c r="H93" s="109"/>
      <c r="I93" s="109"/>
      <c r="J93" s="109"/>
      <c r="K93" s="109"/>
      <c r="L93" s="109"/>
      <c r="M93" s="99">
        <f>IF('Fund Data'!$H$2,IF('Fund Data'!J11="","",IF('Fund Data'!L11="","",'Fund Data'!L11)),"")</f>
        <v>1.4499999999999999E-2</v>
      </c>
      <c r="N93" s="99"/>
      <c r="O93" s="100"/>
      <c r="P93" s="16"/>
      <c r="Q93" s="91"/>
      <c r="R93" s="92"/>
      <c r="S93" s="92"/>
      <c r="T93" s="92"/>
      <c r="U93" s="95"/>
      <c r="V93" s="95"/>
      <c r="W93" s="96"/>
      <c r="X93" s="16"/>
    </row>
    <row r="94" spans="1:24" ht="17.100000000000001" customHeight="1">
      <c r="A94" s="16"/>
      <c r="B94" s="107"/>
      <c r="C94" s="108"/>
      <c r="D94" s="108"/>
      <c r="E94" s="110"/>
      <c r="F94" s="110"/>
      <c r="G94" s="110"/>
      <c r="H94" s="110"/>
      <c r="I94" s="110"/>
      <c r="J94" s="110"/>
      <c r="K94" s="110"/>
      <c r="L94" s="110"/>
      <c r="M94" s="111"/>
      <c r="N94" s="111"/>
      <c r="O94" s="112"/>
      <c r="P94" s="16"/>
      <c r="Q94" s="22"/>
      <c r="R94" s="18"/>
      <c r="S94" s="18"/>
      <c r="T94" s="18"/>
      <c r="U94" s="18"/>
      <c r="V94" s="18"/>
      <c r="W94" s="23"/>
      <c r="X94" s="16"/>
    </row>
    <row r="95" spans="1:24" ht="17.100000000000001" customHeight="1">
      <c r="A95" s="16"/>
      <c r="B95" s="22"/>
      <c r="C95" s="18"/>
      <c r="D95" s="18"/>
      <c r="E95" s="18"/>
      <c r="F95" s="18"/>
      <c r="G95" s="18"/>
      <c r="H95" s="18"/>
      <c r="I95" s="18"/>
      <c r="J95" s="18"/>
      <c r="K95" s="18"/>
      <c r="L95" s="18"/>
      <c r="M95" s="18"/>
      <c r="N95" s="18"/>
      <c r="O95" s="23"/>
      <c r="P95" s="16"/>
      <c r="Q95" s="45" t="s">
        <v>95</v>
      </c>
      <c r="R95" s="46"/>
      <c r="S95" s="46"/>
      <c r="T95" s="46"/>
      <c r="U95" s="46"/>
      <c r="V95" s="46"/>
      <c r="W95" s="64"/>
      <c r="X95" s="16"/>
    </row>
    <row r="96" spans="1:24" ht="17.100000000000001" customHeight="1">
      <c r="A96" s="16"/>
      <c r="B96" s="45" t="s">
        <v>112</v>
      </c>
      <c r="C96" s="46"/>
      <c r="D96" s="46"/>
      <c r="E96" s="46"/>
      <c r="F96" s="46"/>
      <c r="G96" s="46"/>
      <c r="H96" s="46"/>
      <c r="I96" s="46"/>
      <c r="J96" s="46"/>
      <c r="K96" s="46"/>
      <c r="L96" s="46"/>
      <c r="M96" s="46"/>
      <c r="N96" s="46"/>
      <c r="O96" s="64"/>
      <c r="P96" s="16"/>
      <c r="Q96" s="45"/>
      <c r="R96" s="46"/>
      <c r="S96" s="46"/>
      <c r="T96" s="46"/>
      <c r="U96" s="46"/>
      <c r="V96" s="46"/>
      <c r="W96" s="64"/>
      <c r="X96" s="16"/>
    </row>
    <row r="97" spans="1:24" ht="17.100000000000001" customHeight="1">
      <c r="A97" s="16"/>
      <c r="B97" s="45"/>
      <c r="C97" s="46"/>
      <c r="D97" s="46"/>
      <c r="E97" s="46"/>
      <c r="F97" s="46"/>
      <c r="G97" s="46"/>
      <c r="H97" s="46"/>
      <c r="I97" s="46"/>
      <c r="J97" s="46"/>
      <c r="K97" s="46"/>
      <c r="L97" s="46"/>
      <c r="M97" s="46"/>
      <c r="N97" s="46"/>
      <c r="O97" s="64"/>
      <c r="P97" s="16"/>
      <c r="Q97" s="22"/>
      <c r="R97" s="18"/>
      <c r="S97" s="18"/>
      <c r="T97" s="18"/>
      <c r="U97" s="18"/>
      <c r="V97" s="18"/>
      <c r="W97" s="23"/>
      <c r="X97" s="16"/>
    </row>
    <row r="98" spans="1:24" ht="17.100000000000001" customHeight="1">
      <c r="A98" s="16"/>
      <c r="B98" s="45"/>
      <c r="C98" s="46"/>
      <c r="D98" s="46"/>
      <c r="E98" s="46"/>
      <c r="F98" s="46"/>
      <c r="G98" s="46"/>
      <c r="H98" s="46"/>
      <c r="I98" s="46"/>
      <c r="J98" s="46"/>
      <c r="K98" s="46"/>
      <c r="L98" s="46"/>
      <c r="M98" s="46"/>
      <c r="N98" s="46"/>
      <c r="O98" s="64"/>
      <c r="P98" s="16"/>
      <c r="Q98" s="45" t="s">
        <v>97</v>
      </c>
      <c r="R98" s="46"/>
      <c r="S98" s="46"/>
      <c r="T98" s="46"/>
      <c r="U98" s="46"/>
      <c r="V98" s="46"/>
      <c r="W98" s="64"/>
      <c r="X98" s="16"/>
    </row>
    <row r="99" spans="1:24" ht="17.100000000000001" customHeight="1">
      <c r="A99" s="16"/>
      <c r="B99" s="24"/>
      <c r="C99" s="25"/>
      <c r="D99" s="25"/>
      <c r="E99" s="25"/>
      <c r="F99" s="25"/>
      <c r="G99" s="25"/>
      <c r="H99" s="25"/>
      <c r="I99" s="25"/>
      <c r="J99" s="25"/>
      <c r="K99" s="25"/>
      <c r="L99" s="25"/>
      <c r="M99" s="25"/>
      <c r="N99" s="25"/>
      <c r="O99" s="26"/>
      <c r="P99" s="16"/>
      <c r="Q99" s="113" t="str">
        <f>IF('Fund Data'!$H$2,IF('Fund Data'!AD2="","",IF('Fund Data'!AD2="","",'Fund Data'!AD2)),"")</f>
        <v>Sabya Sinha</v>
      </c>
      <c r="R99" s="109"/>
      <c r="S99" s="109"/>
      <c r="T99" s="109"/>
      <c r="U99" s="76">
        <f>IF('Fund Data'!$H$2,IF('Fund Data'!AD2="","",IF('Fund Data'!AE2="","",'Fund Data'!AE2)),"")</f>
        <v>42005</v>
      </c>
      <c r="V99" s="76"/>
      <c r="W99" s="114"/>
      <c r="X99" s="16"/>
    </row>
    <row r="100" spans="1:24" ht="17.100000000000001" customHeight="1">
      <c r="A100" s="16"/>
      <c r="B100" s="16"/>
      <c r="C100" s="16"/>
      <c r="D100" s="16"/>
      <c r="E100" s="16"/>
      <c r="F100" s="16"/>
      <c r="G100" s="16"/>
      <c r="H100" s="16"/>
      <c r="I100" s="16"/>
      <c r="J100" s="16"/>
      <c r="K100" s="16"/>
      <c r="L100" s="16"/>
      <c r="M100" s="16"/>
      <c r="N100" s="16"/>
      <c r="O100" s="16"/>
      <c r="P100" s="16"/>
      <c r="Q100" s="113"/>
      <c r="R100" s="109"/>
      <c r="S100" s="109"/>
      <c r="T100" s="109"/>
      <c r="U100" s="76"/>
      <c r="V100" s="76"/>
      <c r="W100" s="114"/>
      <c r="X100" s="16"/>
    </row>
    <row r="101" spans="1:24" ht="17.100000000000001" customHeight="1">
      <c r="A101" s="16"/>
      <c r="B101" s="16"/>
      <c r="C101" s="16"/>
      <c r="D101" s="16"/>
      <c r="E101" s="16"/>
      <c r="F101" s="16"/>
      <c r="G101" s="16"/>
      <c r="H101" s="16"/>
      <c r="I101" s="16"/>
      <c r="J101" s="16"/>
      <c r="K101" s="16"/>
      <c r="L101" s="16"/>
      <c r="M101" s="16"/>
      <c r="N101" s="16"/>
      <c r="O101" s="16"/>
      <c r="P101" s="16"/>
      <c r="Q101" s="22"/>
      <c r="R101" s="18"/>
      <c r="S101" s="18"/>
      <c r="T101" s="18"/>
      <c r="U101" s="18"/>
      <c r="V101" s="18"/>
      <c r="W101" s="23"/>
      <c r="X101" s="16"/>
    </row>
    <row r="102" spans="1:24" ht="17.100000000000001" customHeight="1">
      <c r="A102" s="16"/>
      <c r="B102" s="56" t="s">
        <v>98</v>
      </c>
      <c r="C102" s="57"/>
      <c r="D102" s="57"/>
      <c r="E102" s="57"/>
      <c r="F102" s="57"/>
      <c r="G102" s="57"/>
      <c r="H102" s="57"/>
      <c r="I102" s="57"/>
      <c r="J102" s="57"/>
      <c r="K102" s="57"/>
      <c r="L102" s="57"/>
      <c r="M102" s="57"/>
      <c r="N102" s="57"/>
      <c r="O102" s="58"/>
      <c r="P102" s="16"/>
      <c r="Q102" s="113" t="str">
        <f>IF('Fund Data'!$H$2,IF('Fund Data'!AD3="","",IF('Fund Data'!AD3="","",'Fund Data'!AD3)),"")</f>
        <v>Chuck Craig</v>
      </c>
      <c r="R102" s="109"/>
      <c r="S102" s="109"/>
      <c r="T102" s="109"/>
      <c r="U102" s="76">
        <f>IF('Fund Data'!$H$2,IF('Fund Data'!AD3="","",IF('Fund Data'!AE3="","",'Fund Data'!AE3)),"")</f>
        <v>40909</v>
      </c>
      <c r="V102" s="76"/>
      <c r="W102" s="114"/>
      <c r="X102" s="16"/>
    </row>
    <row r="103" spans="1:24" ht="17.100000000000001" customHeight="1">
      <c r="A103" s="16"/>
      <c r="B103" s="59"/>
      <c r="C103" s="60"/>
      <c r="D103" s="60"/>
      <c r="E103" s="60"/>
      <c r="F103" s="60"/>
      <c r="G103" s="60"/>
      <c r="H103" s="60"/>
      <c r="I103" s="60"/>
      <c r="J103" s="60"/>
      <c r="K103" s="60"/>
      <c r="L103" s="60"/>
      <c r="M103" s="60"/>
      <c r="N103" s="60"/>
      <c r="O103" s="61"/>
      <c r="P103" s="16"/>
      <c r="Q103" s="113"/>
      <c r="R103" s="109"/>
      <c r="S103" s="109"/>
      <c r="T103" s="109"/>
      <c r="U103" s="76"/>
      <c r="V103" s="76"/>
      <c r="W103" s="114"/>
      <c r="X103" s="16"/>
    </row>
    <row r="104" spans="1:24" ht="17.100000000000001" customHeight="1">
      <c r="A104" s="16"/>
      <c r="B104" s="22"/>
      <c r="C104" s="18"/>
      <c r="D104" s="18"/>
      <c r="E104" s="18"/>
      <c r="F104" s="18"/>
      <c r="G104" s="18"/>
      <c r="H104" s="18"/>
      <c r="I104" s="18"/>
      <c r="J104" s="18"/>
      <c r="K104" s="18"/>
      <c r="L104" s="18"/>
      <c r="M104" s="18"/>
      <c r="N104" s="18"/>
      <c r="O104" s="23"/>
      <c r="P104" s="16"/>
      <c r="Q104" s="22"/>
      <c r="R104" s="18"/>
      <c r="S104" s="18"/>
      <c r="T104" s="18"/>
      <c r="U104" s="18"/>
      <c r="V104" s="18"/>
      <c r="W104" s="23"/>
      <c r="X104" s="16"/>
    </row>
    <row r="105" spans="1:24" ht="17.100000000000001" customHeight="1">
      <c r="A105" s="16"/>
      <c r="B105" s="45" t="s">
        <v>99</v>
      </c>
      <c r="C105" s="46"/>
      <c r="D105" s="46"/>
      <c r="E105" s="46"/>
      <c r="F105" s="46"/>
      <c r="G105" s="18"/>
      <c r="H105" s="46" t="s">
        <v>100</v>
      </c>
      <c r="I105" s="46"/>
      <c r="J105" s="46"/>
      <c r="K105" s="46"/>
      <c r="L105" s="46"/>
      <c r="M105" s="46"/>
      <c r="N105" s="46"/>
      <c r="O105" s="64"/>
      <c r="P105" s="16"/>
      <c r="Q105" s="113" t="str">
        <f>IF('Fund Data'!$H$2,IF('Fund Data'!AD4="","",IF('Fund Data'!AD4="","",'Fund Data'!AD4)),"")</f>
        <v>Agnes Zau</v>
      </c>
      <c r="R105" s="109"/>
      <c r="S105" s="109"/>
      <c r="T105" s="109"/>
      <c r="U105" s="76">
        <f>IF('Fund Data'!$H$2,IF('Fund Data'!AD4="","",IF('Fund Data'!AE4="","",'Fund Data'!AE4)),"")</f>
        <v>44927</v>
      </c>
      <c r="V105" s="76"/>
      <c r="W105" s="114"/>
      <c r="X105" s="16"/>
    </row>
    <row r="106" spans="1:24" ht="17.100000000000001" customHeight="1">
      <c r="A106" s="16"/>
      <c r="B106" s="80" t="str">
        <f>IF(ISNUMBER(IF('Fund Data'!$H$2,'Fund Data'!$B$67,"Refresh required")),TEXT(IF('Fund Data'!$H$2,'Fund Data'!$B$67,"Refresh required"),"0.00%"),IF('Fund Data'!$H$2,'Fund Data'!$B$67,"Refresh required"))</f>
        <v>Unavailable</v>
      </c>
      <c r="C106" s="81"/>
      <c r="D106" s="81"/>
      <c r="E106" s="81"/>
      <c r="F106" s="81"/>
      <c r="G106" s="18"/>
      <c r="H106" s="81" t="str">
        <f>IF(ISNUMBER(IF('Fund Data'!$H$2,'Fund Data'!$B$48,"Refresh required")),TEXT(IF('Fund Data'!$H$2,'Fund Data'!$B$48,"Refresh required"),"0.00%"),IF('Fund Data'!$H$2,'Fund Data'!$B$48,"Refresh required"))</f>
        <v>0.98%</v>
      </c>
      <c r="I106" s="81"/>
      <c r="J106" s="81"/>
      <c r="K106" s="81"/>
      <c r="L106" s="81"/>
      <c r="M106" s="81"/>
      <c r="N106" s="81"/>
      <c r="O106" s="82"/>
      <c r="P106" s="16"/>
      <c r="Q106" s="113"/>
      <c r="R106" s="109"/>
      <c r="S106" s="109"/>
      <c r="T106" s="109"/>
      <c r="U106" s="76"/>
      <c r="V106" s="76"/>
      <c r="W106" s="114"/>
      <c r="X106" s="16"/>
    </row>
    <row r="107" spans="1:24" ht="17.100000000000001" customHeight="1">
      <c r="A107" s="16"/>
      <c r="B107" s="80"/>
      <c r="C107" s="81"/>
      <c r="D107" s="81"/>
      <c r="E107" s="81"/>
      <c r="F107" s="81"/>
      <c r="G107" s="18"/>
      <c r="H107" s="81"/>
      <c r="I107" s="81"/>
      <c r="J107" s="81"/>
      <c r="K107" s="81"/>
      <c r="L107" s="81"/>
      <c r="M107" s="81"/>
      <c r="N107" s="81"/>
      <c r="O107" s="82"/>
      <c r="P107" s="16"/>
      <c r="Q107" s="22"/>
      <c r="R107" s="18"/>
      <c r="S107" s="18"/>
      <c r="T107" s="18"/>
      <c r="U107" s="18"/>
      <c r="V107" s="18"/>
      <c r="W107" s="23"/>
      <c r="X107" s="16"/>
    </row>
    <row r="108" spans="1:24" ht="17.100000000000001" customHeight="1">
      <c r="A108" s="16"/>
      <c r="B108" s="22"/>
      <c r="C108" s="18"/>
      <c r="D108" s="18"/>
      <c r="E108" s="18"/>
      <c r="F108" s="18"/>
      <c r="G108" s="18"/>
      <c r="H108" s="18"/>
      <c r="I108" s="18"/>
      <c r="J108" s="18"/>
      <c r="K108" s="18"/>
      <c r="L108" s="18"/>
      <c r="M108" s="18"/>
      <c r="N108" s="18"/>
      <c r="O108" s="23"/>
      <c r="P108" s="16"/>
      <c r="Q108" s="113" t="str">
        <f>IF('Fund Data'!$H$2,IF('Fund Data'!AD5="","",IF('Fund Data'!AD5="","",'Fund Data'!AD5)),"")</f>
        <v>David Rios</v>
      </c>
      <c r="R108" s="109"/>
      <c r="S108" s="109"/>
      <c r="T108" s="109"/>
      <c r="U108" s="76">
        <f>IF('Fund Data'!$H$2,IF('Fund Data'!AD5="","",IF('Fund Data'!AE5="","",'Fund Data'!AE5)),"")</f>
        <v>39448</v>
      </c>
      <c r="V108" s="76"/>
      <c r="W108" s="114"/>
      <c r="X108" s="16"/>
    </row>
    <row r="109" spans="1:24" ht="17.100000000000001" customHeight="1">
      <c r="A109" s="16"/>
      <c r="B109" s="45" t="s">
        <v>48</v>
      </c>
      <c r="C109" s="46"/>
      <c r="D109" s="46"/>
      <c r="E109" s="46"/>
      <c r="F109" s="46"/>
      <c r="G109" s="46" t="s">
        <v>49</v>
      </c>
      <c r="H109" s="46"/>
      <c r="I109" s="46"/>
      <c r="J109" s="46"/>
      <c r="K109" s="46" t="s">
        <v>50</v>
      </c>
      <c r="L109" s="46"/>
      <c r="M109" s="46"/>
      <c r="N109" s="46"/>
      <c r="O109" s="64"/>
      <c r="P109" s="16"/>
      <c r="Q109" s="113"/>
      <c r="R109" s="109"/>
      <c r="S109" s="109"/>
      <c r="T109" s="109"/>
      <c r="U109" s="76"/>
      <c r="V109" s="76"/>
      <c r="W109" s="114"/>
      <c r="X109" s="16"/>
    </row>
    <row r="110" spans="1:24" ht="17.100000000000001" customHeight="1">
      <c r="A110" s="16"/>
      <c r="B110" s="74">
        <f>IF('Fund Data'!$H$2,IF('Fund Data'!V2="","",IF('Fund Data'!V2="","",'Fund Data'!V2)),"")</f>
        <v>46003</v>
      </c>
      <c r="C110" s="75"/>
      <c r="D110" s="75"/>
      <c r="E110" s="75"/>
      <c r="F110" s="75"/>
      <c r="G110" s="83">
        <f>IF('Fund Data'!$H$2,IF('Fund Data'!V2="","",IF('Fund Data'!W2="","",'Fund Data'!W2)),"")</f>
        <v>5.0999999999999997E-2</v>
      </c>
      <c r="H110" s="83"/>
      <c r="I110" s="83"/>
      <c r="J110" s="83"/>
      <c r="K110" s="75">
        <f>IF('Fund Data'!$H$2,IF('Fund Data'!V2="","",IF('Fund Data'!X2="","",'Fund Data'!X2)),"")</f>
        <v>46002</v>
      </c>
      <c r="L110" s="75"/>
      <c r="M110" s="75"/>
      <c r="N110" s="75"/>
      <c r="O110" s="84"/>
      <c r="P110" s="16"/>
      <c r="Q110" s="45" t="s">
        <v>101</v>
      </c>
      <c r="R110" s="46"/>
      <c r="S110" s="46"/>
      <c r="T110" s="46"/>
      <c r="U110" s="46"/>
      <c r="V110" s="46"/>
      <c r="W110" s="64"/>
      <c r="X110" s="16"/>
    </row>
    <row r="111" spans="1:24" ht="17.100000000000001" customHeight="1">
      <c r="A111" s="16"/>
      <c r="B111" s="74"/>
      <c r="C111" s="75"/>
      <c r="D111" s="75"/>
      <c r="E111" s="75"/>
      <c r="F111" s="75"/>
      <c r="G111" s="83"/>
      <c r="H111" s="83"/>
      <c r="I111" s="83"/>
      <c r="J111" s="83"/>
      <c r="K111" s="75"/>
      <c r="L111" s="75"/>
      <c r="M111" s="75"/>
      <c r="N111" s="75"/>
      <c r="O111" s="84"/>
      <c r="P111" s="16"/>
      <c r="Q111" s="47"/>
      <c r="R111" s="48"/>
      <c r="S111" s="48"/>
      <c r="T111" s="48"/>
      <c r="U111" s="48"/>
      <c r="V111" s="48"/>
      <c r="W111" s="69"/>
      <c r="X111" s="16"/>
    </row>
    <row r="112" spans="1:24" ht="17.100000000000001" customHeight="1">
      <c r="A112" s="16"/>
      <c r="B112" s="74" t="str">
        <f>IF('Fund Data'!$H$2,IF('Fund Data'!V3="","",IF('Fund Data'!V3="","",'Fund Data'!V3)),"")</f>
        <v/>
      </c>
      <c r="C112" s="75"/>
      <c r="D112" s="75"/>
      <c r="E112" s="75"/>
      <c r="F112" s="75"/>
      <c r="G112" s="83" t="str">
        <f>IF('Fund Data'!$H$2,IF('Fund Data'!V3="","",IF('Fund Data'!W3="","",'Fund Data'!W3)),"")</f>
        <v/>
      </c>
      <c r="H112" s="83"/>
      <c r="I112" s="83"/>
      <c r="J112" s="83"/>
      <c r="K112" s="75" t="str">
        <f>IF('Fund Data'!$H$2,IF('Fund Data'!V3="","",IF('Fund Data'!X3="","",'Fund Data'!X3)),"")</f>
        <v/>
      </c>
      <c r="L112" s="75"/>
      <c r="M112" s="75"/>
      <c r="N112" s="75"/>
      <c r="O112" s="84"/>
      <c r="P112" s="16"/>
      <c r="Q112" s="16"/>
      <c r="R112" s="16"/>
      <c r="S112" s="16"/>
      <c r="T112" s="16"/>
      <c r="U112" s="16"/>
      <c r="V112" s="16"/>
      <c r="W112" s="16"/>
      <c r="X112" s="16"/>
    </row>
    <row r="113" spans="1:24" ht="17.100000000000001" customHeight="1">
      <c r="A113" s="16"/>
      <c r="B113" s="74"/>
      <c r="C113" s="75"/>
      <c r="D113" s="75"/>
      <c r="E113" s="75"/>
      <c r="F113" s="75"/>
      <c r="G113" s="83"/>
      <c r="H113" s="83"/>
      <c r="I113" s="83"/>
      <c r="J113" s="83"/>
      <c r="K113" s="75"/>
      <c r="L113" s="75"/>
      <c r="M113" s="75"/>
      <c r="N113" s="75"/>
      <c r="O113" s="84"/>
      <c r="P113" s="16"/>
      <c r="Q113" s="16"/>
      <c r="R113" s="16"/>
      <c r="S113" s="16"/>
      <c r="T113" s="16"/>
      <c r="U113" s="16"/>
      <c r="V113" s="16"/>
      <c r="W113" s="16"/>
      <c r="X113" s="16"/>
    </row>
    <row r="114" spans="1:24" ht="17.100000000000001" customHeight="1">
      <c r="A114" s="16"/>
      <c r="B114" s="74" t="str">
        <f>IF('Fund Data'!$H$2,IF('Fund Data'!V4="","",IF('Fund Data'!V4="","",'Fund Data'!V4)),"")</f>
        <v/>
      </c>
      <c r="C114" s="75"/>
      <c r="D114" s="75"/>
      <c r="E114" s="75"/>
      <c r="F114" s="75"/>
      <c r="G114" s="83" t="str">
        <f>IF('Fund Data'!$H$2,IF('Fund Data'!V4="","",IF('Fund Data'!W4="","",'Fund Data'!W4)),"")</f>
        <v/>
      </c>
      <c r="H114" s="83"/>
      <c r="I114" s="83"/>
      <c r="J114" s="83"/>
      <c r="K114" s="75" t="str">
        <f>IF('Fund Data'!$H$2,IF('Fund Data'!V4="","",IF('Fund Data'!X4="","",'Fund Data'!X4)),"")</f>
        <v/>
      </c>
      <c r="L114" s="75"/>
      <c r="M114" s="75"/>
      <c r="N114" s="75"/>
      <c r="O114" s="84"/>
      <c r="P114" s="16"/>
      <c r="Q114" s="56" t="s">
        <v>102</v>
      </c>
      <c r="R114" s="57"/>
      <c r="S114" s="57"/>
      <c r="T114" s="57"/>
      <c r="U114" s="57"/>
      <c r="V114" s="57"/>
      <c r="W114" s="58"/>
      <c r="X114" s="16"/>
    </row>
    <row r="115" spans="1:24" ht="17.100000000000001" customHeight="1">
      <c r="A115" s="16"/>
      <c r="B115" s="74"/>
      <c r="C115" s="75"/>
      <c r="D115" s="75"/>
      <c r="E115" s="75"/>
      <c r="F115" s="75"/>
      <c r="G115" s="83"/>
      <c r="H115" s="83"/>
      <c r="I115" s="83"/>
      <c r="J115" s="83"/>
      <c r="K115" s="75"/>
      <c r="L115" s="75"/>
      <c r="M115" s="75"/>
      <c r="N115" s="75"/>
      <c r="O115" s="84"/>
      <c r="P115" s="16"/>
      <c r="Q115" s="59"/>
      <c r="R115" s="60"/>
      <c r="S115" s="60"/>
      <c r="T115" s="60"/>
      <c r="U115" s="60"/>
      <c r="V115" s="60"/>
      <c r="W115" s="61"/>
      <c r="X115" s="16"/>
    </row>
    <row r="116" spans="1:24" ht="17.100000000000001" customHeight="1">
      <c r="A116" s="16"/>
      <c r="B116" s="74" t="str">
        <f>IF('Fund Data'!$H$2,IF('Fund Data'!V5="","",IF('Fund Data'!V5="","",'Fund Data'!V5)),"")</f>
        <v/>
      </c>
      <c r="C116" s="75"/>
      <c r="D116" s="75"/>
      <c r="E116" s="75"/>
      <c r="F116" s="75"/>
      <c r="G116" s="83" t="str">
        <f>IF('Fund Data'!$H$2,IF('Fund Data'!V5="","",IF('Fund Data'!W5="","",'Fund Data'!W5)),"")</f>
        <v/>
      </c>
      <c r="H116" s="83"/>
      <c r="I116" s="83"/>
      <c r="J116" s="83"/>
      <c r="K116" s="75" t="str">
        <f>IF('Fund Data'!$H$2,IF('Fund Data'!V5="","",IF('Fund Data'!X5="","",'Fund Data'!X5)),"")</f>
        <v/>
      </c>
      <c r="L116" s="75"/>
      <c r="M116" s="75"/>
      <c r="N116" s="75"/>
      <c r="O116" s="84"/>
      <c r="P116" s="16"/>
      <c r="Q116" s="22"/>
      <c r="R116" s="18"/>
      <c r="S116" s="18"/>
      <c r="T116" s="18"/>
      <c r="U116" s="18"/>
      <c r="V116" s="18"/>
      <c r="W116" s="23"/>
      <c r="X116" s="16"/>
    </row>
    <row r="117" spans="1:24" ht="17.100000000000001" customHeight="1">
      <c r="A117" s="16"/>
      <c r="B117" s="74"/>
      <c r="C117" s="75"/>
      <c r="D117" s="75"/>
      <c r="E117" s="75"/>
      <c r="F117" s="75"/>
      <c r="G117" s="83"/>
      <c r="H117" s="83"/>
      <c r="I117" s="83"/>
      <c r="J117" s="83"/>
      <c r="K117" s="75"/>
      <c r="L117" s="75"/>
      <c r="M117" s="75"/>
      <c r="N117" s="75"/>
      <c r="O117" s="84"/>
      <c r="P117" s="16"/>
      <c r="Q117" s="45" t="s">
        <v>103</v>
      </c>
      <c r="R117" s="46"/>
      <c r="S117" s="46"/>
      <c r="T117" s="46"/>
      <c r="U117" s="46"/>
      <c r="V117" s="46"/>
      <c r="W117" s="64"/>
      <c r="X117" s="16"/>
    </row>
    <row r="118" spans="1:24" ht="17.100000000000001" customHeight="1">
      <c r="A118" s="16"/>
      <c r="B118" s="22"/>
      <c r="C118" s="18"/>
      <c r="D118" s="18"/>
      <c r="E118" s="18"/>
      <c r="F118" s="18"/>
      <c r="G118" s="18"/>
      <c r="H118" s="18"/>
      <c r="I118" s="18"/>
      <c r="J118" s="18"/>
      <c r="K118" s="18"/>
      <c r="L118" s="18"/>
      <c r="M118" s="18"/>
      <c r="N118" s="18"/>
      <c r="O118" s="23"/>
      <c r="P118" s="16"/>
      <c r="Q118" s="45"/>
      <c r="R118" s="46"/>
      <c r="S118" s="46"/>
      <c r="T118" s="46"/>
      <c r="U118" s="46"/>
      <c r="V118" s="46"/>
      <c r="W118" s="64"/>
      <c r="X118" s="16"/>
    </row>
    <row r="119" spans="1:24" ht="17.100000000000001" customHeight="1">
      <c r="A119" s="16"/>
      <c r="B119" s="45" t="s">
        <v>53</v>
      </c>
      <c r="C119" s="46"/>
      <c r="D119" s="46"/>
      <c r="E119" s="46"/>
      <c r="F119" s="46"/>
      <c r="G119" s="46"/>
      <c r="H119" s="46"/>
      <c r="I119" s="46"/>
      <c r="J119" s="46"/>
      <c r="K119" s="46"/>
      <c r="L119" s="46"/>
      <c r="M119" s="46"/>
      <c r="N119" s="46"/>
      <c r="O119" s="64"/>
      <c r="P119" s="16"/>
      <c r="Q119" s="45"/>
      <c r="R119" s="46"/>
      <c r="S119" s="46"/>
      <c r="T119" s="46"/>
      <c r="U119" s="46"/>
      <c r="V119" s="46"/>
      <c r="W119" s="64"/>
      <c r="X119" s="16"/>
    </row>
    <row r="120" spans="1:24" ht="17.100000000000001" customHeight="1">
      <c r="A120" s="16"/>
      <c r="B120" s="47"/>
      <c r="C120" s="48"/>
      <c r="D120" s="48"/>
      <c r="E120" s="48"/>
      <c r="F120" s="48"/>
      <c r="G120" s="48"/>
      <c r="H120" s="48"/>
      <c r="I120" s="48"/>
      <c r="J120" s="48"/>
      <c r="K120" s="48"/>
      <c r="L120" s="48"/>
      <c r="M120" s="48"/>
      <c r="N120" s="48"/>
      <c r="O120" s="69"/>
      <c r="P120" s="16"/>
      <c r="Q120" s="45"/>
      <c r="R120" s="46"/>
      <c r="S120" s="46"/>
      <c r="T120" s="46"/>
      <c r="U120" s="46"/>
      <c r="V120" s="46"/>
      <c r="W120" s="64"/>
      <c r="X120" s="16"/>
    </row>
    <row r="121" spans="1:24" ht="17.100000000000001" customHeight="1">
      <c r="A121" s="16"/>
      <c r="B121" s="16"/>
      <c r="C121" s="16"/>
      <c r="D121" s="16"/>
      <c r="E121" s="16"/>
      <c r="F121" s="16"/>
      <c r="G121" s="16"/>
      <c r="H121" s="16"/>
      <c r="I121" s="16"/>
      <c r="J121" s="16"/>
      <c r="K121" s="16"/>
      <c r="L121" s="16"/>
      <c r="M121" s="16"/>
      <c r="N121" s="16"/>
      <c r="O121" s="16"/>
      <c r="P121" s="16"/>
      <c r="Q121" s="45"/>
      <c r="R121" s="46"/>
      <c r="S121" s="46"/>
      <c r="T121" s="46"/>
      <c r="U121" s="46"/>
      <c r="V121" s="46"/>
      <c r="W121" s="64"/>
      <c r="X121" s="16"/>
    </row>
    <row r="122" spans="1:24" ht="17.100000000000001" customHeight="1">
      <c r="A122" s="16"/>
      <c r="B122" s="16"/>
      <c r="C122" s="16"/>
      <c r="D122" s="16"/>
      <c r="E122" s="16"/>
      <c r="F122" s="16"/>
      <c r="G122" s="16"/>
      <c r="H122" s="16"/>
      <c r="I122" s="16"/>
      <c r="J122" s="16"/>
      <c r="K122" s="16"/>
      <c r="L122" s="16"/>
      <c r="M122" s="16"/>
      <c r="N122" s="16"/>
      <c r="O122" s="16"/>
      <c r="P122" s="16"/>
      <c r="Q122" s="22"/>
      <c r="R122" s="18"/>
      <c r="S122" s="18"/>
      <c r="T122" s="18"/>
      <c r="U122" s="18"/>
      <c r="V122" s="18"/>
      <c r="W122" s="23"/>
      <c r="X122" s="16"/>
    </row>
    <row r="123" spans="1:24" ht="17.100000000000001" customHeight="1">
      <c r="A123" s="16"/>
      <c r="B123" s="56" t="s">
        <v>55</v>
      </c>
      <c r="C123" s="57"/>
      <c r="D123" s="57"/>
      <c r="E123" s="57"/>
      <c r="F123" s="57"/>
      <c r="G123" s="57"/>
      <c r="H123" s="57"/>
      <c r="I123" s="57"/>
      <c r="J123" s="57"/>
      <c r="K123" s="57"/>
      <c r="L123" s="57"/>
      <c r="M123" s="57"/>
      <c r="N123" s="57"/>
      <c r="O123" s="58"/>
      <c r="P123" s="16"/>
      <c r="Q123" s="45" t="s">
        <v>104</v>
      </c>
      <c r="R123" s="46"/>
      <c r="S123" s="46"/>
      <c r="T123" s="46"/>
      <c r="U123" s="46"/>
      <c r="V123" s="46"/>
      <c r="W123" s="64"/>
      <c r="X123" s="16"/>
    </row>
    <row r="124" spans="1:24" ht="17.100000000000001" customHeight="1">
      <c r="A124" s="16"/>
      <c r="B124" s="59"/>
      <c r="C124" s="60"/>
      <c r="D124" s="60"/>
      <c r="E124" s="60"/>
      <c r="F124" s="60"/>
      <c r="G124" s="60"/>
      <c r="H124" s="60"/>
      <c r="I124" s="60"/>
      <c r="J124" s="60"/>
      <c r="K124" s="60"/>
      <c r="L124" s="60"/>
      <c r="M124" s="60"/>
      <c r="N124" s="60"/>
      <c r="O124" s="61"/>
      <c r="P124" s="16"/>
      <c r="Q124" s="45"/>
      <c r="R124" s="46"/>
      <c r="S124" s="46"/>
      <c r="T124" s="46"/>
      <c r="U124" s="46"/>
      <c r="V124" s="46"/>
      <c r="W124" s="64"/>
      <c r="X124" s="16"/>
    </row>
    <row r="125" spans="1:24" ht="17.100000000000001" customHeight="1">
      <c r="A125" s="16"/>
      <c r="B125" s="22"/>
      <c r="C125" s="18"/>
      <c r="D125" s="18"/>
      <c r="E125" s="18"/>
      <c r="F125" s="18"/>
      <c r="G125" s="18"/>
      <c r="H125" s="18"/>
      <c r="I125" s="18"/>
      <c r="J125" s="18"/>
      <c r="K125" s="18"/>
      <c r="L125" s="18"/>
      <c r="M125" s="18"/>
      <c r="N125" s="18"/>
      <c r="O125" s="23"/>
      <c r="P125" s="16"/>
      <c r="Q125" s="45"/>
      <c r="R125" s="46"/>
      <c r="S125" s="46"/>
      <c r="T125" s="46"/>
      <c r="U125" s="46"/>
      <c r="V125" s="46"/>
      <c r="W125" s="64"/>
      <c r="X125" s="16"/>
    </row>
    <row r="126" spans="1:24" ht="17.100000000000001" customHeight="1">
      <c r="A126" s="16"/>
      <c r="B126" s="118" t="str">
        <f>IF('Fund Data'!$H$2,IF('Fund Data'!AY2="","No headlines returned. See request outcomes in Fund Data.",'Fund Data'!AY2),"")</f>
        <v>No headlines returned. See request outcomes in Fund Data.</v>
      </c>
      <c r="C126" s="119"/>
      <c r="D126" s="119"/>
      <c r="E126" s="119"/>
      <c r="F126" s="119"/>
      <c r="G126" s="119"/>
      <c r="H126" s="119"/>
      <c r="I126" s="119"/>
      <c r="J126" s="119"/>
      <c r="K126" s="119"/>
      <c r="L126" s="119"/>
      <c r="M126" s="119"/>
      <c r="N126" s="119"/>
      <c r="O126" s="120"/>
      <c r="P126" s="16"/>
      <c r="Q126" s="45"/>
      <c r="R126" s="46"/>
      <c r="S126" s="46"/>
      <c r="T126" s="46"/>
      <c r="U126" s="46"/>
      <c r="V126" s="46"/>
      <c r="W126" s="64"/>
      <c r="X126" s="16"/>
    </row>
    <row r="127" spans="1:24" ht="17.100000000000001" customHeight="1">
      <c r="A127" s="16"/>
      <c r="B127" s="118"/>
      <c r="C127" s="119"/>
      <c r="D127" s="119"/>
      <c r="E127" s="119"/>
      <c r="F127" s="119"/>
      <c r="G127" s="119"/>
      <c r="H127" s="119"/>
      <c r="I127" s="119"/>
      <c r="J127" s="119"/>
      <c r="K127" s="119"/>
      <c r="L127" s="119"/>
      <c r="M127" s="119"/>
      <c r="N127" s="119"/>
      <c r="O127" s="120"/>
      <c r="P127" s="16"/>
      <c r="Q127" s="22"/>
      <c r="R127" s="18"/>
      <c r="S127" s="18"/>
      <c r="T127" s="18"/>
      <c r="U127" s="18"/>
      <c r="V127" s="18"/>
      <c r="W127" s="23"/>
      <c r="X127" s="16"/>
    </row>
    <row r="128" spans="1:24" ht="17.100000000000001" customHeight="1">
      <c r="A128" s="16"/>
      <c r="B128" s="121" t="str">
        <f>IF('Fund Data'!$H$2,IF('Fund Data'!AY2="","",IF('Fund Data'!BA2="","",'Fund Data'!BA2)),"")</f>
        <v/>
      </c>
      <c r="C128" s="122"/>
      <c r="D128" s="122"/>
      <c r="E128" s="122"/>
      <c r="F128" s="122"/>
      <c r="G128" s="122"/>
      <c r="H128" s="122"/>
      <c r="I128" s="122"/>
      <c r="J128" s="122"/>
      <c r="K128" s="122"/>
      <c r="L128" s="122"/>
      <c r="M128" s="122"/>
      <c r="N128" s="122"/>
      <c r="O128" s="123"/>
      <c r="P128" s="16"/>
      <c r="Q128" s="24"/>
      <c r="R128" s="25"/>
      <c r="S128" s="25"/>
      <c r="T128" s="25"/>
      <c r="U128" s="25"/>
      <c r="V128" s="25"/>
      <c r="W128" s="26"/>
      <c r="X128" s="16"/>
    </row>
    <row r="129" spans="1:24" ht="17.100000000000001" customHeight="1">
      <c r="A129" s="16"/>
      <c r="B129" s="27"/>
      <c r="C129" s="28"/>
      <c r="D129" s="28"/>
      <c r="E129" s="28"/>
      <c r="F129" s="28"/>
      <c r="G129" s="28"/>
      <c r="H129" s="28"/>
      <c r="I129" s="28"/>
      <c r="J129" s="28"/>
      <c r="K129" s="28"/>
      <c r="L129" s="28"/>
      <c r="M129" s="28"/>
      <c r="N129" s="28"/>
      <c r="O129" s="30"/>
      <c r="P129" s="16"/>
      <c r="Q129" s="16"/>
      <c r="R129" s="16"/>
      <c r="S129" s="16"/>
      <c r="T129" s="16"/>
      <c r="U129" s="16"/>
      <c r="V129" s="16"/>
      <c r="W129" s="16"/>
      <c r="X129" s="16"/>
    </row>
    <row r="130" spans="1:24" ht="17.100000000000001" customHeight="1">
      <c r="A130" s="16"/>
      <c r="B130" s="85" t="str">
        <f>IF('Fund Data'!$H$2,IF('Fund Data'!AY3="","",IF('Fund Data'!AY3="","",'Fund Data'!AY3)),"")</f>
        <v/>
      </c>
      <c r="C130" s="86"/>
      <c r="D130" s="86"/>
      <c r="E130" s="86"/>
      <c r="F130" s="86"/>
      <c r="G130" s="86"/>
      <c r="H130" s="86"/>
      <c r="I130" s="86"/>
      <c r="J130" s="86"/>
      <c r="K130" s="86"/>
      <c r="L130" s="86"/>
      <c r="M130" s="86"/>
      <c r="N130" s="86"/>
      <c r="O130" s="87"/>
      <c r="P130" s="16"/>
      <c r="Q130" s="16"/>
      <c r="R130" s="16"/>
      <c r="S130" s="16"/>
      <c r="T130" s="16"/>
      <c r="U130" s="16"/>
      <c r="V130" s="16"/>
      <c r="W130" s="16"/>
      <c r="X130" s="16"/>
    </row>
    <row r="131" spans="1:24" ht="17.100000000000001" customHeight="1">
      <c r="A131" s="16"/>
      <c r="B131" s="85"/>
      <c r="C131" s="86"/>
      <c r="D131" s="86"/>
      <c r="E131" s="86"/>
      <c r="F131" s="86"/>
      <c r="G131" s="86"/>
      <c r="H131" s="86"/>
      <c r="I131" s="86"/>
      <c r="J131" s="86"/>
      <c r="K131" s="86"/>
      <c r="L131" s="86"/>
      <c r="M131" s="86"/>
      <c r="N131" s="86"/>
      <c r="O131" s="87"/>
      <c r="P131" s="16"/>
      <c r="Q131" s="56" t="s">
        <v>105</v>
      </c>
      <c r="R131" s="57"/>
      <c r="S131" s="57"/>
      <c r="T131" s="57"/>
      <c r="U131" s="57"/>
      <c r="V131" s="57"/>
      <c r="W131" s="58"/>
      <c r="X131" s="16"/>
    </row>
    <row r="132" spans="1:24" ht="17.100000000000001" customHeight="1">
      <c r="A132" s="16"/>
      <c r="B132" s="88" t="str">
        <f>IF('Fund Data'!$H$2,IF('Fund Data'!AY3="","",IF('Fund Data'!BA3="","",'Fund Data'!BA3)),"")</f>
        <v/>
      </c>
      <c r="C132" s="89"/>
      <c r="D132" s="89"/>
      <c r="E132" s="89"/>
      <c r="F132" s="89"/>
      <c r="G132" s="89"/>
      <c r="H132" s="89"/>
      <c r="I132" s="89"/>
      <c r="J132" s="89"/>
      <c r="K132" s="89"/>
      <c r="L132" s="89"/>
      <c r="M132" s="89"/>
      <c r="N132" s="89"/>
      <c r="O132" s="90"/>
      <c r="P132" s="16"/>
      <c r="Q132" s="59"/>
      <c r="R132" s="60"/>
      <c r="S132" s="60"/>
      <c r="T132" s="60"/>
      <c r="U132" s="60"/>
      <c r="V132" s="60"/>
      <c r="W132" s="61"/>
      <c r="X132" s="16"/>
    </row>
    <row r="133" spans="1:24" ht="17.100000000000001" customHeight="1">
      <c r="A133" s="16"/>
      <c r="B133" s="22"/>
      <c r="C133" s="18"/>
      <c r="D133" s="18"/>
      <c r="E133" s="18"/>
      <c r="F133" s="18"/>
      <c r="G133" s="18"/>
      <c r="H133" s="18"/>
      <c r="I133" s="18"/>
      <c r="J133" s="18"/>
      <c r="K133" s="18"/>
      <c r="L133" s="18"/>
      <c r="M133" s="18"/>
      <c r="N133" s="18"/>
      <c r="O133" s="23"/>
      <c r="P133" s="16"/>
      <c r="Q133" s="22"/>
      <c r="R133" s="18"/>
      <c r="S133" s="18"/>
      <c r="T133" s="18"/>
      <c r="U133" s="18"/>
      <c r="V133" s="18"/>
      <c r="W133" s="23"/>
      <c r="X133" s="16"/>
    </row>
    <row r="134" spans="1:24" ht="17.100000000000001" customHeight="1">
      <c r="A134" s="16"/>
      <c r="B134" s="85" t="str">
        <f>IF('Fund Data'!$H$2,IF('Fund Data'!AY4="","",IF('Fund Data'!AY4="","",'Fund Data'!AY4)),"")</f>
        <v/>
      </c>
      <c r="C134" s="86"/>
      <c r="D134" s="86"/>
      <c r="E134" s="86"/>
      <c r="F134" s="86"/>
      <c r="G134" s="86"/>
      <c r="H134" s="86"/>
      <c r="I134" s="86"/>
      <c r="J134" s="86"/>
      <c r="K134" s="86"/>
      <c r="L134" s="86"/>
      <c r="M134" s="86"/>
      <c r="N134" s="86"/>
      <c r="O134" s="87"/>
      <c r="P134" s="16"/>
      <c r="Q134" s="45" t="s">
        <v>106</v>
      </c>
      <c r="R134" s="46"/>
      <c r="S134" s="46"/>
      <c r="T134" s="46"/>
      <c r="U134" s="46"/>
      <c r="V134" s="46"/>
      <c r="W134" s="64"/>
      <c r="X134" s="16"/>
    </row>
    <row r="135" spans="1:24" ht="17.100000000000001" customHeight="1">
      <c r="A135" s="16"/>
      <c r="B135" s="85"/>
      <c r="C135" s="86"/>
      <c r="D135" s="86"/>
      <c r="E135" s="86"/>
      <c r="F135" s="86"/>
      <c r="G135" s="86"/>
      <c r="H135" s="86"/>
      <c r="I135" s="86"/>
      <c r="J135" s="86"/>
      <c r="K135" s="86"/>
      <c r="L135" s="86"/>
      <c r="M135" s="86"/>
      <c r="N135" s="86"/>
      <c r="O135" s="87"/>
      <c r="P135" s="16"/>
      <c r="Q135" s="45"/>
      <c r="R135" s="46"/>
      <c r="S135" s="46"/>
      <c r="T135" s="46"/>
      <c r="U135" s="46"/>
      <c r="V135" s="46"/>
      <c r="W135" s="64"/>
      <c r="X135" s="16"/>
    </row>
    <row r="136" spans="1:24" ht="17.100000000000001" customHeight="1">
      <c r="A136" s="16"/>
      <c r="B136" s="88" t="str">
        <f>IF('Fund Data'!$H$2,IF('Fund Data'!AY4="","",IF('Fund Data'!BA4="","",'Fund Data'!BA4)),"")</f>
        <v/>
      </c>
      <c r="C136" s="89"/>
      <c r="D136" s="89"/>
      <c r="E136" s="89"/>
      <c r="F136" s="89"/>
      <c r="G136" s="89"/>
      <c r="H136" s="89"/>
      <c r="I136" s="89"/>
      <c r="J136" s="89"/>
      <c r="K136" s="89"/>
      <c r="L136" s="89"/>
      <c r="M136" s="89"/>
      <c r="N136" s="89"/>
      <c r="O136" s="90"/>
      <c r="P136" s="16"/>
      <c r="Q136" s="45"/>
      <c r="R136" s="46"/>
      <c r="S136" s="46"/>
      <c r="T136" s="46"/>
      <c r="U136" s="46"/>
      <c r="V136" s="46"/>
      <c r="W136" s="64"/>
      <c r="X136" s="16"/>
    </row>
    <row r="137" spans="1:24" ht="17.100000000000001" customHeight="1">
      <c r="A137" s="16"/>
      <c r="B137" s="22"/>
      <c r="C137" s="18"/>
      <c r="D137" s="18"/>
      <c r="E137" s="18"/>
      <c r="F137" s="18"/>
      <c r="G137" s="18"/>
      <c r="H137" s="18"/>
      <c r="I137" s="18"/>
      <c r="J137" s="18"/>
      <c r="K137" s="18"/>
      <c r="L137" s="18"/>
      <c r="M137" s="18"/>
      <c r="N137" s="18"/>
      <c r="O137" s="23"/>
      <c r="P137" s="16"/>
      <c r="Q137" s="45"/>
      <c r="R137" s="46"/>
      <c r="S137" s="46"/>
      <c r="T137" s="46"/>
      <c r="U137" s="46"/>
      <c r="V137" s="46"/>
      <c r="W137" s="64"/>
      <c r="X137" s="16"/>
    </row>
    <row r="138" spans="1:24" ht="17.100000000000001" customHeight="1">
      <c r="A138" s="16"/>
      <c r="B138" s="85" t="str">
        <f>IF('Fund Data'!$H$2,IF('Fund Data'!AY5="","",IF('Fund Data'!AY5="","",'Fund Data'!AY5)),"")</f>
        <v/>
      </c>
      <c r="C138" s="86"/>
      <c r="D138" s="86"/>
      <c r="E138" s="86"/>
      <c r="F138" s="86"/>
      <c r="G138" s="86"/>
      <c r="H138" s="86"/>
      <c r="I138" s="86"/>
      <c r="J138" s="86"/>
      <c r="K138" s="86"/>
      <c r="L138" s="86"/>
      <c r="M138" s="86"/>
      <c r="N138" s="86"/>
      <c r="O138" s="87"/>
      <c r="P138" s="16"/>
      <c r="Q138" s="45"/>
      <c r="R138" s="46"/>
      <c r="S138" s="46"/>
      <c r="T138" s="46"/>
      <c r="U138" s="46"/>
      <c r="V138" s="46"/>
      <c r="W138" s="64"/>
      <c r="X138" s="16"/>
    </row>
    <row r="139" spans="1:24" ht="17.100000000000001" customHeight="1">
      <c r="A139" s="16"/>
      <c r="B139" s="85"/>
      <c r="C139" s="86"/>
      <c r="D139" s="86"/>
      <c r="E139" s="86"/>
      <c r="F139" s="86"/>
      <c r="G139" s="86"/>
      <c r="H139" s="86"/>
      <c r="I139" s="86"/>
      <c r="J139" s="86"/>
      <c r="K139" s="86"/>
      <c r="L139" s="86"/>
      <c r="M139" s="86"/>
      <c r="N139" s="86"/>
      <c r="O139" s="87"/>
      <c r="P139" s="16"/>
      <c r="Q139" s="115" t="str">
        <f>IF('Fund Data'!$B$78="Unavailable","Issuer documents: link not returned",IF('Fund Data'!$H$2,'Fund Data'!$B$78,"Refresh required"))</f>
        <v>Issuer documents: link not returned</v>
      </c>
      <c r="R139" s="116"/>
      <c r="S139" s="116"/>
      <c r="T139" s="116"/>
      <c r="U139" s="116"/>
      <c r="V139" s="116"/>
      <c r="W139" s="117"/>
      <c r="X139" s="16"/>
    </row>
    <row r="140" spans="1:24" ht="17.100000000000001" customHeight="1">
      <c r="A140" s="16"/>
      <c r="B140" s="88" t="str">
        <f>IF('Fund Data'!$H$2,IF('Fund Data'!AY5="","",IF('Fund Data'!BA5="","",'Fund Data'!BA5)),"")</f>
        <v/>
      </c>
      <c r="C140" s="89"/>
      <c r="D140" s="89"/>
      <c r="E140" s="89"/>
      <c r="F140" s="89"/>
      <c r="G140" s="89"/>
      <c r="H140" s="89"/>
      <c r="I140" s="89"/>
      <c r="J140" s="89"/>
      <c r="K140" s="89"/>
      <c r="L140" s="89"/>
      <c r="M140" s="89"/>
      <c r="N140" s="89"/>
      <c r="O140" s="90"/>
      <c r="P140" s="16"/>
      <c r="Q140" s="115"/>
      <c r="R140" s="116"/>
      <c r="S140" s="116"/>
      <c r="T140" s="116"/>
      <c r="U140" s="116"/>
      <c r="V140" s="116"/>
      <c r="W140" s="117"/>
      <c r="X140" s="16"/>
    </row>
    <row r="141" spans="1:24" ht="17.100000000000001" customHeight="1">
      <c r="A141" s="16"/>
      <c r="B141" s="22"/>
      <c r="C141" s="18"/>
      <c r="D141" s="18"/>
      <c r="E141" s="18"/>
      <c r="F141" s="18"/>
      <c r="G141" s="18"/>
      <c r="H141" s="18"/>
      <c r="I141" s="18"/>
      <c r="J141" s="18"/>
      <c r="K141" s="18"/>
      <c r="L141" s="18"/>
      <c r="M141" s="18"/>
      <c r="N141" s="18"/>
      <c r="O141" s="23"/>
      <c r="P141" s="16"/>
      <c r="Q141" s="115"/>
      <c r="R141" s="116"/>
      <c r="S141" s="116"/>
      <c r="T141" s="116"/>
      <c r="U141" s="116"/>
      <c r="V141" s="116"/>
      <c r="W141" s="117"/>
      <c r="X141" s="16"/>
    </row>
    <row r="142" spans="1:24" ht="17.100000000000001" customHeight="1">
      <c r="A142" s="16"/>
      <c r="B142" s="22"/>
      <c r="C142" s="18"/>
      <c r="D142" s="18"/>
      <c r="E142" s="18"/>
      <c r="F142" s="18"/>
      <c r="G142" s="18"/>
      <c r="H142" s="18"/>
      <c r="I142" s="18"/>
      <c r="J142" s="18"/>
      <c r="K142" s="18"/>
      <c r="L142" s="18"/>
      <c r="M142" s="18"/>
      <c r="N142" s="18"/>
      <c r="O142" s="23"/>
      <c r="P142" s="16"/>
      <c r="Q142" s="115"/>
      <c r="R142" s="116"/>
      <c r="S142" s="116"/>
      <c r="T142" s="116"/>
      <c r="U142" s="116"/>
      <c r="V142" s="116"/>
      <c r="W142" s="117"/>
      <c r="X142" s="16"/>
    </row>
    <row r="143" spans="1:24" ht="17.100000000000001" customHeight="1">
      <c r="A143" s="16"/>
      <c r="B143" s="22"/>
      <c r="C143" s="18"/>
      <c r="D143" s="18"/>
      <c r="E143" s="18"/>
      <c r="F143" s="18"/>
      <c r="G143" s="18"/>
      <c r="H143" s="18"/>
      <c r="I143" s="18"/>
      <c r="J143" s="18"/>
      <c r="K143" s="18"/>
      <c r="L143" s="18"/>
      <c r="M143" s="18"/>
      <c r="N143" s="18"/>
      <c r="O143" s="23"/>
      <c r="P143" s="16"/>
      <c r="Q143" s="22"/>
      <c r="R143" s="18"/>
      <c r="S143" s="18"/>
      <c r="T143" s="18"/>
      <c r="U143" s="18"/>
      <c r="V143" s="18"/>
      <c r="W143" s="23"/>
      <c r="X143" s="16"/>
    </row>
    <row r="144" spans="1:24" ht="17.100000000000001" customHeight="1">
      <c r="A144" s="16"/>
      <c r="B144" s="24"/>
      <c r="C144" s="25"/>
      <c r="D144" s="25"/>
      <c r="E144" s="25"/>
      <c r="F144" s="25"/>
      <c r="G144" s="25"/>
      <c r="H144" s="25"/>
      <c r="I144" s="25"/>
      <c r="J144" s="25"/>
      <c r="K144" s="25"/>
      <c r="L144" s="25"/>
      <c r="M144" s="25"/>
      <c r="N144" s="25"/>
      <c r="O144" s="26"/>
      <c r="P144" s="16"/>
      <c r="Q144" s="24"/>
      <c r="R144" s="25"/>
      <c r="S144" s="25"/>
      <c r="T144" s="25"/>
      <c r="U144" s="25"/>
      <c r="V144" s="25"/>
      <c r="W144" s="26"/>
      <c r="X144" s="16"/>
    </row>
    <row r="145" spans="1:24" ht="17.100000000000001" customHeight="1">
      <c r="A145" s="16"/>
      <c r="B145" s="16"/>
      <c r="C145" s="16"/>
      <c r="D145" s="16"/>
      <c r="E145" s="16"/>
      <c r="F145" s="16"/>
      <c r="G145" s="16"/>
      <c r="H145" s="16"/>
      <c r="I145" s="16"/>
      <c r="J145" s="16"/>
      <c r="K145" s="16"/>
      <c r="L145" s="16"/>
      <c r="M145" s="16"/>
      <c r="N145" s="16"/>
      <c r="O145" s="16"/>
      <c r="P145" s="16"/>
      <c r="Q145" s="16"/>
      <c r="R145" s="16"/>
      <c r="S145" s="16"/>
      <c r="T145" s="16"/>
      <c r="U145" s="16"/>
      <c r="V145" s="16"/>
      <c r="W145" s="16"/>
      <c r="X145" s="16"/>
    </row>
    <row r="146" spans="1:24" ht="17.100000000000001" customHeight="1">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row>
    <row r="147" spans="1:24" ht="17.100000000000001" customHeight="1">
      <c r="A147" s="16"/>
      <c r="B147" s="56" t="s">
        <v>60</v>
      </c>
      <c r="C147" s="57"/>
      <c r="D147" s="57"/>
      <c r="E147" s="57"/>
      <c r="F147" s="57"/>
      <c r="G147" s="57"/>
      <c r="H147" s="57"/>
      <c r="I147" s="57"/>
      <c r="J147" s="57"/>
      <c r="K147" s="57"/>
      <c r="L147" s="57"/>
      <c r="M147" s="57"/>
      <c r="N147" s="57"/>
      <c r="O147" s="57"/>
      <c r="P147" s="57"/>
      <c r="Q147" s="57"/>
      <c r="R147" s="57"/>
      <c r="S147" s="57"/>
      <c r="T147" s="57"/>
      <c r="U147" s="57"/>
      <c r="V147" s="57"/>
      <c r="W147" s="58"/>
      <c r="X147" s="16"/>
    </row>
    <row r="148" spans="1:24" ht="17.100000000000001" customHeight="1">
      <c r="A148" s="16"/>
      <c r="B148" s="59"/>
      <c r="C148" s="60"/>
      <c r="D148" s="60"/>
      <c r="E148" s="60"/>
      <c r="F148" s="60"/>
      <c r="G148" s="60"/>
      <c r="H148" s="60"/>
      <c r="I148" s="60"/>
      <c r="J148" s="60"/>
      <c r="K148" s="60"/>
      <c r="L148" s="60"/>
      <c r="M148" s="60"/>
      <c r="N148" s="60"/>
      <c r="O148" s="60"/>
      <c r="P148" s="60"/>
      <c r="Q148" s="60"/>
      <c r="R148" s="60"/>
      <c r="S148" s="60"/>
      <c r="T148" s="60"/>
      <c r="U148" s="60"/>
      <c r="V148" s="60"/>
      <c r="W148" s="61"/>
      <c r="X148" s="16"/>
    </row>
    <row r="149" spans="1:24" ht="17.100000000000001" customHeight="1">
      <c r="A149" s="16"/>
      <c r="B149" s="22"/>
      <c r="C149" s="18"/>
      <c r="D149" s="18"/>
      <c r="E149" s="18"/>
      <c r="F149" s="18"/>
      <c r="G149" s="18"/>
      <c r="H149" s="18"/>
      <c r="I149" s="18"/>
      <c r="J149" s="18"/>
      <c r="K149" s="18"/>
      <c r="L149" s="18"/>
      <c r="M149" s="18"/>
      <c r="N149" s="18"/>
      <c r="O149" s="18"/>
      <c r="P149" s="18"/>
      <c r="Q149" s="18"/>
      <c r="R149" s="18"/>
      <c r="S149" s="18"/>
      <c r="T149" s="18"/>
      <c r="U149" s="18"/>
      <c r="V149" s="18"/>
      <c r="W149" s="23"/>
      <c r="X149" s="16"/>
    </row>
    <row r="150" spans="1:24" ht="17.100000000000001" customHeight="1">
      <c r="A150" s="16"/>
      <c r="B150" s="101" t="str">
        <f>IF('Fund Data'!$H$2,'Fund Data'!$B$95,"Refresh required")</f>
        <v xml:space="preserve">Holdings as of 46265. Beta and Sharpe are ratios despite vendor Percent labels. </v>
      </c>
      <c r="C150" s="102"/>
      <c r="D150" s="102"/>
      <c r="E150" s="102"/>
      <c r="F150" s="102"/>
      <c r="G150" s="102"/>
      <c r="H150" s="102"/>
      <c r="I150" s="102"/>
      <c r="J150" s="102"/>
      <c r="K150" s="102"/>
      <c r="L150" s="102"/>
      <c r="M150" s="102"/>
      <c r="N150" s="102"/>
      <c r="O150" s="102"/>
      <c r="P150" s="102"/>
      <c r="Q150" s="102"/>
      <c r="R150" s="102"/>
      <c r="S150" s="102"/>
      <c r="T150" s="102"/>
      <c r="U150" s="102"/>
      <c r="V150" s="102"/>
      <c r="W150" s="103"/>
      <c r="X150" s="16"/>
    </row>
    <row r="151" spans="1:24" ht="17.100000000000001" customHeight="1">
      <c r="A151" s="16"/>
      <c r="B151" s="101"/>
      <c r="C151" s="102"/>
      <c r="D151" s="102"/>
      <c r="E151" s="102"/>
      <c r="F151" s="102"/>
      <c r="G151" s="102"/>
      <c r="H151" s="102"/>
      <c r="I151" s="102"/>
      <c r="J151" s="102"/>
      <c r="K151" s="102"/>
      <c r="L151" s="102"/>
      <c r="M151" s="102"/>
      <c r="N151" s="102"/>
      <c r="O151" s="102"/>
      <c r="P151" s="102"/>
      <c r="Q151" s="102"/>
      <c r="R151" s="102"/>
      <c r="S151" s="102"/>
      <c r="T151" s="102"/>
      <c r="U151" s="102"/>
      <c r="V151" s="102"/>
      <c r="W151" s="103"/>
      <c r="X151" s="16"/>
    </row>
    <row r="152" spans="1:24" ht="17.100000000000001" customHeight="1">
      <c r="A152" s="16"/>
      <c r="B152" s="101"/>
      <c r="C152" s="102"/>
      <c r="D152" s="102"/>
      <c r="E152" s="102"/>
      <c r="F152" s="102"/>
      <c r="G152" s="102"/>
      <c r="H152" s="102"/>
      <c r="I152" s="102"/>
      <c r="J152" s="102"/>
      <c r="K152" s="102"/>
      <c r="L152" s="102"/>
      <c r="M152" s="102"/>
      <c r="N152" s="102"/>
      <c r="O152" s="102"/>
      <c r="P152" s="102"/>
      <c r="Q152" s="102"/>
      <c r="R152" s="102"/>
      <c r="S152" s="102"/>
      <c r="T152" s="102"/>
      <c r="U152" s="102"/>
      <c r="V152" s="102"/>
      <c r="W152" s="103"/>
      <c r="X152" s="16"/>
    </row>
    <row r="153" spans="1:24" ht="17.100000000000001" customHeight="1">
      <c r="A153" s="16"/>
      <c r="B153" s="101"/>
      <c r="C153" s="102"/>
      <c r="D153" s="102"/>
      <c r="E153" s="102"/>
      <c r="F153" s="102"/>
      <c r="G153" s="102"/>
      <c r="H153" s="102"/>
      <c r="I153" s="102"/>
      <c r="J153" s="102"/>
      <c r="K153" s="102"/>
      <c r="L153" s="102"/>
      <c r="M153" s="102"/>
      <c r="N153" s="102"/>
      <c r="O153" s="102"/>
      <c r="P153" s="102"/>
      <c r="Q153" s="102"/>
      <c r="R153" s="102"/>
      <c r="S153" s="102"/>
      <c r="T153" s="102"/>
      <c r="U153" s="102"/>
      <c r="V153" s="102"/>
      <c r="W153" s="103"/>
      <c r="X153" s="16"/>
    </row>
    <row r="154" spans="1:24" ht="17.100000000000001" customHeight="1">
      <c r="A154" s="16"/>
      <c r="B154" s="101"/>
      <c r="C154" s="102"/>
      <c r="D154" s="102"/>
      <c r="E154" s="102"/>
      <c r="F154" s="102"/>
      <c r="G154" s="102"/>
      <c r="H154" s="102"/>
      <c r="I154" s="102"/>
      <c r="J154" s="102"/>
      <c r="K154" s="102"/>
      <c r="L154" s="102"/>
      <c r="M154" s="102"/>
      <c r="N154" s="102"/>
      <c r="O154" s="102"/>
      <c r="P154" s="102"/>
      <c r="Q154" s="102"/>
      <c r="R154" s="102"/>
      <c r="S154" s="102"/>
      <c r="T154" s="102"/>
      <c r="U154" s="102"/>
      <c r="V154" s="102"/>
      <c r="W154" s="103"/>
      <c r="X154" s="16"/>
    </row>
    <row r="155" spans="1:24" ht="17.100000000000001" customHeight="1">
      <c r="A155" s="16"/>
      <c r="B155" s="101"/>
      <c r="C155" s="102"/>
      <c r="D155" s="102"/>
      <c r="E155" s="102"/>
      <c r="F155" s="102"/>
      <c r="G155" s="102"/>
      <c r="H155" s="102"/>
      <c r="I155" s="102"/>
      <c r="J155" s="102"/>
      <c r="K155" s="102"/>
      <c r="L155" s="102"/>
      <c r="M155" s="102"/>
      <c r="N155" s="102"/>
      <c r="O155" s="102"/>
      <c r="P155" s="102"/>
      <c r="Q155" s="102"/>
      <c r="R155" s="102"/>
      <c r="S155" s="102"/>
      <c r="T155" s="102"/>
      <c r="U155" s="102"/>
      <c r="V155" s="102"/>
      <c r="W155" s="103"/>
      <c r="X155" s="16"/>
    </row>
    <row r="156" spans="1:24" ht="17.100000000000001" customHeight="1">
      <c r="A156" s="16"/>
      <c r="B156" s="101"/>
      <c r="C156" s="102"/>
      <c r="D156" s="102"/>
      <c r="E156" s="102"/>
      <c r="F156" s="102"/>
      <c r="G156" s="102"/>
      <c r="H156" s="102"/>
      <c r="I156" s="102"/>
      <c r="J156" s="102"/>
      <c r="K156" s="102"/>
      <c r="L156" s="102"/>
      <c r="M156" s="102"/>
      <c r="N156" s="102"/>
      <c r="O156" s="102"/>
      <c r="P156" s="102"/>
      <c r="Q156" s="102"/>
      <c r="R156" s="102"/>
      <c r="S156" s="102"/>
      <c r="T156" s="102"/>
      <c r="U156" s="102"/>
      <c r="V156" s="102"/>
      <c r="W156" s="103"/>
      <c r="X156" s="16"/>
    </row>
    <row r="157" spans="1:24" ht="17.100000000000001" customHeight="1">
      <c r="A157" s="16"/>
      <c r="B157" s="45" t="s">
        <v>61</v>
      </c>
      <c r="C157" s="46"/>
      <c r="D157" s="46"/>
      <c r="E157" s="46"/>
      <c r="F157" s="46"/>
      <c r="G157" s="46"/>
      <c r="H157" s="46"/>
      <c r="I157" s="46"/>
      <c r="J157" s="46"/>
      <c r="K157" s="46"/>
      <c r="L157" s="46"/>
      <c r="M157" s="46"/>
      <c r="N157" s="46"/>
      <c r="O157" s="46"/>
      <c r="P157" s="46"/>
      <c r="Q157" s="46"/>
      <c r="R157" s="46"/>
      <c r="S157" s="46"/>
      <c r="T157" s="46"/>
      <c r="U157" s="46"/>
      <c r="V157" s="46"/>
      <c r="W157" s="64"/>
      <c r="X157" s="16"/>
    </row>
    <row r="158" spans="1:24" ht="17.100000000000001" customHeight="1">
      <c r="A158" s="16"/>
      <c r="B158" s="47"/>
      <c r="C158" s="48"/>
      <c r="D158" s="48"/>
      <c r="E158" s="48"/>
      <c r="F158" s="48"/>
      <c r="G158" s="48"/>
      <c r="H158" s="48"/>
      <c r="I158" s="48"/>
      <c r="J158" s="48"/>
      <c r="K158" s="48"/>
      <c r="L158" s="48"/>
      <c r="M158" s="48"/>
      <c r="N158" s="48"/>
      <c r="O158" s="48"/>
      <c r="P158" s="48"/>
      <c r="Q158" s="48"/>
      <c r="R158" s="48"/>
      <c r="S158" s="48"/>
      <c r="T158" s="48"/>
      <c r="U158" s="48"/>
      <c r="V158" s="48"/>
      <c r="W158" s="69"/>
      <c r="X158" s="16"/>
    </row>
    <row r="159" spans="1:24" ht="17.100000000000001" customHeight="1">
      <c r="A159" s="16"/>
      <c r="B159" s="16"/>
      <c r="C159" s="16"/>
      <c r="D159" s="16"/>
      <c r="E159" s="16"/>
      <c r="F159" s="16"/>
      <c r="G159" s="16"/>
      <c r="H159" s="16"/>
      <c r="I159" s="16"/>
      <c r="J159" s="16"/>
      <c r="K159" s="16"/>
      <c r="L159" s="16"/>
      <c r="M159" s="16"/>
      <c r="N159" s="16"/>
      <c r="O159" s="16"/>
      <c r="P159" s="16"/>
      <c r="Q159" s="16"/>
      <c r="R159" s="16"/>
      <c r="S159" s="16"/>
      <c r="T159" s="16"/>
      <c r="U159" s="16"/>
      <c r="V159" s="16"/>
      <c r="W159" s="16"/>
      <c r="X159" s="16"/>
    </row>
    <row r="160" spans="1:24" ht="17.100000000000001" customHeight="1">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row>
    <row r="161" spans="1:24" ht="17.100000000000001" customHeight="1">
      <c r="A161" s="16"/>
      <c r="B161" s="104" t="s">
        <v>62</v>
      </c>
      <c r="C161" s="104"/>
      <c r="D161" s="104"/>
      <c r="E161" s="104"/>
      <c r="F161" s="104"/>
      <c r="G161" s="104"/>
      <c r="H161" s="104"/>
      <c r="I161" s="104"/>
      <c r="J161" s="104"/>
      <c r="K161" s="104"/>
      <c r="L161" s="104"/>
      <c r="M161" s="104"/>
      <c r="N161" s="104"/>
      <c r="O161" s="104"/>
      <c r="P161" s="104"/>
      <c r="Q161" s="104"/>
      <c r="R161" s="104"/>
      <c r="S161" s="104"/>
      <c r="T161" s="104"/>
      <c r="U161" s="104"/>
      <c r="V161" s="104"/>
      <c r="W161" s="104"/>
      <c r="X161" s="16"/>
    </row>
    <row r="162" spans="1:24" ht="17.100000000000001" customHeight="1">
      <c r="A162" s="16"/>
      <c r="B162" s="104"/>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6"/>
    </row>
    <row r="163" spans="1:24" ht="17.100000000000001" customHeight="1">
      <c r="A163" s="16"/>
      <c r="B163" s="105" t="s">
        <v>63</v>
      </c>
      <c r="C163" s="105"/>
      <c r="D163" s="105"/>
      <c r="E163" s="105"/>
      <c r="F163" s="105"/>
      <c r="G163" s="105"/>
      <c r="H163" s="105"/>
      <c r="I163" s="105"/>
      <c r="J163" s="105"/>
      <c r="K163" s="105"/>
      <c r="L163" s="105"/>
      <c r="M163" s="105"/>
      <c r="N163" s="105"/>
      <c r="O163" s="105"/>
      <c r="P163" s="105"/>
      <c r="Q163" s="105"/>
      <c r="R163" s="105"/>
      <c r="S163" s="105"/>
      <c r="T163" s="105"/>
      <c r="U163" s="105"/>
      <c r="V163" s="105"/>
      <c r="W163" s="105"/>
      <c r="X163" s="16"/>
    </row>
    <row r="164" spans="1:24" ht="17.100000000000001" customHeight="1">
      <c r="A164" s="16"/>
      <c r="B164" s="105"/>
      <c r="C164" s="105"/>
      <c r="D164" s="105"/>
      <c r="E164" s="105"/>
      <c r="F164" s="105"/>
      <c r="G164" s="105"/>
      <c r="H164" s="105"/>
      <c r="I164" s="105"/>
      <c r="J164" s="105"/>
      <c r="K164" s="105"/>
      <c r="L164" s="105"/>
      <c r="M164" s="105"/>
      <c r="N164" s="105"/>
      <c r="O164" s="105"/>
      <c r="P164" s="105"/>
      <c r="Q164" s="105"/>
      <c r="R164" s="105"/>
      <c r="S164" s="105"/>
      <c r="T164" s="105"/>
      <c r="U164" s="105"/>
      <c r="V164" s="105"/>
      <c r="W164" s="105"/>
      <c r="X164" s="16"/>
    </row>
    <row r="165" spans="1:24" ht="17.100000000000001" customHeight="1">
      <c r="A165" s="16"/>
      <c r="B165" s="105"/>
      <c r="C165" s="105"/>
      <c r="D165" s="105"/>
      <c r="E165" s="105"/>
      <c r="F165" s="105"/>
      <c r="G165" s="105"/>
      <c r="H165" s="105"/>
      <c r="I165" s="105"/>
      <c r="J165" s="105"/>
      <c r="K165" s="105"/>
      <c r="L165" s="105"/>
      <c r="M165" s="105"/>
      <c r="N165" s="105"/>
      <c r="O165" s="105"/>
      <c r="P165" s="105"/>
      <c r="Q165" s="105"/>
      <c r="R165" s="105"/>
      <c r="S165" s="105"/>
      <c r="T165" s="105"/>
      <c r="U165" s="105"/>
      <c r="V165" s="105"/>
      <c r="W165" s="105"/>
      <c r="X165" s="16"/>
    </row>
    <row r="166" spans="1:24" ht="17.100000000000001" customHeight="1">
      <c r="A166" s="16"/>
      <c r="B166" s="16"/>
      <c r="C166" s="16"/>
      <c r="D166" s="16"/>
      <c r="E166" s="16"/>
      <c r="F166" s="16"/>
      <c r="G166" s="16"/>
      <c r="H166" s="16"/>
      <c r="I166" s="16"/>
      <c r="J166" s="16"/>
      <c r="K166" s="16"/>
      <c r="L166" s="16"/>
      <c r="M166" s="16"/>
      <c r="N166" s="16"/>
      <c r="O166" s="16"/>
      <c r="P166" s="16"/>
      <c r="Q166" s="16"/>
      <c r="R166" s="16"/>
      <c r="S166" s="16"/>
      <c r="T166" s="16"/>
      <c r="U166" s="16"/>
      <c r="V166" s="16"/>
      <c r="W166" s="16"/>
      <c r="X166" s="16"/>
    </row>
    <row r="167" spans="1:24" ht="17.100000000000001" customHeight="1">
      <c r="A167" s="16"/>
      <c r="B167" s="32" t="str">
        <f>"Retrieved "&amp;IF(ISNUMBER(IF('Fund Data'!$H$2,'Fund Data'!$B$90,"Refresh required")),TEXT(IF('Fund Data'!$H$2,'Fund Data'!$B$90,"Refresh required"),"yyyy-mm-dd hh:mm:ss"),IF('Fund Data'!$H$2,'Fund Data'!$B$90,"Refresh required"))&amp;" · source observations may be older. Past performance does not guarantee future results."</f>
        <v>Retrieved 2026-10-12 18:27:59 · source observations may be older. Past performance does not guarantee future results.</v>
      </c>
      <c r="C167" s="32"/>
      <c r="D167" s="32"/>
      <c r="E167" s="32"/>
      <c r="F167" s="32"/>
      <c r="G167" s="32"/>
      <c r="H167" s="32"/>
      <c r="I167" s="32"/>
      <c r="J167" s="32"/>
      <c r="K167" s="32"/>
      <c r="L167" s="32"/>
      <c r="M167" s="32"/>
      <c r="N167" s="32"/>
      <c r="O167" s="32"/>
      <c r="P167" s="32"/>
      <c r="Q167" s="32"/>
      <c r="R167" s="32"/>
      <c r="S167" s="32"/>
      <c r="T167" s="32"/>
      <c r="U167" s="32"/>
      <c r="V167" s="32"/>
      <c r="W167" s="32"/>
      <c r="X167" s="16"/>
    </row>
    <row r="168" spans="1:24" ht="17.100000000000001" customHeight="1">
      <c r="A168" s="16"/>
      <c r="B168" s="32"/>
      <c r="C168" s="32"/>
      <c r="D168" s="32"/>
      <c r="E168" s="32"/>
      <c r="F168" s="32"/>
      <c r="G168" s="32"/>
      <c r="H168" s="32"/>
      <c r="I168" s="32"/>
      <c r="J168" s="32"/>
      <c r="K168" s="32"/>
      <c r="L168" s="32"/>
      <c r="M168" s="32"/>
      <c r="N168" s="32"/>
      <c r="O168" s="32"/>
      <c r="P168" s="32"/>
      <c r="Q168" s="32"/>
      <c r="R168" s="32"/>
      <c r="S168" s="32"/>
      <c r="T168" s="32"/>
      <c r="U168" s="32"/>
      <c r="V168" s="32"/>
      <c r="W168" s="32"/>
      <c r="X168" s="16"/>
    </row>
    <row r="169" spans="1:24" ht="17.100000000000001" customHeight="1">
      <c r="A169" s="16"/>
      <c r="B169" s="32"/>
      <c r="C169" s="32"/>
      <c r="D169" s="32"/>
      <c r="E169" s="32"/>
      <c r="F169" s="32"/>
      <c r="G169" s="32"/>
      <c r="H169" s="32"/>
      <c r="I169" s="32"/>
      <c r="J169" s="32"/>
      <c r="K169" s="32"/>
      <c r="L169" s="32"/>
      <c r="M169" s="32"/>
      <c r="N169" s="32"/>
      <c r="O169" s="32"/>
      <c r="P169" s="32"/>
      <c r="Q169" s="32"/>
      <c r="R169" s="32"/>
      <c r="S169" s="32"/>
      <c r="T169" s="32"/>
      <c r="U169" s="32"/>
      <c r="V169" s="32"/>
      <c r="W169" s="32"/>
      <c r="X169" s="16"/>
    </row>
    <row r="170" spans="1:24" ht="17.100000000000001" customHeight="1">
      <c r="A170" s="16"/>
      <c r="B170" s="32"/>
      <c r="C170" s="32"/>
      <c r="D170" s="32"/>
      <c r="E170" s="32"/>
      <c r="F170" s="32"/>
      <c r="G170" s="32"/>
      <c r="H170" s="32"/>
      <c r="I170" s="32"/>
      <c r="J170" s="32"/>
      <c r="K170" s="32"/>
      <c r="L170" s="32"/>
      <c r="M170" s="32"/>
      <c r="N170" s="32"/>
      <c r="O170" s="32"/>
      <c r="P170" s="32"/>
      <c r="Q170" s="32"/>
      <c r="R170" s="32"/>
      <c r="S170" s="32"/>
      <c r="T170" s="32"/>
      <c r="U170" s="32"/>
      <c r="V170" s="32"/>
      <c r="W170" s="32"/>
      <c r="X170" s="16"/>
    </row>
    <row r="171" spans="1:24" ht="17.100000000000001" customHeight="1">
      <c r="A171" s="16"/>
      <c r="B171" s="16"/>
      <c r="C171" s="16"/>
      <c r="D171" s="16"/>
      <c r="E171" s="16"/>
      <c r="F171" s="16"/>
      <c r="G171" s="16"/>
      <c r="H171" s="16"/>
      <c r="I171" s="16"/>
      <c r="J171" s="16"/>
      <c r="K171" s="16"/>
      <c r="L171" s="16"/>
      <c r="M171" s="16"/>
      <c r="N171" s="16"/>
      <c r="O171" s="16"/>
      <c r="P171" s="16"/>
      <c r="Q171" s="16"/>
      <c r="R171" s="16"/>
      <c r="S171" s="16"/>
      <c r="T171" s="16"/>
      <c r="U171" s="16"/>
      <c r="V171" s="16"/>
      <c r="W171" s="16"/>
      <c r="X171" s="16"/>
    </row>
    <row r="172" spans="1:24" ht="17.100000000000001" customHeight="1">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row>
  </sheetData>
  <mergeCells count="153">
    <mergeCell ref="B163:W165"/>
    <mergeCell ref="B167:W170"/>
    <mergeCell ref="B126:O127"/>
    <mergeCell ref="B128:O128"/>
    <mergeCell ref="Q139:W142"/>
    <mergeCell ref="B147:W148"/>
    <mergeCell ref="B150:W156"/>
    <mergeCell ref="B157:W158"/>
    <mergeCell ref="B161:W162"/>
    <mergeCell ref="Q114:W115"/>
    <mergeCell ref="Q117:W121"/>
    <mergeCell ref="Q123:W126"/>
    <mergeCell ref="Q131:W132"/>
    <mergeCell ref="Q134:W138"/>
    <mergeCell ref="Q105:T106"/>
    <mergeCell ref="U105:W106"/>
    <mergeCell ref="Q108:T109"/>
    <mergeCell ref="U108:W109"/>
    <mergeCell ref="Q110:W111"/>
    <mergeCell ref="Q95:W96"/>
    <mergeCell ref="Q98:W98"/>
    <mergeCell ref="Q99:T100"/>
    <mergeCell ref="U99:W100"/>
    <mergeCell ref="Q102:T103"/>
    <mergeCell ref="U102:W103"/>
    <mergeCell ref="Q86:T87"/>
    <mergeCell ref="U86:W87"/>
    <mergeCell ref="Q89:T90"/>
    <mergeCell ref="U89:W90"/>
    <mergeCell ref="Q92:T93"/>
    <mergeCell ref="U92:W93"/>
    <mergeCell ref="B140:O140"/>
    <mergeCell ref="Q55:W56"/>
    <mergeCell ref="Q58:T59"/>
    <mergeCell ref="U58:W59"/>
    <mergeCell ref="Q61:T62"/>
    <mergeCell ref="U61:W62"/>
    <mergeCell ref="Q64:T65"/>
    <mergeCell ref="U64:W65"/>
    <mergeCell ref="Q67:T68"/>
    <mergeCell ref="U67:W68"/>
    <mergeCell ref="Q70:W73"/>
    <mergeCell ref="Q77:W78"/>
    <mergeCell ref="Q80:T81"/>
    <mergeCell ref="U80:W81"/>
    <mergeCell ref="Q83:T84"/>
    <mergeCell ref="U83:W84"/>
    <mergeCell ref="B130:O131"/>
    <mergeCell ref="B132:O132"/>
    <mergeCell ref="B134:O135"/>
    <mergeCell ref="B136:O136"/>
    <mergeCell ref="B138:O139"/>
    <mergeCell ref="B116:F117"/>
    <mergeCell ref="G116:J117"/>
    <mergeCell ref="K116:O117"/>
    <mergeCell ref="B119:O120"/>
    <mergeCell ref="B123:O124"/>
    <mergeCell ref="B112:F113"/>
    <mergeCell ref="G112:J113"/>
    <mergeCell ref="K112:O113"/>
    <mergeCell ref="B114:F115"/>
    <mergeCell ref="G114:J115"/>
    <mergeCell ref="K114:O115"/>
    <mergeCell ref="B109:F109"/>
    <mergeCell ref="G109:J109"/>
    <mergeCell ref="K109:O109"/>
    <mergeCell ref="B110:F111"/>
    <mergeCell ref="G110:J111"/>
    <mergeCell ref="K110:O111"/>
    <mergeCell ref="B96:O98"/>
    <mergeCell ref="B102:O103"/>
    <mergeCell ref="B105:F105"/>
    <mergeCell ref="B106:F107"/>
    <mergeCell ref="H105:O105"/>
    <mergeCell ref="H106:O107"/>
    <mergeCell ref="B91:D92"/>
    <mergeCell ref="E91:L92"/>
    <mergeCell ref="M91:O92"/>
    <mergeCell ref="B93:D94"/>
    <mergeCell ref="E93:L94"/>
    <mergeCell ref="M93:O94"/>
    <mergeCell ref="B87:D88"/>
    <mergeCell ref="E87:L88"/>
    <mergeCell ref="M87:O88"/>
    <mergeCell ref="B89:D90"/>
    <mergeCell ref="E89:L90"/>
    <mergeCell ref="M89:O90"/>
    <mergeCell ref="B83:D84"/>
    <mergeCell ref="E83:L84"/>
    <mergeCell ref="M83:O84"/>
    <mergeCell ref="B85:D86"/>
    <mergeCell ref="E85:L86"/>
    <mergeCell ref="M85:O86"/>
    <mergeCell ref="B79:D80"/>
    <mergeCell ref="E79:L80"/>
    <mergeCell ref="M79:O80"/>
    <mergeCell ref="B81:D82"/>
    <mergeCell ref="E81:L82"/>
    <mergeCell ref="M81:O82"/>
    <mergeCell ref="B75:D76"/>
    <mergeCell ref="E75:L76"/>
    <mergeCell ref="M75:O76"/>
    <mergeCell ref="B77:D78"/>
    <mergeCell ref="E77:L78"/>
    <mergeCell ref="M77:O78"/>
    <mergeCell ref="B68:O69"/>
    <mergeCell ref="B71:O72"/>
    <mergeCell ref="B74:D74"/>
    <mergeCell ref="E74:L74"/>
    <mergeCell ref="M74:O74"/>
    <mergeCell ref="B64:O65"/>
    <mergeCell ref="Q32:W33"/>
    <mergeCell ref="Q35:T36"/>
    <mergeCell ref="U35:W36"/>
    <mergeCell ref="Q37:W38"/>
    <mergeCell ref="Q39:T40"/>
    <mergeCell ref="U39:W40"/>
    <mergeCell ref="Q41:W42"/>
    <mergeCell ref="Q43:T44"/>
    <mergeCell ref="U43:W44"/>
    <mergeCell ref="Q46:W48"/>
    <mergeCell ref="B57:O58"/>
    <mergeCell ref="B60:F60"/>
    <mergeCell ref="B61:F62"/>
    <mergeCell ref="H60:O60"/>
    <mergeCell ref="H61:O62"/>
    <mergeCell ref="B35:F35"/>
    <mergeCell ref="B36:F37"/>
    <mergeCell ref="G35:K35"/>
    <mergeCell ref="G36:K37"/>
    <mergeCell ref="L35:O35"/>
    <mergeCell ref="L36:O37"/>
    <mergeCell ref="B29:E30"/>
    <mergeCell ref="F29:J30"/>
    <mergeCell ref="K29:O30"/>
    <mergeCell ref="Q29:W30"/>
    <mergeCell ref="B32:O33"/>
    <mergeCell ref="B20:O20"/>
    <mergeCell ref="B21:O21"/>
    <mergeCell ref="B23:O24"/>
    <mergeCell ref="R18:W20"/>
    <mergeCell ref="B26:W27"/>
    <mergeCell ref="B8:C10"/>
    <mergeCell ref="D8:W9"/>
    <mergeCell ref="D10:W11"/>
    <mergeCell ref="B14:J14"/>
    <mergeCell ref="B16:F18"/>
    <mergeCell ref="G17:O18"/>
    <mergeCell ref="Q2:W2"/>
    <mergeCell ref="B5:M6"/>
    <mergeCell ref="T4:U4"/>
    <mergeCell ref="T5:U6"/>
    <mergeCell ref="V5:W6"/>
  </mergeCells>
  <conditionalFormatting sqref="G17:O18">
    <cfRule type="expression" dxfId="2" priority="1">
      <formula>LEFT($G$17,1)="-"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A6BACB"/>
  </sheetPr>
  <dimension ref="A1:P160"/>
  <sheetViews>
    <sheetView showGridLines="0" workbookViewId="0"/>
  </sheetViews>
  <sheetFormatPr defaultRowHeight="14.25"/>
  <cols>
    <col min="1" max="6" width="18" customWidth="1"/>
    <col min="8" max="14" width="26" customWidth="1"/>
  </cols>
  <sheetData>
    <row r="1" spans="1:16">
      <c r="A1" s="2"/>
      <c r="B1" s="2"/>
      <c r="C1" s="2"/>
      <c r="D1" s="2"/>
      <c r="E1" s="2"/>
      <c r="F1" s="2"/>
      <c r="G1" s="2"/>
      <c r="H1" s="2"/>
      <c r="I1" s="2"/>
      <c r="J1" s="2"/>
      <c r="K1" s="2"/>
      <c r="L1" s="2"/>
      <c r="M1" s="2"/>
      <c r="N1" s="2"/>
      <c r="O1" s="2"/>
      <c r="P1" s="2"/>
    </row>
    <row r="2" spans="1:16" ht="20.25">
      <c r="A2" s="124" t="s">
        <v>113</v>
      </c>
      <c r="B2" s="124"/>
      <c r="C2" s="124"/>
      <c r="D2" s="124"/>
      <c r="E2" s="124"/>
      <c r="F2" s="124"/>
      <c r="G2" s="2"/>
      <c r="H2" s="2"/>
      <c r="I2" s="2"/>
      <c r="J2" s="2"/>
      <c r="K2" s="2"/>
      <c r="L2" s="2"/>
      <c r="M2" s="2"/>
      <c r="N2" s="2"/>
      <c r="O2" s="2"/>
      <c r="P2" s="2"/>
    </row>
    <row r="3" spans="1:16">
      <c r="A3" s="2"/>
      <c r="B3" s="2"/>
      <c r="C3" s="2"/>
      <c r="D3" s="2"/>
      <c r="E3" s="2"/>
      <c r="F3" s="2"/>
      <c r="G3" s="2"/>
      <c r="H3" s="2"/>
      <c r="I3" s="2"/>
      <c r="J3" s="2"/>
      <c r="K3" s="2"/>
      <c r="L3" s="2"/>
      <c r="M3" s="2"/>
      <c r="N3" s="2"/>
      <c r="O3" s="2"/>
      <c r="P3" s="2"/>
    </row>
    <row r="4" spans="1:16" ht="44.1" customHeight="1">
      <c r="A4" s="125" t="s">
        <v>114</v>
      </c>
      <c r="B4" s="125"/>
      <c r="C4" s="125"/>
      <c r="D4" s="125"/>
      <c r="E4" s="125"/>
      <c r="F4" s="125"/>
      <c r="G4" s="2"/>
      <c r="H4" s="2"/>
      <c r="I4" s="2"/>
      <c r="J4" s="2"/>
      <c r="K4" s="2"/>
      <c r="L4" s="2"/>
      <c r="M4" s="2"/>
      <c r="N4" s="2"/>
      <c r="O4" s="2"/>
      <c r="P4" s="2"/>
    </row>
    <row r="5" spans="1:16" ht="44.1" customHeight="1">
      <c r="A5" s="125" t="s">
        <v>115</v>
      </c>
      <c r="B5" s="125"/>
      <c r="C5" s="125"/>
      <c r="D5" s="125"/>
      <c r="E5" s="125"/>
      <c r="F5" s="125"/>
      <c r="G5" s="2"/>
      <c r="H5" s="2"/>
      <c r="I5" s="2"/>
      <c r="J5" s="2"/>
      <c r="K5" s="2"/>
      <c r="L5" s="2"/>
      <c r="M5" s="2"/>
      <c r="N5" s="2"/>
      <c r="O5" s="2"/>
      <c r="P5" s="2"/>
    </row>
    <row r="6" spans="1:16" ht="44.1" customHeight="1">
      <c r="A6" s="125" t="s">
        <v>116</v>
      </c>
      <c r="B6" s="125"/>
      <c r="C6" s="125"/>
      <c r="D6" s="125"/>
      <c r="E6" s="125"/>
      <c r="F6" s="125"/>
      <c r="G6" s="2"/>
      <c r="H6" s="2"/>
      <c r="I6" s="2"/>
      <c r="J6" s="2"/>
      <c r="K6" s="2"/>
      <c r="L6" s="2"/>
      <c r="M6" s="2"/>
      <c r="N6" s="2"/>
      <c r="O6" s="2"/>
      <c r="P6" s="2"/>
    </row>
    <row r="7" spans="1:16" ht="44.1" customHeight="1">
      <c r="A7" s="125" t="s">
        <v>117</v>
      </c>
      <c r="B7" s="125"/>
      <c r="C7" s="125"/>
      <c r="D7" s="125"/>
      <c r="E7" s="125"/>
      <c r="F7" s="125"/>
      <c r="G7" s="2"/>
      <c r="H7" s="2"/>
      <c r="I7" s="2"/>
      <c r="J7" s="2"/>
      <c r="K7" s="2"/>
      <c r="L7" s="2"/>
      <c r="M7" s="2"/>
      <c r="N7" s="2"/>
      <c r="O7" s="2"/>
      <c r="P7" s="2"/>
    </row>
    <row r="8" spans="1:16" ht="44.1" customHeight="1">
      <c r="A8" s="125" t="s">
        <v>118</v>
      </c>
      <c r="B8" s="125"/>
      <c r="C8" s="125"/>
      <c r="D8" s="125"/>
      <c r="E8" s="125"/>
      <c r="F8" s="125"/>
      <c r="G8" s="2"/>
      <c r="H8" s="2"/>
      <c r="I8" s="2"/>
      <c r="J8" s="2"/>
      <c r="K8" s="2"/>
      <c r="L8" s="2"/>
      <c r="M8" s="2"/>
      <c r="N8" s="2"/>
      <c r="O8" s="2"/>
      <c r="P8" s="2"/>
    </row>
    <row r="9" spans="1:16" ht="44.1" customHeight="1">
      <c r="A9" s="125" t="s">
        <v>119</v>
      </c>
      <c r="B9" s="125"/>
      <c r="C9" s="125"/>
      <c r="D9" s="125"/>
      <c r="E9" s="125"/>
      <c r="F9" s="125"/>
      <c r="G9" s="2"/>
      <c r="H9" s="2"/>
      <c r="I9" s="2"/>
      <c r="J9" s="2"/>
      <c r="K9" s="2"/>
      <c r="L9" s="2"/>
      <c r="M9" s="2"/>
      <c r="N9" s="2"/>
      <c r="O9" s="2"/>
      <c r="P9" s="2"/>
    </row>
    <row r="10" spans="1:16" ht="44.1" customHeight="1">
      <c r="A10" s="125" t="s">
        <v>120</v>
      </c>
      <c r="B10" s="125"/>
      <c r="C10" s="125"/>
      <c r="D10" s="125"/>
      <c r="E10" s="125"/>
      <c r="F10" s="125"/>
      <c r="G10" s="2"/>
      <c r="H10" s="2"/>
      <c r="I10" s="2"/>
      <c r="J10" s="2"/>
      <c r="K10" s="2"/>
      <c r="L10" s="2"/>
      <c r="M10" s="2"/>
      <c r="N10" s="2"/>
      <c r="O10" s="2"/>
      <c r="P10" s="2"/>
    </row>
    <row r="11" spans="1:16" ht="44.1" customHeight="1">
      <c r="A11" s="125" t="s">
        <v>121</v>
      </c>
      <c r="B11" s="125"/>
      <c r="C11" s="125"/>
      <c r="D11" s="125"/>
      <c r="E11" s="125"/>
      <c r="F11" s="125"/>
      <c r="G11" s="2"/>
      <c r="H11" s="2"/>
      <c r="I11" s="2"/>
      <c r="J11" s="2"/>
      <c r="K11" s="2"/>
      <c r="L11" s="2"/>
      <c r="M11" s="2"/>
      <c r="N11" s="2"/>
      <c r="O11" s="2"/>
      <c r="P11" s="2"/>
    </row>
    <row r="12" spans="1:16" ht="44.1" customHeight="1">
      <c r="A12" s="125" t="s">
        <v>122</v>
      </c>
      <c r="B12" s="125"/>
      <c r="C12" s="125"/>
      <c r="D12" s="125"/>
      <c r="E12" s="125"/>
      <c r="F12" s="125"/>
      <c r="G12" s="2"/>
      <c r="H12" s="2"/>
      <c r="I12" s="2"/>
      <c r="J12" s="2"/>
      <c r="K12" s="2"/>
      <c r="L12" s="2"/>
      <c r="M12" s="2"/>
      <c r="N12" s="2"/>
      <c r="O12" s="2"/>
      <c r="P12" s="2"/>
    </row>
    <row r="13" spans="1:16">
      <c r="A13" s="2"/>
      <c r="B13" s="2"/>
      <c r="C13" s="2"/>
      <c r="D13" s="2"/>
      <c r="E13" s="2"/>
      <c r="F13" s="2"/>
      <c r="G13" s="2"/>
      <c r="H13" s="2"/>
      <c r="I13" s="2"/>
      <c r="J13" s="2"/>
      <c r="K13" s="2"/>
      <c r="L13" s="2"/>
      <c r="M13" s="2"/>
      <c r="N13" s="2"/>
      <c r="O13" s="2"/>
      <c r="P13" s="2"/>
    </row>
    <row r="14" spans="1:16">
      <c r="A14" s="2"/>
      <c r="B14" s="2"/>
      <c r="C14" s="2"/>
      <c r="D14" s="2"/>
      <c r="E14" s="2"/>
      <c r="F14" s="2"/>
      <c r="G14" s="2"/>
      <c r="H14" s="2"/>
      <c r="I14" s="2"/>
      <c r="J14" s="2"/>
      <c r="K14" s="2"/>
      <c r="L14" s="2"/>
      <c r="M14" s="2"/>
      <c r="N14" s="2"/>
      <c r="O14" s="2"/>
      <c r="P14" s="2"/>
    </row>
    <row r="15" spans="1:16">
      <c r="A15" s="2"/>
      <c r="B15" s="2"/>
      <c r="C15" s="2"/>
      <c r="D15" s="2"/>
      <c r="E15" s="2"/>
      <c r="F15" s="2"/>
      <c r="G15" s="2"/>
      <c r="H15" s="2"/>
      <c r="I15" s="2"/>
      <c r="J15" s="2"/>
      <c r="K15" s="2"/>
      <c r="L15" s="2"/>
      <c r="M15" s="2"/>
      <c r="N15" s="2"/>
      <c r="O15" s="2"/>
      <c r="P15" s="2"/>
    </row>
    <row r="16" spans="1:16">
      <c r="A16" s="2"/>
      <c r="B16" s="2"/>
      <c r="C16" s="2"/>
      <c r="D16" s="2"/>
      <c r="E16" s="2"/>
      <c r="F16" s="2"/>
      <c r="G16" s="2"/>
      <c r="H16" s="2"/>
      <c r="I16" s="2"/>
      <c r="J16" s="2"/>
      <c r="K16" s="2"/>
      <c r="L16" s="2"/>
      <c r="M16" s="2"/>
      <c r="N16" s="2"/>
      <c r="O16" s="2"/>
      <c r="P16" s="2"/>
    </row>
    <row r="17" spans="1:16">
      <c r="A17" s="2"/>
      <c r="B17" s="2"/>
      <c r="C17" s="2"/>
      <c r="D17" s="2"/>
      <c r="E17" s="2"/>
      <c r="F17" s="2"/>
      <c r="G17" s="2"/>
      <c r="H17" s="2"/>
      <c r="I17" s="2"/>
      <c r="J17" s="2"/>
      <c r="K17" s="2"/>
      <c r="L17" s="2"/>
      <c r="M17" s="2"/>
      <c r="N17" s="2"/>
      <c r="O17" s="2"/>
      <c r="P17" s="2"/>
    </row>
    <row r="18" spans="1:16">
      <c r="A18" s="2" t="s">
        <v>123</v>
      </c>
      <c r="B18" s="2"/>
      <c r="C18" s="2"/>
      <c r="D18" s="2"/>
      <c r="E18" s="2"/>
      <c r="F18" s="2"/>
      <c r="G18" s="2"/>
      <c r="H18" s="2"/>
      <c r="I18" s="2"/>
      <c r="J18" s="2"/>
      <c r="K18" s="2"/>
      <c r="L18" s="2"/>
      <c r="M18" s="2"/>
      <c r="N18" s="2"/>
      <c r="O18" s="2"/>
      <c r="P18" s="2"/>
    </row>
    <row r="19" spans="1:16">
      <c r="A19" s="6" t="s">
        <v>124</v>
      </c>
      <c r="B19" s="6" t="s">
        <v>125</v>
      </c>
      <c r="C19" s="6" t="s">
        <v>126</v>
      </c>
      <c r="D19" s="6" t="s">
        <v>127</v>
      </c>
      <c r="E19" s="6" t="s">
        <v>128</v>
      </c>
      <c r="F19" s="2"/>
      <c r="G19" s="2"/>
      <c r="H19" s="6" t="s">
        <v>129</v>
      </c>
      <c r="I19" s="6" t="s">
        <v>124</v>
      </c>
      <c r="J19" s="6" t="s">
        <v>130</v>
      </c>
      <c r="K19" s="6" t="s">
        <v>131</v>
      </c>
      <c r="L19" s="6" t="s">
        <v>132</v>
      </c>
      <c r="M19" s="6" t="s">
        <v>133</v>
      </c>
      <c r="N19" s="6" t="s">
        <v>134</v>
      </c>
      <c r="O19" s="2"/>
      <c r="P19" s="2"/>
    </row>
    <row r="20" spans="1:16">
      <c r="A20" s="2" t="s">
        <v>135</v>
      </c>
      <c r="B20" s="2" t="s">
        <v>136</v>
      </c>
      <c r="C20" s="2" t="s">
        <v>137</v>
      </c>
      <c r="D20" s="2" t="s">
        <v>138</v>
      </c>
      <c r="E20" s="2" t="s">
        <v>139</v>
      </c>
      <c r="F20" s="2"/>
      <c r="G20" s="2"/>
      <c r="H20" s="2" t="s">
        <v>140</v>
      </c>
      <c r="I20" s="2" t="s">
        <v>135</v>
      </c>
      <c r="J20" s="2" t="s">
        <v>141</v>
      </c>
      <c r="K20" s="2" t="s">
        <v>142</v>
      </c>
      <c r="L20" s="2" t="s">
        <v>143</v>
      </c>
      <c r="M20" s="2"/>
      <c r="N20" s="2"/>
      <c r="O20" s="2"/>
      <c r="P20" s="2"/>
    </row>
    <row r="21" spans="1:16">
      <c r="A21" s="2" t="s">
        <v>144</v>
      </c>
      <c r="B21" s="2" t="s">
        <v>145</v>
      </c>
      <c r="C21" s="2" t="s">
        <v>146</v>
      </c>
      <c r="D21" s="2" t="s">
        <v>147</v>
      </c>
      <c r="E21" s="2" t="s">
        <v>148</v>
      </c>
      <c r="F21" s="2"/>
      <c r="G21" s="2"/>
      <c r="H21" s="2" t="s">
        <v>149</v>
      </c>
      <c r="I21" s="2" t="s">
        <v>135</v>
      </c>
      <c r="J21" s="2" t="s">
        <v>150</v>
      </c>
      <c r="K21" s="2" t="s">
        <v>142</v>
      </c>
      <c r="L21" s="2" t="s">
        <v>143</v>
      </c>
      <c r="M21" s="2"/>
      <c r="N21" s="2"/>
      <c r="O21" s="2"/>
      <c r="P21" s="2"/>
    </row>
    <row r="22" spans="1:16">
      <c r="A22" s="2" t="s">
        <v>151</v>
      </c>
      <c r="B22" s="2" t="s">
        <v>136</v>
      </c>
      <c r="C22" s="2" t="s">
        <v>152</v>
      </c>
      <c r="D22" s="2" t="s">
        <v>153</v>
      </c>
      <c r="E22" s="2" t="s">
        <v>154</v>
      </c>
      <c r="F22" s="2"/>
      <c r="G22" s="2"/>
      <c r="H22" s="2" t="s">
        <v>155</v>
      </c>
      <c r="I22" s="2" t="s">
        <v>135</v>
      </c>
      <c r="J22" s="2" t="s">
        <v>156</v>
      </c>
      <c r="K22" s="2" t="s">
        <v>142</v>
      </c>
      <c r="L22" s="2" t="s">
        <v>143</v>
      </c>
      <c r="M22" s="2"/>
      <c r="N22" s="2"/>
      <c r="O22" s="2"/>
      <c r="P22" s="2"/>
    </row>
    <row r="23" spans="1:16">
      <c r="A23" s="2" t="s">
        <v>157</v>
      </c>
      <c r="B23" s="2" t="s">
        <v>136</v>
      </c>
      <c r="C23" s="2" t="s">
        <v>158</v>
      </c>
      <c r="D23" s="2" t="s">
        <v>159</v>
      </c>
      <c r="E23" s="2" t="s">
        <v>160</v>
      </c>
      <c r="F23" s="2"/>
      <c r="G23" s="2"/>
      <c r="H23" s="2" t="s">
        <v>161</v>
      </c>
      <c r="I23" s="2" t="s">
        <v>135</v>
      </c>
      <c r="J23" s="2" t="s">
        <v>162</v>
      </c>
      <c r="K23" s="2" t="s">
        <v>163</v>
      </c>
      <c r="L23" s="2" t="s">
        <v>143</v>
      </c>
      <c r="M23" s="2"/>
      <c r="N23" s="2"/>
      <c r="O23" s="2"/>
      <c r="P23" s="2"/>
    </row>
    <row r="24" spans="1:16">
      <c r="A24" s="2" t="s">
        <v>164</v>
      </c>
      <c r="B24" s="2" t="s">
        <v>145</v>
      </c>
      <c r="C24" s="2" t="s">
        <v>165</v>
      </c>
      <c r="D24" s="2" t="s">
        <v>166</v>
      </c>
      <c r="E24" s="2" t="s">
        <v>167</v>
      </c>
      <c r="F24" s="2"/>
      <c r="G24" s="2"/>
      <c r="H24" s="2" t="s">
        <v>168</v>
      </c>
      <c r="I24" s="2" t="s">
        <v>135</v>
      </c>
      <c r="J24" s="2" t="s">
        <v>169</v>
      </c>
      <c r="K24" s="2" t="s">
        <v>163</v>
      </c>
      <c r="L24" s="2" t="s">
        <v>143</v>
      </c>
      <c r="M24" s="2"/>
      <c r="N24" s="2"/>
      <c r="O24" s="2"/>
      <c r="P24" s="2"/>
    </row>
    <row r="25" spans="1:16">
      <c r="A25" s="2" t="s">
        <v>170</v>
      </c>
      <c r="B25" s="2" t="s">
        <v>145</v>
      </c>
      <c r="C25" s="2" t="s">
        <v>171</v>
      </c>
      <c r="D25" s="2" t="s">
        <v>172</v>
      </c>
      <c r="E25" s="2" t="s">
        <v>173</v>
      </c>
      <c r="F25" s="2"/>
      <c r="G25" s="2"/>
      <c r="H25" s="2" t="s">
        <v>174</v>
      </c>
      <c r="I25" s="2" t="s">
        <v>135</v>
      </c>
      <c r="J25" s="2" t="s">
        <v>175</v>
      </c>
      <c r="K25" s="2" t="s">
        <v>163</v>
      </c>
      <c r="L25" s="2" t="s">
        <v>143</v>
      </c>
      <c r="M25" s="2"/>
      <c r="N25" s="2"/>
      <c r="O25" s="2"/>
      <c r="P25" s="2"/>
    </row>
    <row r="26" spans="1:16">
      <c r="A26" s="2" t="s">
        <v>176</v>
      </c>
      <c r="B26" s="2" t="s">
        <v>145</v>
      </c>
      <c r="C26" s="2" t="s">
        <v>177</v>
      </c>
      <c r="D26" s="2" t="s">
        <v>178</v>
      </c>
      <c r="E26" s="2" t="s">
        <v>179</v>
      </c>
      <c r="F26" s="2"/>
      <c r="G26" s="2"/>
      <c r="H26" s="2" t="s">
        <v>180</v>
      </c>
      <c r="I26" s="2" t="s">
        <v>135</v>
      </c>
      <c r="J26" s="2" t="s">
        <v>181</v>
      </c>
      <c r="K26" s="2" t="s">
        <v>182</v>
      </c>
      <c r="L26" s="2" t="s">
        <v>143</v>
      </c>
      <c r="M26" s="2"/>
      <c r="N26" s="2"/>
      <c r="O26" s="2"/>
      <c r="P26" s="2"/>
    </row>
    <row r="27" spans="1:16">
      <c r="A27" s="2" t="s">
        <v>183</v>
      </c>
      <c r="B27" s="2" t="s">
        <v>145</v>
      </c>
      <c r="C27" s="2" t="s">
        <v>184</v>
      </c>
      <c r="D27" s="2" t="s">
        <v>185</v>
      </c>
      <c r="E27" s="2" t="s">
        <v>186</v>
      </c>
      <c r="F27" s="2"/>
      <c r="G27" s="2"/>
      <c r="H27" s="2" t="s">
        <v>187</v>
      </c>
      <c r="I27" s="2" t="s">
        <v>135</v>
      </c>
      <c r="J27" s="2" t="s">
        <v>143</v>
      </c>
      <c r="K27" s="2" t="s">
        <v>142</v>
      </c>
      <c r="L27" s="2" t="s">
        <v>143</v>
      </c>
      <c r="M27" s="2"/>
      <c r="N27" s="2"/>
      <c r="O27" s="2"/>
      <c r="P27" s="2"/>
    </row>
    <row r="28" spans="1:16">
      <c r="A28" s="2" t="s">
        <v>188</v>
      </c>
      <c r="B28" s="2" t="s">
        <v>145</v>
      </c>
      <c r="C28" s="2" t="s">
        <v>189</v>
      </c>
      <c r="D28" s="2" t="s">
        <v>185</v>
      </c>
      <c r="E28" s="2" t="s">
        <v>190</v>
      </c>
      <c r="F28" s="2"/>
      <c r="G28" s="2"/>
      <c r="H28" s="2" t="s">
        <v>191</v>
      </c>
      <c r="I28" s="2" t="s">
        <v>135</v>
      </c>
      <c r="J28" s="2" t="s">
        <v>192</v>
      </c>
      <c r="K28" s="2" t="s">
        <v>142</v>
      </c>
      <c r="L28" s="2" t="s">
        <v>143</v>
      </c>
      <c r="M28" s="2"/>
      <c r="N28" s="2"/>
      <c r="O28" s="2"/>
      <c r="P28" s="2"/>
    </row>
    <row r="29" spans="1:16">
      <c r="A29" s="2" t="s">
        <v>193</v>
      </c>
      <c r="B29" s="2" t="s">
        <v>145</v>
      </c>
      <c r="C29" s="2" t="s">
        <v>194</v>
      </c>
      <c r="D29" s="2" t="s">
        <v>195</v>
      </c>
      <c r="E29" s="2" t="s">
        <v>196</v>
      </c>
      <c r="F29" s="2"/>
      <c r="G29" s="2"/>
      <c r="H29" s="2" t="s">
        <v>197</v>
      </c>
      <c r="I29" s="2" t="s">
        <v>135</v>
      </c>
      <c r="J29" s="2" t="s">
        <v>198</v>
      </c>
      <c r="K29" s="2" t="s">
        <v>163</v>
      </c>
      <c r="L29" s="2" t="s">
        <v>143</v>
      </c>
      <c r="M29" s="2"/>
      <c r="N29" s="2"/>
      <c r="O29" s="2"/>
      <c r="P29" s="2"/>
    </row>
    <row r="30" spans="1:16">
      <c r="A30" s="2" t="s">
        <v>199</v>
      </c>
      <c r="B30" s="2" t="s">
        <v>200</v>
      </c>
      <c r="C30" s="2" t="s">
        <v>201</v>
      </c>
      <c r="D30" s="2" t="s">
        <v>202</v>
      </c>
      <c r="E30" s="2" t="s">
        <v>203</v>
      </c>
      <c r="F30" s="2"/>
      <c r="G30" s="2"/>
      <c r="H30" s="2" t="s">
        <v>204</v>
      </c>
      <c r="I30" s="2" t="s">
        <v>135</v>
      </c>
      <c r="J30" s="2" t="s">
        <v>205</v>
      </c>
      <c r="K30" s="2" t="s">
        <v>163</v>
      </c>
      <c r="L30" s="2" t="s">
        <v>143</v>
      </c>
      <c r="M30" s="2"/>
      <c r="N30" s="2"/>
      <c r="O30" s="2"/>
      <c r="P30" s="2"/>
    </row>
    <row r="31" spans="1:16">
      <c r="A31" s="2" t="s">
        <v>206</v>
      </c>
      <c r="B31" s="2" t="s">
        <v>207</v>
      </c>
      <c r="C31" s="2" t="s">
        <v>208</v>
      </c>
      <c r="D31" s="2" t="s">
        <v>209</v>
      </c>
      <c r="E31" s="2" t="s">
        <v>210</v>
      </c>
      <c r="F31" s="2"/>
      <c r="G31" s="2"/>
      <c r="H31" s="2" t="s">
        <v>211</v>
      </c>
      <c r="I31" s="2" t="s">
        <v>135</v>
      </c>
      <c r="J31" s="2" t="s">
        <v>212</v>
      </c>
      <c r="K31" s="2" t="s">
        <v>142</v>
      </c>
      <c r="L31" s="2" t="s">
        <v>143</v>
      </c>
      <c r="M31" s="2"/>
      <c r="N31" s="2"/>
      <c r="O31" s="2"/>
      <c r="P31" s="2"/>
    </row>
    <row r="32" spans="1:16">
      <c r="A32" s="2" t="s">
        <v>213</v>
      </c>
      <c r="B32" s="2" t="s">
        <v>207</v>
      </c>
      <c r="C32" s="2" t="s">
        <v>214</v>
      </c>
      <c r="D32" s="2" t="s">
        <v>215</v>
      </c>
      <c r="E32" s="2" t="s">
        <v>216</v>
      </c>
      <c r="F32" s="2"/>
      <c r="G32" s="2"/>
      <c r="H32" s="2" t="s">
        <v>217</v>
      </c>
      <c r="I32" s="2" t="s">
        <v>135</v>
      </c>
      <c r="J32" s="2" t="s">
        <v>218</v>
      </c>
      <c r="K32" s="2" t="s">
        <v>163</v>
      </c>
      <c r="L32" s="2" t="s">
        <v>143</v>
      </c>
      <c r="M32" s="2"/>
      <c r="N32" s="2"/>
      <c r="O32" s="2"/>
      <c r="P32" s="2"/>
    </row>
    <row r="33" spans="1:16">
      <c r="A33" s="2" t="s">
        <v>219</v>
      </c>
      <c r="B33" s="2" t="s">
        <v>207</v>
      </c>
      <c r="C33" s="2" t="s">
        <v>220</v>
      </c>
      <c r="D33" s="2" t="s">
        <v>209</v>
      </c>
      <c r="E33" s="2" t="s">
        <v>221</v>
      </c>
      <c r="F33" s="2"/>
      <c r="G33" s="2"/>
      <c r="H33" s="2" t="s">
        <v>222</v>
      </c>
      <c r="I33" s="2" t="s">
        <v>135</v>
      </c>
      <c r="J33" s="2" t="s">
        <v>223</v>
      </c>
      <c r="K33" s="2" t="s">
        <v>163</v>
      </c>
      <c r="L33" s="2" t="s">
        <v>143</v>
      </c>
      <c r="M33" s="2"/>
      <c r="N33" s="2"/>
      <c r="O33" s="2"/>
      <c r="P33" s="2"/>
    </row>
    <row r="34" spans="1:16">
      <c r="A34" s="2" t="s">
        <v>224</v>
      </c>
      <c r="B34" s="2" t="s">
        <v>225</v>
      </c>
      <c r="C34" s="2" t="s">
        <v>226</v>
      </c>
      <c r="D34" s="2" t="s">
        <v>209</v>
      </c>
      <c r="E34" s="2" t="s">
        <v>227</v>
      </c>
      <c r="F34" s="2"/>
      <c r="G34" s="2"/>
      <c r="H34" s="2" t="s">
        <v>228</v>
      </c>
      <c r="I34" s="2" t="s">
        <v>135</v>
      </c>
      <c r="J34" s="2" t="s">
        <v>229</v>
      </c>
      <c r="K34" s="2" t="s">
        <v>163</v>
      </c>
      <c r="L34" s="2" t="s">
        <v>143</v>
      </c>
      <c r="M34" s="2"/>
      <c r="N34" s="2"/>
      <c r="O34" s="2"/>
      <c r="P34" s="2"/>
    </row>
    <row r="35" spans="1:16">
      <c r="A35" s="2" t="s">
        <v>230</v>
      </c>
      <c r="B35" s="2" t="s">
        <v>225</v>
      </c>
      <c r="C35" s="2" t="s">
        <v>231</v>
      </c>
      <c r="D35" s="2" t="s">
        <v>209</v>
      </c>
      <c r="E35" s="2" t="s">
        <v>232</v>
      </c>
      <c r="F35" s="2"/>
      <c r="G35" s="2"/>
      <c r="H35" s="2" t="s">
        <v>233</v>
      </c>
      <c r="I35" s="2" t="s">
        <v>135</v>
      </c>
      <c r="J35" s="2" t="s">
        <v>234</v>
      </c>
      <c r="K35" s="2" t="s">
        <v>163</v>
      </c>
      <c r="L35" s="2" t="s">
        <v>143</v>
      </c>
      <c r="M35" s="2"/>
      <c r="N35" s="2"/>
      <c r="O35" s="2"/>
      <c r="P35" s="2"/>
    </row>
    <row r="36" spans="1:16">
      <c r="A36" s="2" t="s">
        <v>235</v>
      </c>
      <c r="B36" s="2" t="s">
        <v>225</v>
      </c>
      <c r="C36" s="2" t="s">
        <v>236</v>
      </c>
      <c r="D36" s="2" t="s">
        <v>209</v>
      </c>
      <c r="E36" s="2" t="s">
        <v>237</v>
      </c>
      <c r="F36" s="2"/>
      <c r="G36" s="2"/>
      <c r="H36" s="2" t="s">
        <v>238</v>
      </c>
      <c r="I36" s="2" t="s">
        <v>135</v>
      </c>
      <c r="J36" s="2" t="s">
        <v>239</v>
      </c>
      <c r="K36" s="2" t="s">
        <v>163</v>
      </c>
      <c r="L36" s="2" t="s">
        <v>143</v>
      </c>
      <c r="M36" s="2"/>
      <c r="N36" s="2"/>
      <c r="O36" s="2"/>
      <c r="P36" s="2"/>
    </row>
    <row r="37" spans="1:16">
      <c r="A37" s="2" t="s">
        <v>240</v>
      </c>
      <c r="B37" s="2" t="s">
        <v>225</v>
      </c>
      <c r="C37" s="2" t="s">
        <v>241</v>
      </c>
      <c r="D37" s="2" t="s">
        <v>138</v>
      </c>
      <c r="E37" s="2" t="s">
        <v>242</v>
      </c>
      <c r="F37" s="2"/>
      <c r="G37" s="2"/>
      <c r="H37" s="2" t="s">
        <v>243</v>
      </c>
      <c r="I37" s="2" t="s">
        <v>135</v>
      </c>
      <c r="J37" s="2" t="s">
        <v>244</v>
      </c>
      <c r="K37" s="2" t="s">
        <v>163</v>
      </c>
      <c r="L37" s="2" t="s">
        <v>143</v>
      </c>
      <c r="M37" s="2"/>
      <c r="N37" s="2"/>
      <c r="O37" s="2"/>
      <c r="P37" s="2"/>
    </row>
    <row r="38" spans="1:16">
      <c r="A38" s="2" t="s">
        <v>245</v>
      </c>
      <c r="B38" s="2" t="s">
        <v>225</v>
      </c>
      <c r="C38" s="2" t="s">
        <v>246</v>
      </c>
      <c r="D38" s="2" t="s">
        <v>247</v>
      </c>
      <c r="E38" s="2" t="s">
        <v>248</v>
      </c>
      <c r="F38" s="2"/>
      <c r="G38" s="2"/>
      <c r="H38" s="2" t="s">
        <v>249</v>
      </c>
      <c r="I38" s="2" t="s">
        <v>135</v>
      </c>
      <c r="J38" s="2" t="s">
        <v>250</v>
      </c>
      <c r="K38" s="2" t="s">
        <v>142</v>
      </c>
      <c r="L38" s="2" t="s">
        <v>143</v>
      </c>
      <c r="M38" s="2"/>
      <c r="N38" s="2"/>
      <c r="O38" s="2"/>
      <c r="P38" s="2"/>
    </row>
    <row r="39" spans="1:16">
      <c r="A39" s="2" t="s">
        <v>251</v>
      </c>
      <c r="B39" s="2" t="s">
        <v>225</v>
      </c>
      <c r="C39" s="2" t="s">
        <v>252</v>
      </c>
      <c r="D39" s="2" t="s">
        <v>253</v>
      </c>
      <c r="E39" s="2" t="s">
        <v>254</v>
      </c>
      <c r="F39" s="2"/>
      <c r="G39" s="2"/>
      <c r="H39" s="2" t="s">
        <v>255</v>
      </c>
      <c r="I39" s="2" t="s">
        <v>135</v>
      </c>
      <c r="J39" s="2" t="s">
        <v>256</v>
      </c>
      <c r="K39" s="2" t="s">
        <v>163</v>
      </c>
      <c r="L39" s="2" t="s">
        <v>143</v>
      </c>
      <c r="M39" s="2"/>
      <c r="N39" s="2"/>
      <c r="O39" s="2"/>
      <c r="P39" s="2"/>
    </row>
    <row r="40" spans="1:16">
      <c r="A40" s="2" t="s">
        <v>257</v>
      </c>
      <c r="B40" s="2" t="s">
        <v>258</v>
      </c>
      <c r="C40" s="2" t="s">
        <v>259</v>
      </c>
      <c r="D40" s="2" t="s">
        <v>260</v>
      </c>
      <c r="E40" s="2" t="s">
        <v>261</v>
      </c>
      <c r="F40" s="2"/>
      <c r="G40" s="2"/>
      <c r="H40" s="2" t="s">
        <v>262</v>
      </c>
      <c r="I40" s="2" t="s">
        <v>135</v>
      </c>
      <c r="J40" s="2" t="s">
        <v>263</v>
      </c>
      <c r="K40" s="2" t="s">
        <v>163</v>
      </c>
      <c r="L40" s="2" t="s">
        <v>143</v>
      </c>
      <c r="M40" s="2"/>
      <c r="N40" s="2"/>
      <c r="O40" s="2"/>
      <c r="P40" s="2"/>
    </row>
    <row r="41" spans="1:16">
      <c r="A41" s="2" t="s">
        <v>264</v>
      </c>
      <c r="B41" s="2" t="s">
        <v>258</v>
      </c>
      <c r="C41" s="2" t="s">
        <v>265</v>
      </c>
      <c r="D41" s="2" t="s">
        <v>266</v>
      </c>
      <c r="E41" s="2" t="s">
        <v>267</v>
      </c>
      <c r="F41" s="2"/>
      <c r="G41" s="2"/>
      <c r="H41" s="2" t="s">
        <v>268</v>
      </c>
      <c r="I41" s="2" t="s">
        <v>135</v>
      </c>
      <c r="J41" s="2" t="s">
        <v>269</v>
      </c>
      <c r="K41" s="2" t="s">
        <v>163</v>
      </c>
      <c r="L41" s="2" t="s">
        <v>143</v>
      </c>
      <c r="M41" s="2"/>
      <c r="N41" s="2"/>
      <c r="O41" s="2"/>
      <c r="P41" s="2"/>
    </row>
    <row r="42" spans="1:16">
      <c r="A42" s="2" t="s">
        <v>270</v>
      </c>
      <c r="B42" s="2" t="s">
        <v>258</v>
      </c>
      <c r="C42" s="2" t="s">
        <v>271</v>
      </c>
      <c r="D42" s="2" t="s">
        <v>272</v>
      </c>
      <c r="E42" s="2" t="s">
        <v>273</v>
      </c>
      <c r="F42" s="2"/>
      <c r="G42" s="2"/>
      <c r="H42" s="2" t="s">
        <v>274</v>
      </c>
      <c r="I42" s="2" t="s">
        <v>135</v>
      </c>
      <c r="J42" s="2" t="s">
        <v>275</v>
      </c>
      <c r="K42" s="2" t="s">
        <v>163</v>
      </c>
      <c r="L42" s="2" t="s">
        <v>143</v>
      </c>
      <c r="M42" s="2"/>
      <c r="N42" s="2"/>
      <c r="O42" s="2"/>
      <c r="P42" s="2"/>
    </row>
    <row r="43" spans="1:16">
      <c r="A43" s="2" t="s">
        <v>276</v>
      </c>
      <c r="B43" s="2" t="s">
        <v>258</v>
      </c>
      <c r="C43" s="2" t="s">
        <v>277</v>
      </c>
      <c r="D43" s="2" t="s">
        <v>278</v>
      </c>
      <c r="E43" s="2" t="s">
        <v>279</v>
      </c>
      <c r="F43" s="2"/>
      <c r="G43" s="2"/>
      <c r="H43" s="2" t="s">
        <v>280</v>
      </c>
      <c r="I43" s="2" t="s">
        <v>135</v>
      </c>
      <c r="J43" s="2" t="s">
        <v>281</v>
      </c>
      <c r="K43" s="2" t="s">
        <v>142</v>
      </c>
      <c r="L43" s="2" t="s">
        <v>143</v>
      </c>
      <c r="M43" s="2"/>
      <c r="N43" s="2"/>
      <c r="O43" s="2"/>
      <c r="P43" s="2"/>
    </row>
    <row r="44" spans="1:16">
      <c r="A44" s="2"/>
      <c r="B44" s="2"/>
      <c r="C44" s="2"/>
      <c r="D44" s="2"/>
      <c r="E44" s="2"/>
      <c r="F44" s="2"/>
      <c r="G44" s="2"/>
      <c r="H44" s="2" t="s">
        <v>282</v>
      </c>
      <c r="I44" s="2" t="s">
        <v>135</v>
      </c>
      <c r="J44" s="2" t="s">
        <v>283</v>
      </c>
      <c r="K44" s="2" t="s">
        <v>142</v>
      </c>
      <c r="L44" s="2" t="s">
        <v>143</v>
      </c>
      <c r="M44" s="2"/>
      <c r="N44" s="2"/>
      <c r="O44" s="2"/>
      <c r="P44" s="2"/>
    </row>
    <row r="45" spans="1:16">
      <c r="A45" s="2"/>
      <c r="B45" s="2"/>
      <c r="C45" s="2"/>
      <c r="D45" s="2"/>
      <c r="E45" s="2"/>
      <c r="F45" s="2"/>
      <c r="G45" s="2"/>
      <c r="H45" s="2" t="s">
        <v>284</v>
      </c>
      <c r="I45" s="2" t="s">
        <v>135</v>
      </c>
      <c r="J45" s="2" t="s">
        <v>285</v>
      </c>
      <c r="K45" s="2" t="s">
        <v>142</v>
      </c>
      <c r="L45" s="2" t="s">
        <v>143</v>
      </c>
      <c r="M45" s="2"/>
      <c r="N45" s="2"/>
      <c r="O45" s="2"/>
      <c r="P45" s="2"/>
    </row>
    <row r="46" spans="1:16">
      <c r="A46" s="2"/>
      <c r="B46" s="2"/>
      <c r="C46" s="2"/>
      <c r="D46" s="2"/>
      <c r="E46" s="2"/>
      <c r="F46" s="2"/>
      <c r="G46" s="2"/>
      <c r="H46" s="2" t="s">
        <v>286</v>
      </c>
      <c r="I46" s="2" t="s">
        <v>135</v>
      </c>
      <c r="J46" s="2" t="s">
        <v>287</v>
      </c>
      <c r="K46" s="2" t="s">
        <v>142</v>
      </c>
      <c r="L46" s="2" t="s">
        <v>143</v>
      </c>
      <c r="M46" s="2"/>
      <c r="N46" s="2"/>
      <c r="O46" s="2"/>
      <c r="P46" s="2"/>
    </row>
    <row r="47" spans="1:16">
      <c r="A47" s="2"/>
      <c r="B47" s="2"/>
      <c r="C47" s="2"/>
      <c r="D47" s="2"/>
      <c r="E47" s="2"/>
      <c r="F47" s="2"/>
      <c r="G47" s="2"/>
      <c r="H47" s="2" t="s">
        <v>288</v>
      </c>
      <c r="I47" s="2" t="s">
        <v>135</v>
      </c>
      <c r="J47" s="2" t="s">
        <v>289</v>
      </c>
      <c r="K47" s="2" t="s">
        <v>163</v>
      </c>
      <c r="L47" s="2" t="s">
        <v>143</v>
      </c>
      <c r="M47" s="2"/>
      <c r="N47" s="2"/>
      <c r="O47" s="2"/>
      <c r="P47" s="2"/>
    </row>
    <row r="48" spans="1:16">
      <c r="A48" s="2"/>
      <c r="B48" s="2"/>
      <c r="C48" s="2"/>
      <c r="D48" s="2"/>
      <c r="E48" s="2"/>
      <c r="F48" s="2"/>
      <c r="G48" s="2"/>
      <c r="H48" s="2" t="s">
        <v>290</v>
      </c>
      <c r="I48" s="2" t="s">
        <v>135</v>
      </c>
      <c r="J48" s="2" t="s">
        <v>291</v>
      </c>
      <c r="K48" s="2" t="s">
        <v>163</v>
      </c>
      <c r="L48" s="2" t="s">
        <v>143</v>
      </c>
      <c r="M48" s="2"/>
      <c r="N48" s="2"/>
      <c r="O48" s="2"/>
      <c r="P48" s="2"/>
    </row>
    <row r="49" spans="1:16">
      <c r="A49" s="2"/>
      <c r="B49" s="2"/>
      <c r="C49" s="2"/>
      <c r="D49" s="2"/>
      <c r="E49" s="2"/>
      <c r="F49" s="2"/>
      <c r="G49" s="2"/>
      <c r="H49" s="2" t="s">
        <v>292</v>
      </c>
      <c r="I49" s="2" t="s">
        <v>135</v>
      </c>
      <c r="J49" s="2" t="s">
        <v>293</v>
      </c>
      <c r="K49" s="2" t="s">
        <v>182</v>
      </c>
      <c r="L49" s="2" t="s">
        <v>143</v>
      </c>
      <c r="M49" s="2"/>
      <c r="N49" s="2"/>
      <c r="O49" s="2"/>
      <c r="P49" s="2"/>
    </row>
    <row r="50" spans="1:16">
      <c r="A50" s="2"/>
      <c r="B50" s="2"/>
      <c r="C50" s="2"/>
      <c r="D50" s="2"/>
      <c r="E50" s="2"/>
      <c r="F50" s="2"/>
      <c r="G50" s="2"/>
      <c r="H50" s="2" t="s">
        <v>294</v>
      </c>
      <c r="I50" s="2" t="s">
        <v>135</v>
      </c>
      <c r="J50" s="2" t="s">
        <v>295</v>
      </c>
      <c r="K50" s="2" t="s">
        <v>142</v>
      </c>
      <c r="L50" s="2" t="s">
        <v>143</v>
      </c>
      <c r="M50" s="2"/>
      <c r="N50" s="2"/>
      <c r="O50" s="2"/>
      <c r="P50" s="2"/>
    </row>
    <row r="51" spans="1:16">
      <c r="A51" s="2"/>
      <c r="B51" s="2"/>
      <c r="C51" s="2"/>
      <c r="D51" s="2"/>
      <c r="E51" s="2"/>
      <c r="F51" s="2"/>
      <c r="G51" s="2"/>
      <c r="H51" s="2" t="s">
        <v>296</v>
      </c>
      <c r="I51" s="2" t="s">
        <v>135</v>
      </c>
      <c r="J51" s="2" t="s">
        <v>297</v>
      </c>
      <c r="K51" s="2" t="s">
        <v>142</v>
      </c>
      <c r="L51" s="2" t="s">
        <v>143</v>
      </c>
      <c r="M51" s="2"/>
      <c r="N51" s="2"/>
      <c r="O51" s="2"/>
      <c r="P51" s="2"/>
    </row>
    <row r="52" spans="1:16">
      <c r="A52" s="2"/>
      <c r="B52" s="2"/>
      <c r="C52" s="2"/>
      <c r="D52" s="2"/>
      <c r="E52" s="2"/>
      <c r="F52" s="2"/>
      <c r="G52" s="2"/>
      <c r="H52" s="2" t="s">
        <v>298</v>
      </c>
      <c r="I52" s="2" t="s">
        <v>135</v>
      </c>
      <c r="J52" s="2" t="s">
        <v>299</v>
      </c>
      <c r="K52" s="2" t="s">
        <v>142</v>
      </c>
      <c r="L52" s="2" t="s">
        <v>143</v>
      </c>
      <c r="M52" s="2"/>
      <c r="N52" s="2"/>
      <c r="O52" s="2"/>
      <c r="P52" s="2"/>
    </row>
    <row r="53" spans="1:16">
      <c r="A53" s="2"/>
      <c r="B53" s="2"/>
      <c r="C53" s="2"/>
      <c r="D53" s="2"/>
      <c r="E53" s="2"/>
      <c r="F53" s="2"/>
      <c r="G53" s="2"/>
      <c r="H53" s="2" t="s">
        <v>300</v>
      </c>
      <c r="I53" s="2" t="s">
        <v>135</v>
      </c>
      <c r="J53" s="2" t="s">
        <v>301</v>
      </c>
      <c r="K53" s="2" t="s">
        <v>142</v>
      </c>
      <c r="L53" s="2" t="s">
        <v>143</v>
      </c>
      <c r="M53" s="2"/>
      <c r="N53" s="2"/>
      <c r="O53" s="2"/>
      <c r="P53" s="2"/>
    </row>
    <row r="54" spans="1:16">
      <c r="A54" s="2"/>
      <c r="B54" s="2"/>
      <c r="C54" s="2"/>
      <c r="D54" s="2"/>
      <c r="E54" s="2"/>
      <c r="F54" s="2"/>
      <c r="G54" s="2"/>
      <c r="H54" s="2" t="s">
        <v>140</v>
      </c>
      <c r="I54" s="2" t="s">
        <v>144</v>
      </c>
      <c r="J54" s="2" t="s">
        <v>302</v>
      </c>
      <c r="K54" s="2" t="s">
        <v>142</v>
      </c>
      <c r="L54" s="2" t="s">
        <v>303</v>
      </c>
      <c r="M54" s="2"/>
      <c r="N54" s="2" t="s">
        <v>304</v>
      </c>
      <c r="O54" s="2"/>
      <c r="P54" s="2"/>
    </row>
    <row r="55" spans="1:16">
      <c r="A55" s="2"/>
      <c r="B55" s="2"/>
      <c r="C55" s="2"/>
      <c r="D55" s="2"/>
      <c r="E55" s="2"/>
      <c r="F55" s="2"/>
      <c r="G55" s="2"/>
      <c r="H55" s="2" t="s">
        <v>305</v>
      </c>
      <c r="I55" s="2" t="s">
        <v>144</v>
      </c>
      <c r="J55" s="2" t="s">
        <v>306</v>
      </c>
      <c r="K55" s="2" t="s">
        <v>142</v>
      </c>
      <c r="L55" s="2" t="s">
        <v>307</v>
      </c>
      <c r="M55" s="2"/>
      <c r="N55" s="2" t="s">
        <v>308</v>
      </c>
      <c r="O55" s="2"/>
      <c r="P55" s="2"/>
    </row>
    <row r="56" spans="1:16">
      <c r="A56" s="2"/>
      <c r="B56" s="2"/>
      <c r="C56" s="2"/>
      <c r="D56" s="2"/>
      <c r="E56" s="2"/>
      <c r="F56" s="2"/>
      <c r="G56" s="2"/>
      <c r="H56" s="2" t="s">
        <v>309</v>
      </c>
      <c r="I56" s="2" t="s">
        <v>144</v>
      </c>
      <c r="J56" s="2" t="s">
        <v>310</v>
      </c>
      <c r="K56" s="2" t="s">
        <v>142</v>
      </c>
      <c r="L56" s="2" t="s">
        <v>311</v>
      </c>
      <c r="M56" s="2"/>
      <c r="N56" s="2" t="s">
        <v>312</v>
      </c>
      <c r="O56" s="2"/>
      <c r="P56" s="2"/>
    </row>
    <row r="57" spans="1:16">
      <c r="A57" s="2"/>
      <c r="B57" s="2"/>
      <c r="C57" s="2"/>
      <c r="D57" s="2"/>
      <c r="E57" s="2"/>
      <c r="F57" s="2"/>
      <c r="G57" s="2"/>
      <c r="H57" s="2" t="s">
        <v>47</v>
      </c>
      <c r="I57" s="2" t="s">
        <v>144</v>
      </c>
      <c r="J57" s="2" t="s">
        <v>313</v>
      </c>
      <c r="K57" s="2" t="s">
        <v>163</v>
      </c>
      <c r="L57" s="2" t="s">
        <v>314</v>
      </c>
      <c r="M57" s="2"/>
      <c r="N57" s="2" t="s">
        <v>315</v>
      </c>
      <c r="O57" s="2"/>
      <c r="P57" s="2"/>
    </row>
    <row r="58" spans="1:16">
      <c r="A58" s="2"/>
      <c r="B58" s="2"/>
      <c r="C58" s="2"/>
      <c r="D58" s="2"/>
      <c r="E58" s="2"/>
      <c r="F58" s="2"/>
      <c r="G58" s="2"/>
      <c r="H58" s="2" t="s">
        <v>316</v>
      </c>
      <c r="I58" s="2" t="s">
        <v>144</v>
      </c>
      <c r="J58" s="2" t="s">
        <v>317</v>
      </c>
      <c r="K58" s="2" t="s">
        <v>142</v>
      </c>
      <c r="L58" s="2" t="s">
        <v>318</v>
      </c>
      <c r="M58" s="2"/>
      <c r="N58" s="2" t="s">
        <v>319</v>
      </c>
      <c r="O58" s="2"/>
      <c r="P58" s="2"/>
    </row>
    <row r="59" spans="1:16">
      <c r="A59" s="2"/>
      <c r="B59" s="2"/>
      <c r="C59" s="2"/>
      <c r="D59" s="2"/>
      <c r="E59" s="2"/>
      <c r="F59" s="2"/>
      <c r="G59" s="2"/>
      <c r="H59" s="2" t="s">
        <v>320</v>
      </c>
      <c r="I59" s="2" t="s">
        <v>144</v>
      </c>
      <c r="J59" s="2" t="s">
        <v>321</v>
      </c>
      <c r="K59" s="2" t="s">
        <v>142</v>
      </c>
      <c r="L59" s="2" t="s">
        <v>322</v>
      </c>
      <c r="M59" s="2"/>
      <c r="N59" s="2" t="s">
        <v>323</v>
      </c>
      <c r="O59" s="2"/>
      <c r="P59" s="2"/>
    </row>
    <row r="60" spans="1:16">
      <c r="A60" s="2"/>
      <c r="B60" s="2"/>
      <c r="C60" s="2"/>
      <c r="D60" s="2"/>
      <c r="E60" s="2"/>
      <c r="F60" s="2"/>
      <c r="G60" s="2"/>
      <c r="H60" s="2" t="s">
        <v>324</v>
      </c>
      <c r="I60" s="2" t="s">
        <v>144</v>
      </c>
      <c r="J60" s="2" t="s">
        <v>325</v>
      </c>
      <c r="K60" s="2" t="s">
        <v>142</v>
      </c>
      <c r="L60" s="2" t="s">
        <v>326</v>
      </c>
      <c r="M60" s="2"/>
      <c r="N60" s="2" t="s">
        <v>327</v>
      </c>
      <c r="O60" s="2"/>
      <c r="P60" s="2"/>
    </row>
    <row r="61" spans="1:16">
      <c r="A61" s="2"/>
      <c r="B61" s="2"/>
      <c r="C61" s="2"/>
      <c r="D61" s="2"/>
      <c r="E61" s="2"/>
      <c r="F61" s="2"/>
      <c r="G61" s="2"/>
      <c r="H61" s="2" t="s">
        <v>51</v>
      </c>
      <c r="I61" s="2" t="s">
        <v>144</v>
      </c>
      <c r="J61" s="2" t="s">
        <v>328</v>
      </c>
      <c r="K61" s="2" t="s">
        <v>142</v>
      </c>
      <c r="L61" s="2" t="s">
        <v>329</v>
      </c>
      <c r="M61" s="2"/>
      <c r="N61" s="2" t="s">
        <v>330</v>
      </c>
      <c r="O61" s="2"/>
      <c r="P61" s="2"/>
    </row>
    <row r="62" spans="1:16">
      <c r="A62" s="2"/>
      <c r="B62" s="2"/>
      <c r="C62" s="2"/>
      <c r="D62" s="2"/>
      <c r="E62" s="2"/>
      <c r="F62" s="2"/>
      <c r="G62" s="2"/>
      <c r="H62" s="2" t="s">
        <v>331</v>
      </c>
      <c r="I62" s="2" t="s">
        <v>144</v>
      </c>
      <c r="J62" s="2" t="s">
        <v>332</v>
      </c>
      <c r="K62" s="2" t="s">
        <v>142</v>
      </c>
      <c r="L62" s="2" t="s">
        <v>333</v>
      </c>
      <c r="M62" s="2"/>
      <c r="N62" s="2" t="s">
        <v>334</v>
      </c>
      <c r="O62" s="2"/>
      <c r="P62" s="2"/>
    </row>
    <row r="63" spans="1:16">
      <c r="A63" s="2"/>
      <c r="B63" s="2"/>
      <c r="C63" s="2"/>
      <c r="D63" s="2"/>
      <c r="E63" s="2"/>
      <c r="F63" s="2"/>
      <c r="G63" s="2"/>
      <c r="H63" s="2" t="s">
        <v>125</v>
      </c>
      <c r="I63" s="2" t="s">
        <v>144</v>
      </c>
      <c r="J63" s="2" t="s">
        <v>335</v>
      </c>
      <c r="K63" s="2" t="s">
        <v>336</v>
      </c>
      <c r="L63" s="2" t="s">
        <v>337</v>
      </c>
      <c r="M63" s="2" t="s">
        <v>338</v>
      </c>
      <c r="N63" s="2" t="s">
        <v>339</v>
      </c>
      <c r="O63" s="2"/>
      <c r="P63" s="2"/>
    </row>
    <row r="64" spans="1:16">
      <c r="A64" s="2"/>
      <c r="B64" s="2"/>
      <c r="C64" s="2"/>
      <c r="D64" s="2"/>
      <c r="E64" s="2"/>
      <c r="F64" s="2"/>
      <c r="G64" s="2"/>
      <c r="H64" s="2" t="s">
        <v>340</v>
      </c>
      <c r="I64" s="2" t="s">
        <v>144</v>
      </c>
      <c r="J64" s="2" t="s">
        <v>341</v>
      </c>
      <c r="K64" s="2" t="s">
        <v>163</v>
      </c>
      <c r="L64" s="2" t="s">
        <v>342</v>
      </c>
      <c r="M64" s="2"/>
      <c r="N64" s="2" t="s">
        <v>343</v>
      </c>
      <c r="O64" s="2"/>
      <c r="P64" s="2"/>
    </row>
    <row r="65" spans="1:16">
      <c r="A65" s="2"/>
      <c r="B65" s="2"/>
      <c r="C65" s="2"/>
      <c r="D65" s="2"/>
      <c r="E65" s="2"/>
      <c r="F65" s="2"/>
      <c r="G65" s="2"/>
      <c r="H65" s="2" t="s">
        <v>38</v>
      </c>
      <c r="I65" s="2" t="s">
        <v>144</v>
      </c>
      <c r="J65" s="2" t="s">
        <v>344</v>
      </c>
      <c r="K65" s="2" t="s">
        <v>163</v>
      </c>
      <c r="L65" s="2" t="s">
        <v>345</v>
      </c>
      <c r="M65" s="2" t="s">
        <v>338</v>
      </c>
      <c r="N65" s="2" t="s">
        <v>346</v>
      </c>
      <c r="O65" s="2"/>
      <c r="P65" s="2"/>
    </row>
    <row r="66" spans="1:16">
      <c r="A66" s="2"/>
      <c r="B66" s="2"/>
      <c r="C66" s="2"/>
      <c r="D66" s="2"/>
      <c r="E66" s="2"/>
      <c r="F66" s="2"/>
      <c r="G66" s="2"/>
      <c r="H66" s="2" t="s">
        <v>347</v>
      </c>
      <c r="I66" s="2" t="s">
        <v>144</v>
      </c>
      <c r="J66" s="2" t="s">
        <v>348</v>
      </c>
      <c r="K66" s="2" t="s">
        <v>163</v>
      </c>
      <c r="L66" s="2" t="s">
        <v>349</v>
      </c>
      <c r="M66" s="2" t="s">
        <v>338</v>
      </c>
      <c r="N66" s="2" t="s">
        <v>350</v>
      </c>
      <c r="O66" s="2"/>
      <c r="P66" s="2"/>
    </row>
    <row r="67" spans="1:16">
      <c r="A67" s="2"/>
      <c r="B67" s="2"/>
      <c r="C67" s="2"/>
      <c r="D67" s="2"/>
      <c r="E67" s="2"/>
      <c r="F67" s="2"/>
      <c r="G67" s="2"/>
      <c r="H67" s="2" t="s">
        <v>351</v>
      </c>
      <c r="I67" s="2" t="s">
        <v>144</v>
      </c>
      <c r="J67" s="2" t="s">
        <v>352</v>
      </c>
      <c r="K67" s="2" t="s">
        <v>163</v>
      </c>
      <c r="L67" s="2" t="s">
        <v>353</v>
      </c>
      <c r="M67" s="2"/>
      <c r="N67" s="2" t="s">
        <v>354</v>
      </c>
      <c r="O67" s="2"/>
      <c r="P67" s="2"/>
    </row>
    <row r="68" spans="1:16">
      <c r="A68" s="2"/>
      <c r="B68" s="2"/>
      <c r="C68" s="2"/>
      <c r="D68" s="2"/>
      <c r="E68" s="2"/>
      <c r="F68" s="2"/>
      <c r="G68" s="2"/>
      <c r="H68" s="2" t="s">
        <v>355</v>
      </c>
      <c r="I68" s="2" t="s">
        <v>144</v>
      </c>
      <c r="J68" s="2" t="s">
        <v>356</v>
      </c>
      <c r="K68" s="2" t="s">
        <v>336</v>
      </c>
      <c r="L68" s="2" t="s">
        <v>357</v>
      </c>
      <c r="M68" s="2"/>
      <c r="N68" s="2" t="s">
        <v>358</v>
      </c>
      <c r="O68" s="2"/>
      <c r="P68" s="2"/>
    </row>
    <row r="69" spans="1:16">
      <c r="A69" s="2"/>
      <c r="B69" s="2"/>
      <c r="C69" s="2"/>
      <c r="D69" s="2"/>
      <c r="E69" s="2"/>
      <c r="F69" s="2"/>
      <c r="G69" s="2"/>
      <c r="H69" s="2" t="s">
        <v>359</v>
      </c>
      <c r="I69" s="2" t="s">
        <v>144</v>
      </c>
      <c r="J69" s="2" t="s">
        <v>360</v>
      </c>
      <c r="K69" s="2" t="s">
        <v>163</v>
      </c>
      <c r="L69" s="2" t="s">
        <v>361</v>
      </c>
      <c r="M69" s="2"/>
      <c r="N69" s="2" t="s">
        <v>362</v>
      </c>
      <c r="O69" s="2"/>
      <c r="P69" s="2"/>
    </row>
    <row r="70" spans="1:16">
      <c r="A70" s="2"/>
      <c r="B70" s="2"/>
      <c r="C70" s="2"/>
      <c r="D70" s="2"/>
      <c r="E70" s="2"/>
      <c r="F70" s="2"/>
      <c r="G70" s="2"/>
      <c r="H70" s="2" t="s">
        <v>363</v>
      </c>
      <c r="I70" s="2" t="s">
        <v>144</v>
      </c>
      <c r="J70" s="2" t="s">
        <v>364</v>
      </c>
      <c r="K70" s="2" t="s">
        <v>163</v>
      </c>
      <c r="L70" s="2" t="s">
        <v>365</v>
      </c>
      <c r="M70" s="2"/>
      <c r="N70" s="2" t="s">
        <v>366</v>
      </c>
      <c r="O70" s="2"/>
      <c r="P70" s="2"/>
    </row>
    <row r="71" spans="1:16">
      <c r="A71" s="2"/>
      <c r="B71" s="2"/>
      <c r="C71" s="2"/>
      <c r="D71" s="2"/>
      <c r="E71" s="2"/>
      <c r="F71" s="2"/>
      <c r="G71" s="2"/>
      <c r="H71" s="2" t="s">
        <v>367</v>
      </c>
      <c r="I71" s="2" t="s">
        <v>144</v>
      </c>
      <c r="J71" s="2" t="s">
        <v>368</v>
      </c>
      <c r="K71" s="2" t="s">
        <v>163</v>
      </c>
      <c r="L71" s="2" t="s">
        <v>369</v>
      </c>
      <c r="M71" s="2"/>
      <c r="N71" s="2" t="s">
        <v>370</v>
      </c>
      <c r="O71" s="2"/>
      <c r="P71" s="2"/>
    </row>
    <row r="72" spans="1:16">
      <c r="A72" s="2"/>
      <c r="B72" s="2"/>
      <c r="C72" s="2"/>
      <c r="D72" s="2"/>
      <c r="E72" s="2"/>
      <c r="F72" s="2"/>
      <c r="G72" s="2"/>
      <c r="H72" s="2" t="s">
        <v>140</v>
      </c>
      <c r="I72" s="2" t="s">
        <v>206</v>
      </c>
      <c r="J72" s="2" t="s">
        <v>371</v>
      </c>
      <c r="K72" s="2" t="s">
        <v>142</v>
      </c>
      <c r="L72" s="2" t="s">
        <v>372</v>
      </c>
      <c r="M72" s="2"/>
      <c r="N72" s="2"/>
      <c r="O72" s="2"/>
      <c r="P72" s="2"/>
    </row>
    <row r="73" spans="1:16">
      <c r="A73" s="2"/>
      <c r="B73" s="2"/>
      <c r="C73" s="2"/>
      <c r="D73" s="2"/>
      <c r="E73" s="2"/>
      <c r="F73" s="2"/>
      <c r="G73" s="2"/>
      <c r="H73" s="2" t="s">
        <v>90</v>
      </c>
      <c r="I73" s="2" t="s">
        <v>206</v>
      </c>
      <c r="J73" s="2" t="s">
        <v>373</v>
      </c>
      <c r="K73" s="2" t="s">
        <v>142</v>
      </c>
      <c r="L73" s="2" t="s">
        <v>372</v>
      </c>
      <c r="M73" s="2"/>
      <c r="N73" s="2"/>
      <c r="O73" s="2"/>
      <c r="P73" s="2"/>
    </row>
    <row r="74" spans="1:16">
      <c r="A74" s="2"/>
      <c r="B74" s="2"/>
      <c r="C74" s="2"/>
      <c r="D74" s="2"/>
      <c r="E74" s="2"/>
      <c r="F74" s="2"/>
      <c r="G74" s="2"/>
      <c r="H74" s="2" t="s">
        <v>305</v>
      </c>
      <c r="I74" s="2" t="s">
        <v>206</v>
      </c>
      <c r="J74" s="2" t="s">
        <v>374</v>
      </c>
      <c r="K74" s="2" t="s">
        <v>142</v>
      </c>
      <c r="L74" s="2" t="s">
        <v>372</v>
      </c>
      <c r="M74" s="2"/>
      <c r="N74" s="2"/>
      <c r="O74" s="2"/>
      <c r="P74" s="2"/>
    </row>
    <row r="75" spans="1:16">
      <c r="A75" s="2"/>
      <c r="B75" s="2"/>
      <c r="C75" s="2"/>
      <c r="D75" s="2"/>
      <c r="E75" s="2"/>
      <c r="F75" s="2"/>
      <c r="G75" s="2"/>
      <c r="H75" s="2" t="s">
        <v>375</v>
      </c>
      <c r="I75" s="2" t="s">
        <v>206</v>
      </c>
      <c r="J75" s="2" t="s">
        <v>376</v>
      </c>
      <c r="K75" s="2" t="s">
        <v>142</v>
      </c>
      <c r="L75" s="2" t="s">
        <v>372</v>
      </c>
      <c r="M75" s="2"/>
      <c r="N75" s="2"/>
      <c r="O75" s="2"/>
      <c r="P75" s="2"/>
    </row>
    <row r="76" spans="1:16">
      <c r="A76" s="2"/>
      <c r="B76" s="2"/>
      <c r="C76" s="2"/>
      <c r="D76" s="2"/>
      <c r="E76" s="2"/>
      <c r="F76" s="2"/>
      <c r="G76" s="2"/>
      <c r="H76" s="2" t="s">
        <v>331</v>
      </c>
      <c r="I76" s="2" t="s">
        <v>206</v>
      </c>
      <c r="J76" s="2" t="s">
        <v>377</v>
      </c>
      <c r="K76" s="2" t="s">
        <v>142</v>
      </c>
      <c r="L76" s="2" t="s">
        <v>372</v>
      </c>
      <c r="M76" s="2"/>
      <c r="N76" s="2"/>
      <c r="O76" s="2"/>
      <c r="P76" s="2"/>
    </row>
    <row r="77" spans="1:16">
      <c r="A77" s="2"/>
      <c r="B77" s="2"/>
      <c r="C77" s="2"/>
      <c r="D77" s="2"/>
      <c r="E77" s="2"/>
      <c r="F77" s="2"/>
      <c r="G77" s="2"/>
      <c r="H77" s="2" t="s">
        <v>378</v>
      </c>
      <c r="I77" s="2" t="s">
        <v>206</v>
      </c>
      <c r="J77" s="2" t="s">
        <v>379</v>
      </c>
      <c r="K77" s="2" t="s">
        <v>142</v>
      </c>
      <c r="L77" s="2" t="s">
        <v>372</v>
      </c>
      <c r="M77" s="2"/>
      <c r="N77" s="2"/>
      <c r="O77" s="2"/>
      <c r="P77" s="2"/>
    </row>
    <row r="78" spans="1:16">
      <c r="A78" s="2"/>
      <c r="B78" s="2"/>
      <c r="C78" s="2"/>
      <c r="D78" s="2"/>
      <c r="E78" s="2"/>
      <c r="F78" s="2"/>
      <c r="G78" s="2"/>
      <c r="H78" s="2" t="s">
        <v>380</v>
      </c>
      <c r="I78" s="2" t="s">
        <v>213</v>
      </c>
      <c r="J78" s="2" t="s">
        <v>381</v>
      </c>
      <c r="K78" s="2" t="s">
        <v>142</v>
      </c>
      <c r="L78" s="2" t="s">
        <v>382</v>
      </c>
      <c r="M78" s="2"/>
      <c r="N78" s="2" t="s">
        <v>383</v>
      </c>
      <c r="O78" s="2"/>
      <c r="P78" s="2"/>
    </row>
    <row r="79" spans="1:16">
      <c r="A79" s="2"/>
      <c r="B79" s="2"/>
      <c r="C79" s="2"/>
      <c r="D79" s="2"/>
      <c r="E79" s="2"/>
      <c r="F79" s="2"/>
      <c r="G79" s="2"/>
      <c r="H79" s="2" t="s">
        <v>384</v>
      </c>
      <c r="I79" s="2" t="s">
        <v>213</v>
      </c>
      <c r="J79" s="2" t="s">
        <v>385</v>
      </c>
      <c r="K79" s="2" t="s">
        <v>182</v>
      </c>
      <c r="L79" s="2" t="s">
        <v>386</v>
      </c>
      <c r="M79" s="2"/>
      <c r="N79" s="2" t="s">
        <v>387</v>
      </c>
      <c r="O79" s="2"/>
      <c r="P79" s="2"/>
    </row>
    <row r="80" spans="1:16">
      <c r="A80" s="2"/>
      <c r="B80" s="2"/>
      <c r="C80" s="2"/>
      <c r="D80" s="2"/>
      <c r="E80" s="2"/>
      <c r="F80" s="2"/>
      <c r="G80" s="2"/>
      <c r="H80" s="2" t="s">
        <v>388</v>
      </c>
      <c r="I80" s="2" t="s">
        <v>213</v>
      </c>
      <c r="J80" s="2" t="s">
        <v>389</v>
      </c>
      <c r="K80" s="2" t="s">
        <v>182</v>
      </c>
      <c r="L80" s="2" t="s">
        <v>390</v>
      </c>
      <c r="M80" s="2"/>
      <c r="N80" s="2" t="s">
        <v>391</v>
      </c>
      <c r="O80" s="2"/>
      <c r="P80" s="2"/>
    </row>
    <row r="81" spans="1:16">
      <c r="A81" s="2"/>
      <c r="B81" s="2"/>
      <c r="C81" s="2"/>
      <c r="D81" s="2"/>
      <c r="E81" s="2"/>
      <c r="F81" s="2"/>
      <c r="G81" s="2"/>
      <c r="H81" s="2" t="s">
        <v>305</v>
      </c>
      <c r="I81" s="2" t="s">
        <v>213</v>
      </c>
      <c r="J81" s="2" t="s">
        <v>392</v>
      </c>
      <c r="K81" s="2" t="s">
        <v>142</v>
      </c>
      <c r="L81" s="2" t="s">
        <v>393</v>
      </c>
      <c r="M81" s="2"/>
      <c r="N81" s="2" t="s">
        <v>394</v>
      </c>
      <c r="O81" s="2"/>
      <c r="P81" s="2"/>
    </row>
    <row r="82" spans="1:16">
      <c r="A82" s="2"/>
      <c r="B82" s="2"/>
      <c r="C82" s="2"/>
      <c r="D82" s="2"/>
      <c r="E82" s="2"/>
      <c r="F82" s="2"/>
      <c r="G82" s="2"/>
      <c r="H82" s="2" t="s">
        <v>375</v>
      </c>
      <c r="I82" s="2" t="s">
        <v>213</v>
      </c>
      <c r="J82" s="2" t="s">
        <v>395</v>
      </c>
      <c r="K82" s="2" t="s">
        <v>142</v>
      </c>
      <c r="L82" s="2" t="s">
        <v>396</v>
      </c>
      <c r="M82" s="2"/>
      <c r="N82" s="2" t="s">
        <v>397</v>
      </c>
      <c r="O82" s="2"/>
      <c r="P82" s="2"/>
    </row>
    <row r="83" spans="1:16">
      <c r="A83" s="2"/>
      <c r="B83" s="2"/>
      <c r="C83" s="2"/>
      <c r="D83" s="2"/>
      <c r="E83" s="2"/>
      <c r="F83" s="2"/>
      <c r="G83" s="2"/>
      <c r="H83" s="2" t="s">
        <v>331</v>
      </c>
      <c r="I83" s="2" t="s">
        <v>213</v>
      </c>
      <c r="J83" s="2" t="s">
        <v>398</v>
      </c>
      <c r="K83" s="2" t="s">
        <v>142</v>
      </c>
      <c r="L83" s="2" t="s">
        <v>399</v>
      </c>
      <c r="M83" s="2"/>
      <c r="N83" s="2" t="s">
        <v>400</v>
      </c>
      <c r="O83" s="2"/>
      <c r="P83" s="2"/>
    </row>
    <row r="84" spans="1:16">
      <c r="A84" s="2"/>
      <c r="B84" s="2"/>
      <c r="C84" s="2"/>
      <c r="D84" s="2"/>
      <c r="E84" s="2"/>
      <c r="F84" s="2"/>
      <c r="G84" s="2"/>
      <c r="H84" s="2" t="s">
        <v>92</v>
      </c>
      <c r="I84" s="2" t="s">
        <v>213</v>
      </c>
      <c r="J84" s="2" t="s">
        <v>401</v>
      </c>
      <c r="K84" s="2" t="s">
        <v>142</v>
      </c>
      <c r="L84" s="2" t="s">
        <v>402</v>
      </c>
      <c r="M84" s="2"/>
      <c r="N84" s="2" t="s">
        <v>403</v>
      </c>
      <c r="O84" s="2"/>
      <c r="P84" s="2"/>
    </row>
    <row r="85" spans="1:16">
      <c r="A85" s="2"/>
      <c r="B85" s="2"/>
      <c r="C85" s="2"/>
      <c r="D85" s="2"/>
      <c r="E85" s="2"/>
      <c r="F85" s="2"/>
      <c r="G85" s="2"/>
      <c r="H85" s="2" t="s">
        <v>125</v>
      </c>
      <c r="I85" s="2" t="s">
        <v>213</v>
      </c>
      <c r="J85" s="2" t="s">
        <v>404</v>
      </c>
      <c r="K85" s="2" t="s">
        <v>163</v>
      </c>
      <c r="L85" s="2" t="s">
        <v>405</v>
      </c>
      <c r="M85" s="2"/>
      <c r="N85" s="2" t="s">
        <v>406</v>
      </c>
      <c r="O85" s="2"/>
      <c r="P85" s="2"/>
    </row>
    <row r="86" spans="1:16">
      <c r="A86" s="2"/>
      <c r="B86" s="2"/>
      <c r="C86" s="2"/>
      <c r="D86" s="2"/>
      <c r="E86" s="2"/>
      <c r="F86" s="2"/>
      <c r="G86" s="2"/>
      <c r="H86" s="2" t="s">
        <v>407</v>
      </c>
      <c r="I86" s="2" t="s">
        <v>213</v>
      </c>
      <c r="J86" s="2" t="s">
        <v>408</v>
      </c>
      <c r="K86" s="2" t="s">
        <v>163</v>
      </c>
      <c r="L86" s="2" t="s">
        <v>409</v>
      </c>
      <c r="M86" s="2"/>
      <c r="N86" s="2" t="s">
        <v>410</v>
      </c>
      <c r="O86" s="2"/>
      <c r="P86" s="2"/>
    </row>
    <row r="87" spans="1:16">
      <c r="A87" s="2"/>
      <c r="B87" s="2"/>
      <c r="C87" s="2"/>
      <c r="D87" s="2"/>
      <c r="E87" s="2"/>
      <c r="F87" s="2"/>
      <c r="G87" s="2"/>
      <c r="H87" s="2" t="s">
        <v>411</v>
      </c>
      <c r="I87" s="2" t="s">
        <v>213</v>
      </c>
      <c r="J87" s="2" t="s">
        <v>412</v>
      </c>
      <c r="K87" s="2" t="s">
        <v>182</v>
      </c>
      <c r="L87" s="2" t="s">
        <v>413</v>
      </c>
      <c r="M87" s="2"/>
      <c r="N87" s="2" t="s">
        <v>414</v>
      </c>
      <c r="O87" s="2"/>
      <c r="P87" s="2"/>
    </row>
    <row r="88" spans="1:16">
      <c r="A88" s="2"/>
      <c r="B88" s="2"/>
      <c r="C88" s="2"/>
      <c r="D88" s="2"/>
      <c r="E88" s="2"/>
      <c r="F88" s="2"/>
      <c r="G88" s="2"/>
      <c r="H88" s="2" t="s">
        <v>415</v>
      </c>
      <c r="I88" s="2" t="s">
        <v>213</v>
      </c>
      <c r="J88" s="2" t="s">
        <v>416</v>
      </c>
      <c r="K88" s="2" t="s">
        <v>163</v>
      </c>
      <c r="L88" s="2" t="s">
        <v>417</v>
      </c>
      <c r="M88" s="2"/>
      <c r="N88" s="2" t="s">
        <v>418</v>
      </c>
      <c r="O88" s="2"/>
      <c r="P88" s="2"/>
    </row>
    <row r="89" spans="1:16">
      <c r="A89" s="2"/>
      <c r="B89" s="2"/>
      <c r="C89" s="2"/>
      <c r="D89" s="2"/>
      <c r="E89" s="2"/>
      <c r="F89" s="2"/>
      <c r="G89" s="2"/>
      <c r="H89" s="2" t="s">
        <v>419</v>
      </c>
      <c r="I89" s="2" t="s">
        <v>213</v>
      </c>
      <c r="J89" s="2" t="s">
        <v>420</v>
      </c>
      <c r="K89" s="2" t="s">
        <v>142</v>
      </c>
      <c r="L89" s="2" t="s">
        <v>421</v>
      </c>
      <c r="M89" s="2"/>
      <c r="N89" s="2" t="s">
        <v>422</v>
      </c>
      <c r="O89" s="2"/>
      <c r="P89" s="2"/>
    </row>
    <row r="90" spans="1:16">
      <c r="A90" s="2"/>
      <c r="B90" s="2"/>
      <c r="C90" s="2"/>
      <c r="D90" s="2"/>
      <c r="E90" s="2"/>
      <c r="F90" s="2"/>
      <c r="G90" s="2"/>
      <c r="H90" s="2" t="s">
        <v>423</v>
      </c>
      <c r="I90" s="2" t="s">
        <v>213</v>
      </c>
      <c r="J90" s="2" t="s">
        <v>424</v>
      </c>
      <c r="K90" s="2" t="s">
        <v>182</v>
      </c>
      <c r="L90" s="2" t="s">
        <v>425</v>
      </c>
      <c r="M90" s="2"/>
      <c r="N90" s="2" t="s">
        <v>426</v>
      </c>
      <c r="O90" s="2"/>
      <c r="P90" s="2"/>
    </row>
    <row r="91" spans="1:16">
      <c r="A91" s="2"/>
      <c r="B91" s="2"/>
      <c r="C91" s="2"/>
      <c r="D91" s="2"/>
      <c r="E91" s="2"/>
      <c r="F91" s="2"/>
      <c r="G91" s="2"/>
      <c r="H91" s="2" t="s">
        <v>427</v>
      </c>
      <c r="I91" s="2" t="s">
        <v>213</v>
      </c>
      <c r="J91" s="2" t="s">
        <v>428</v>
      </c>
      <c r="K91" s="2" t="s">
        <v>182</v>
      </c>
      <c r="L91" s="2" t="s">
        <v>429</v>
      </c>
      <c r="M91" s="2"/>
      <c r="N91" s="2" t="s">
        <v>430</v>
      </c>
      <c r="O91" s="2"/>
      <c r="P91" s="2"/>
    </row>
    <row r="92" spans="1:16">
      <c r="A92" s="2"/>
      <c r="B92" s="2"/>
      <c r="C92" s="2"/>
      <c r="D92" s="2"/>
      <c r="E92" s="2"/>
      <c r="F92" s="2"/>
      <c r="G92" s="2"/>
      <c r="H92" s="2" t="s">
        <v>431</v>
      </c>
      <c r="I92" s="2" t="s">
        <v>213</v>
      </c>
      <c r="J92" s="2" t="s">
        <v>432</v>
      </c>
      <c r="K92" s="2" t="s">
        <v>142</v>
      </c>
      <c r="L92" s="2" t="s">
        <v>433</v>
      </c>
      <c r="M92" s="2"/>
      <c r="N92" s="2" t="s">
        <v>434</v>
      </c>
      <c r="O92" s="2"/>
      <c r="P92" s="2"/>
    </row>
    <row r="93" spans="1:16">
      <c r="A93" s="2"/>
      <c r="B93" s="2"/>
      <c r="C93" s="2"/>
      <c r="D93" s="2"/>
      <c r="E93" s="2"/>
      <c r="F93" s="2"/>
      <c r="G93" s="2"/>
      <c r="H93" s="2" t="s">
        <v>435</v>
      </c>
      <c r="I93" s="2" t="s">
        <v>213</v>
      </c>
      <c r="J93" s="2" t="s">
        <v>436</v>
      </c>
      <c r="K93" s="2" t="s">
        <v>182</v>
      </c>
      <c r="L93" s="2" t="s">
        <v>437</v>
      </c>
      <c r="M93" s="2"/>
      <c r="N93" s="2" t="s">
        <v>438</v>
      </c>
      <c r="O93" s="2"/>
      <c r="P93" s="2"/>
    </row>
    <row r="94" spans="1:16">
      <c r="A94" s="2"/>
      <c r="B94" s="2"/>
      <c r="C94" s="2"/>
      <c r="D94" s="2"/>
      <c r="E94" s="2"/>
      <c r="F94" s="2"/>
      <c r="G94" s="2"/>
      <c r="H94" s="2" t="s">
        <v>351</v>
      </c>
      <c r="I94" s="2" t="s">
        <v>213</v>
      </c>
      <c r="J94" s="2" t="s">
        <v>439</v>
      </c>
      <c r="K94" s="2" t="s">
        <v>182</v>
      </c>
      <c r="L94" s="2" t="s">
        <v>440</v>
      </c>
      <c r="M94" s="2"/>
      <c r="N94" s="2" t="s">
        <v>441</v>
      </c>
      <c r="O94" s="2"/>
      <c r="P94" s="2"/>
    </row>
    <row r="95" spans="1:16">
      <c r="A95" s="2"/>
      <c r="B95" s="2"/>
      <c r="C95" s="2"/>
      <c r="D95" s="2"/>
      <c r="E95" s="2"/>
      <c r="F95" s="2"/>
      <c r="G95" s="2"/>
      <c r="H95" s="2" t="s">
        <v>442</v>
      </c>
      <c r="I95" s="2" t="s">
        <v>213</v>
      </c>
      <c r="J95" s="2" t="s">
        <v>443</v>
      </c>
      <c r="K95" s="2" t="s">
        <v>163</v>
      </c>
      <c r="L95" s="2" t="s">
        <v>444</v>
      </c>
      <c r="M95" s="2"/>
      <c r="N95" s="2" t="s">
        <v>445</v>
      </c>
      <c r="O95" s="2"/>
      <c r="P95" s="2"/>
    </row>
    <row r="96" spans="1:16">
      <c r="A96" s="2"/>
      <c r="B96" s="2"/>
      <c r="C96" s="2"/>
      <c r="D96" s="2"/>
      <c r="E96" s="2"/>
      <c r="F96" s="2"/>
      <c r="G96" s="2"/>
      <c r="H96" s="2" t="s">
        <v>446</v>
      </c>
      <c r="I96" s="2" t="s">
        <v>213</v>
      </c>
      <c r="J96" s="2" t="s">
        <v>447</v>
      </c>
      <c r="K96" s="2" t="s">
        <v>163</v>
      </c>
      <c r="L96" s="2" t="s">
        <v>448</v>
      </c>
      <c r="M96" s="2"/>
      <c r="N96" s="2" t="s">
        <v>449</v>
      </c>
      <c r="O96" s="2"/>
      <c r="P96" s="2"/>
    </row>
    <row r="97" spans="1:16">
      <c r="A97" s="2"/>
      <c r="B97" s="2"/>
      <c r="C97" s="2"/>
      <c r="D97" s="2"/>
      <c r="E97" s="2"/>
      <c r="F97" s="2"/>
      <c r="G97" s="2"/>
      <c r="H97" s="2" t="s">
        <v>450</v>
      </c>
      <c r="I97" s="2" t="s">
        <v>213</v>
      </c>
      <c r="J97" s="2" t="s">
        <v>451</v>
      </c>
      <c r="K97" s="2" t="s">
        <v>182</v>
      </c>
      <c r="L97" s="2" t="s">
        <v>452</v>
      </c>
      <c r="M97" s="2"/>
      <c r="N97" s="2" t="s">
        <v>453</v>
      </c>
      <c r="O97" s="2"/>
      <c r="P97" s="2"/>
    </row>
    <row r="98" spans="1:16">
      <c r="A98" s="2"/>
      <c r="B98" s="2"/>
      <c r="C98" s="2"/>
      <c r="D98" s="2"/>
      <c r="E98" s="2"/>
      <c r="F98" s="2"/>
      <c r="G98" s="2"/>
      <c r="H98" s="2" t="s">
        <v>363</v>
      </c>
      <c r="I98" s="2" t="s">
        <v>213</v>
      </c>
      <c r="J98" s="2" t="s">
        <v>454</v>
      </c>
      <c r="K98" s="2" t="s">
        <v>163</v>
      </c>
      <c r="L98" s="2" t="s">
        <v>455</v>
      </c>
      <c r="M98" s="2" t="s">
        <v>456</v>
      </c>
      <c r="N98" s="2" t="s">
        <v>457</v>
      </c>
      <c r="O98" s="2"/>
      <c r="P98" s="2"/>
    </row>
    <row r="99" spans="1:16">
      <c r="A99" s="2"/>
      <c r="B99" s="2"/>
      <c r="C99" s="2"/>
      <c r="D99" s="2"/>
      <c r="E99" s="2"/>
      <c r="F99" s="2"/>
      <c r="G99" s="2"/>
      <c r="H99" s="2" t="s">
        <v>458</v>
      </c>
      <c r="I99" s="2" t="s">
        <v>213</v>
      </c>
      <c r="J99" s="2" t="s">
        <v>459</v>
      </c>
      <c r="K99" s="2" t="s">
        <v>182</v>
      </c>
      <c r="L99" s="2" t="s">
        <v>460</v>
      </c>
      <c r="M99" s="2"/>
      <c r="N99" s="2" t="s">
        <v>461</v>
      </c>
      <c r="O99" s="2"/>
      <c r="P99" s="2"/>
    </row>
    <row r="100" spans="1:16">
      <c r="A100" s="2"/>
      <c r="B100" s="2"/>
      <c r="C100" s="2"/>
      <c r="D100" s="2"/>
      <c r="E100" s="2"/>
      <c r="F100" s="2"/>
      <c r="G100" s="2"/>
      <c r="H100" s="2" t="s">
        <v>462</v>
      </c>
      <c r="I100" s="2" t="s">
        <v>213</v>
      </c>
      <c r="J100" s="2" t="s">
        <v>463</v>
      </c>
      <c r="K100" s="2" t="s">
        <v>163</v>
      </c>
      <c r="L100" s="2" t="s">
        <v>464</v>
      </c>
      <c r="M100" s="2" t="s">
        <v>456</v>
      </c>
      <c r="N100" s="2" t="s">
        <v>465</v>
      </c>
      <c r="O100" s="2"/>
      <c r="P100" s="2"/>
    </row>
    <row r="101" spans="1:16">
      <c r="A101" s="2"/>
      <c r="B101" s="2"/>
      <c r="C101" s="2"/>
      <c r="D101" s="2"/>
      <c r="E101" s="2"/>
      <c r="F101" s="2"/>
      <c r="G101" s="2"/>
      <c r="H101" s="2" t="s">
        <v>140</v>
      </c>
      <c r="I101" s="2" t="s">
        <v>240</v>
      </c>
      <c r="J101" s="2" t="s">
        <v>466</v>
      </c>
      <c r="K101" s="2" t="s">
        <v>142</v>
      </c>
      <c r="L101" s="2" t="s">
        <v>467</v>
      </c>
      <c r="M101" s="2"/>
      <c r="N101" s="2"/>
      <c r="O101" s="2"/>
      <c r="P101" s="2"/>
    </row>
    <row r="102" spans="1:16">
      <c r="A102" s="2"/>
      <c r="B102" s="2"/>
      <c r="C102" s="2"/>
      <c r="D102" s="2"/>
      <c r="E102" s="2"/>
      <c r="F102" s="2"/>
      <c r="G102" s="2"/>
      <c r="H102" s="2" t="s">
        <v>149</v>
      </c>
      <c r="I102" s="2" t="s">
        <v>240</v>
      </c>
      <c r="J102" s="2" t="s">
        <v>468</v>
      </c>
      <c r="K102" s="2" t="s">
        <v>142</v>
      </c>
      <c r="L102" s="2" t="s">
        <v>467</v>
      </c>
      <c r="M102" s="2"/>
      <c r="N102" s="2"/>
      <c r="O102" s="2"/>
      <c r="P102" s="2"/>
    </row>
    <row r="103" spans="1:16">
      <c r="A103" s="2"/>
      <c r="B103" s="2"/>
      <c r="C103" s="2"/>
      <c r="D103" s="2"/>
      <c r="E103" s="2"/>
      <c r="F103" s="2"/>
      <c r="G103" s="2"/>
      <c r="H103" s="2" t="s">
        <v>155</v>
      </c>
      <c r="I103" s="2" t="s">
        <v>240</v>
      </c>
      <c r="J103" s="2" t="s">
        <v>469</v>
      </c>
      <c r="K103" s="2" t="s">
        <v>142</v>
      </c>
      <c r="L103" s="2" t="s">
        <v>467</v>
      </c>
      <c r="M103" s="2"/>
      <c r="N103" s="2"/>
      <c r="O103" s="2"/>
      <c r="P103" s="2"/>
    </row>
    <row r="104" spans="1:16">
      <c r="A104" s="2"/>
      <c r="B104" s="2"/>
      <c r="C104" s="2"/>
      <c r="D104" s="2"/>
      <c r="E104" s="2"/>
      <c r="F104" s="2"/>
      <c r="G104" s="2"/>
      <c r="H104" s="2" t="s">
        <v>161</v>
      </c>
      <c r="I104" s="2" t="s">
        <v>240</v>
      </c>
      <c r="J104" s="2" t="s">
        <v>470</v>
      </c>
      <c r="K104" s="2" t="s">
        <v>163</v>
      </c>
      <c r="L104" s="2" t="s">
        <v>467</v>
      </c>
      <c r="M104" s="2"/>
      <c r="N104" s="2"/>
      <c r="O104" s="2"/>
      <c r="P104" s="2"/>
    </row>
    <row r="105" spans="1:16">
      <c r="A105" s="2"/>
      <c r="B105" s="2"/>
      <c r="C105" s="2"/>
      <c r="D105" s="2"/>
      <c r="E105" s="2"/>
      <c r="F105" s="2"/>
      <c r="G105" s="2"/>
      <c r="H105" s="2" t="s">
        <v>471</v>
      </c>
      <c r="I105" s="2" t="s">
        <v>240</v>
      </c>
      <c r="J105" s="2" t="s">
        <v>470</v>
      </c>
      <c r="K105" s="2" t="s">
        <v>163</v>
      </c>
      <c r="L105" s="2" t="s">
        <v>467</v>
      </c>
      <c r="M105" s="2"/>
      <c r="N105" s="2"/>
      <c r="O105" s="2"/>
      <c r="P105" s="2"/>
    </row>
    <row r="106" spans="1:16">
      <c r="A106" s="2"/>
      <c r="B106" s="2"/>
      <c r="C106" s="2"/>
      <c r="D106" s="2"/>
      <c r="E106" s="2"/>
      <c r="F106" s="2"/>
      <c r="G106" s="2"/>
      <c r="H106" s="2" t="s">
        <v>187</v>
      </c>
      <c r="I106" s="2" t="s">
        <v>240</v>
      </c>
      <c r="J106" s="2" t="s">
        <v>467</v>
      </c>
      <c r="K106" s="2" t="s">
        <v>142</v>
      </c>
      <c r="L106" s="2" t="s">
        <v>467</v>
      </c>
      <c r="M106" s="2"/>
      <c r="N106" s="2"/>
      <c r="O106" s="2"/>
      <c r="P106" s="2"/>
    </row>
    <row r="107" spans="1:16">
      <c r="A107" s="2"/>
      <c r="B107" s="2"/>
      <c r="C107" s="2"/>
      <c r="D107" s="2"/>
      <c r="E107" s="2"/>
      <c r="F107" s="2"/>
      <c r="G107" s="2"/>
      <c r="H107" s="2" t="s">
        <v>204</v>
      </c>
      <c r="I107" s="2" t="s">
        <v>240</v>
      </c>
      <c r="J107" s="2" t="s">
        <v>472</v>
      </c>
      <c r="K107" s="2" t="s">
        <v>163</v>
      </c>
      <c r="L107" s="2" t="s">
        <v>467</v>
      </c>
      <c r="M107" s="2"/>
      <c r="N107" s="2"/>
      <c r="O107" s="2"/>
      <c r="P107" s="2"/>
    </row>
    <row r="108" spans="1:16">
      <c r="A108" s="2"/>
      <c r="B108" s="2"/>
      <c r="C108" s="2"/>
      <c r="D108" s="2"/>
      <c r="E108" s="2"/>
      <c r="F108" s="2"/>
      <c r="G108" s="2"/>
      <c r="H108" s="2" t="s">
        <v>174</v>
      </c>
      <c r="I108" s="2" t="s">
        <v>240</v>
      </c>
      <c r="J108" s="2" t="s">
        <v>473</v>
      </c>
      <c r="K108" s="2" t="s">
        <v>163</v>
      </c>
      <c r="L108" s="2" t="s">
        <v>467</v>
      </c>
      <c r="M108" s="2"/>
      <c r="N108" s="2"/>
      <c r="O108" s="2"/>
      <c r="P108" s="2"/>
    </row>
    <row r="109" spans="1:16">
      <c r="A109" s="2"/>
      <c r="B109" s="2"/>
      <c r="C109" s="2"/>
      <c r="D109" s="2"/>
      <c r="E109" s="2"/>
      <c r="F109" s="2"/>
      <c r="G109" s="2"/>
      <c r="H109" s="2" t="s">
        <v>180</v>
      </c>
      <c r="I109" s="2" t="s">
        <v>240</v>
      </c>
      <c r="J109" s="2" t="s">
        <v>474</v>
      </c>
      <c r="K109" s="2" t="s">
        <v>182</v>
      </c>
      <c r="L109" s="2" t="s">
        <v>467</v>
      </c>
      <c r="M109" s="2"/>
      <c r="N109" s="2"/>
      <c r="O109" s="2"/>
      <c r="P109" s="2"/>
    </row>
    <row r="110" spans="1:16">
      <c r="A110" s="2"/>
      <c r="B110" s="2"/>
      <c r="C110" s="2"/>
      <c r="D110" s="2"/>
      <c r="E110" s="2"/>
      <c r="F110" s="2"/>
      <c r="G110" s="2"/>
      <c r="H110" s="2" t="s">
        <v>90</v>
      </c>
      <c r="I110" s="2" t="s">
        <v>257</v>
      </c>
      <c r="J110" s="2" t="s">
        <v>475</v>
      </c>
      <c r="K110" s="2" t="s">
        <v>142</v>
      </c>
      <c r="L110" s="2" t="s">
        <v>476</v>
      </c>
      <c r="M110" s="2"/>
      <c r="N110" s="2"/>
      <c r="O110" s="2"/>
      <c r="P110" s="2"/>
    </row>
    <row r="111" spans="1:16">
      <c r="A111" s="2"/>
      <c r="B111" s="2"/>
      <c r="C111" s="2"/>
      <c r="D111" s="2"/>
      <c r="E111" s="2"/>
      <c r="F111" s="2"/>
      <c r="G111" s="2"/>
      <c r="H111" s="2" t="s">
        <v>305</v>
      </c>
      <c r="I111" s="2" t="s">
        <v>257</v>
      </c>
      <c r="J111" s="2" t="s">
        <v>477</v>
      </c>
      <c r="K111" s="2" t="s">
        <v>142</v>
      </c>
      <c r="L111" s="2" t="s">
        <v>478</v>
      </c>
      <c r="M111" s="2"/>
      <c r="N111" s="2"/>
      <c r="O111" s="2"/>
      <c r="P111" s="2"/>
    </row>
    <row r="112" spans="1:16">
      <c r="A112" s="2"/>
      <c r="B112" s="2"/>
      <c r="C112" s="2"/>
      <c r="D112" s="2"/>
      <c r="E112" s="2"/>
      <c r="F112" s="2"/>
      <c r="G112" s="2"/>
      <c r="H112" s="2" t="s">
        <v>380</v>
      </c>
      <c r="I112" s="2" t="s">
        <v>257</v>
      </c>
      <c r="J112" s="2" t="s">
        <v>479</v>
      </c>
      <c r="K112" s="2" t="s">
        <v>142</v>
      </c>
      <c r="L112" s="2" t="s">
        <v>480</v>
      </c>
      <c r="M112" s="2"/>
      <c r="N112" s="2"/>
      <c r="O112" s="2"/>
      <c r="P112" s="2"/>
    </row>
    <row r="113" spans="1:16">
      <c r="A113" s="2"/>
      <c r="B113" s="2"/>
      <c r="C113" s="2"/>
      <c r="D113" s="2"/>
      <c r="E113" s="2"/>
      <c r="F113" s="2"/>
      <c r="G113" s="2"/>
      <c r="H113" s="2" t="s">
        <v>481</v>
      </c>
      <c r="I113" s="2" t="s">
        <v>257</v>
      </c>
      <c r="J113" s="2" t="s">
        <v>482</v>
      </c>
      <c r="K113" s="2" t="s">
        <v>142</v>
      </c>
      <c r="L113" s="2" t="s">
        <v>483</v>
      </c>
      <c r="M113" s="2"/>
      <c r="N113" s="2"/>
      <c r="O113" s="2"/>
      <c r="P113" s="2"/>
    </row>
    <row r="114" spans="1:16">
      <c r="A114" s="2"/>
      <c r="B114" s="2"/>
      <c r="C114" s="2"/>
      <c r="D114" s="2"/>
      <c r="E114" s="2"/>
      <c r="F114" s="2"/>
      <c r="G114" s="2"/>
      <c r="H114" s="2" t="s">
        <v>388</v>
      </c>
      <c r="I114" s="2" t="s">
        <v>257</v>
      </c>
      <c r="J114" s="2" t="s">
        <v>484</v>
      </c>
      <c r="K114" s="2" t="s">
        <v>163</v>
      </c>
      <c r="L114" s="2" t="s">
        <v>485</v>
      </c>
      <c r="M114" s="2"/>
      <c r="N114" s="2"/>
      <c r="O114" s="2"/>
      <c r="P114" s="2"/>
    </row>
    <row r="115" spans="1:16">
      <c r="A115" s="2"/>
      <c r="B115" s="2"/>
      <c r="C115" s="2"/>
      <c r="D115" s="2"/>
      <c r="E115" s="2"/>
      <c r="F115" s="2"/>
      <c r="G115" s="2"/>
      <c r="H115" s="2" t="s">
        <v>486</v>
      </c>
      <c r="I115" s="2" t="s">
        <v>257</v>
      </c>
      <c r="J115" s="2" t="s">
        <v>487</v>
      </c>
      <c r="K115" s="2" t="s">
        <v>142</v>
      </c>
      <c r="L115" s="2" t="s">
        <v>488</v>
      </c>
      <c r="M115" s="2"/>
      <c r="N115" s="2"/>
      <c r="O115" s="2"/>
      <c r="P115" s="2"/>
    </row>
    <row r="116" spans="1:16">
      <c r="A116" s="2"/>
      <c r="B116" s="2"/>
      <c r="C116" s="2"/>
      <c r="D116" s="2"/>
      <c r="E116" s="2"/>
      <c r="F116" s="2"/>
      <c r="G116" s="2"/>
      <c r="H116" s="2" t="s">
        <v>92</v>
      </c>
      <c r="I116" s="2" t="s">
        <v>257</v>
      </c>
      <c r="J116" s="2" t="s">
        <v>489</v>
      </c>
      <c r="K116" s="2" t="s">
        <v>142</v>
      </c>
      <c r="L116" s="2" t="s">
        <v>490</v>
      </c>
      <c r="M116" s="2"/>
      <c r="N116" s="2"/>
      <c r="O116" s="2"/>
      <c r="P116" s="2"/>
    </row>
    <row r="117" spans="1:16">
      <c r="A117" s="2"/>
      <c r="B117" s="2"/>
      <c r="C117" s="2"/>
      <c r="D117" s="2"/>
      <c r="E117" s="2"/>
      <c r="F117" s="2"/>
      <c r="G117" s="2"/>
      <c r="H117" s="2" t="s">
        <v>491</v>
      </c>
      <c r="I117" s="2" t="s">
        <v>257</v>
      </c>
      <c r="J117" s="2" t="s">
        <v>492</v>
      </c>
      <c r="K117" s="2" t="s">
        <v>142</v>
      </c>
      <c r="L117" s="2" t="s">
        <v>493</v>
      </c>
      <c r="M117" s="2"/>
      <c r="N117" s="2"/>
      <c r="O117" s="2"/>
      <c r="P117" s="2"/>
    </row>
    <row r="118" spans="1:16">
      <c r="A118" s="2"/>
      <c r="B118" s="2"/>
      <c r="C118" s="2"/>
      <c r="D118" s="2"/>
      <c r="E118" s="2"/>
      <c r="F118" s="2"/>
      <c r="G118" s="2"/>
      <c r="H118" s="2" t="s">
        <v>494</v>
      </c>
      <c r="I118" s="2" t="s">
        <v>257</v>
      </c>
      <c r="J118" s="2" t="s">
        <v>495</v>
      </c>
      <c r="K118" s="2" t="s">
        <v>142</v>
      </c>
      <c r="L118" s="2" t="s">
        <v>496</v>
      </c>
      <c r="M118" s="2"/>
      <c r="N118" s="2"/>
      <c r="O118" s="2"/>
      <c r="P118" s="2"/>
    </row>
    <row r="119" spans="1:16">
      <c r="A119" s="2"/>
      <c r="B119" s="2"/>
      <c r="C119" s="2"/>
      <c r="D119" s="2"/>
      <c r="E119" s="2"/>
      <c r="F119" s="2"/>
      <c r="G119" s="2"/>
      <c r="H119" s="2" t="s">
        <v>497</v>
      </c>
      <c r="I119" s="2" t="s">
        <v>257</v>
      </c>
      <c r="J119" s="2" t="s">
        <v>498</v>
      </c>
      <c r="K119" s="2" t="s">
        <v>142</v>
      </c>
      <c r="L119" s="2" t="s">
        <v>499</v>
      </c>
      <c r="M119" s="2"/>
      <c r="N119" s="2"/>
      <c r="O119" s="2"/>
      <c r="P119" s="2"/>
    </row>
    <row r="120" spans="1:16">
      <c r="A120" s="2"/>
      <c r="B120" s="2"/>
      <c r="C120" s="2"/>
      <c r="D120" s="2"/>
      <c r="E120" s="2"/>
      <c r="F120" s="2"/>
      <c r="G120" s="2"/>
      <c r="H120" s="2" t="s">
        <v>140</v>
      </c>
      <c r="I120" s="2" t="s">
        <v>257</v>
      </c>
      <c r="J120" s="2" t="s">
        <v>500</v>
      </c>
      <c r="K120" s="2" t="s">
        <v>142</v>
      </c>
      <c r="L120" s="2"/>
      <c r="M120" s="2"/>
      <c r="N120" s="2"/>
      <c r="O120" s="2"/>
      <c r="P120" s="2"/>
    </row>
    <row r="121" spans="1:16">
      <c r="A121" s="1"/>
      <c r="B121" s="1"/>
      <c r="C121" s="1"/>
      <c r="D121" s="1"/>
      <c r="E121" s="1"/>
      <c r="F121" s="1"/>
      <c r="G121" s="1"/>
      <c r="H121" s="1" t="s">
        <v>471</v>
      </c>
      <c r="I121" s="1" t="s">
        <v>264</v>
      </c>
      <c r="J121" s="1" t="s">
        <v>501</v>
      </c>
      <c r="K121" s="1" t="s">
        <v>163</v>
      </c>
      <c r="L121" s="1" t="s">
        <v>502</v>
      </c>
      <c r="M121" s="1"/>
      <c r="N121" s="1"/>
    </row>
    <row r="122" spans="1:16">
      <c r="A122" s="1"/>
      <c r="B122" s="1"/>
      <c r="C122" s="1"/>
      <c r="D122" s="1"/>
      <c r="E122" s="1"/>
      <c r="F122" s="1"/>
      <c r="G122" s="1"/>
      <c r="H122" s="1" t="s">
        <v>125</v>
      </c>
      <c r="I122" s="1" t="s">
        <v>264</v>
      </c>
      <c r="J122" s="1" t="s">
        <v>503</v>
      </c>
      <c r="K122" s="1" t="s">
        <v>163</v>
      </c>
      <c r="L122" s="1" t="s">
        <v>502</v>
      </c>
      <c r="M122" s="1"/>
      <c r="N122" s="1"/>
    </row>
    <row r="123" spans="1:16">
      <c r="A123" s="1"/>
      <c r="B123" s="1"/>
      <c r="C123" s="1"/>
      <c r="D123" s="1"/>
      <c r="E123" s="1"/>
      <c r="F123" s="1"/>
      <c r="G123" s="1"/>
      <c r="H123" s="1" t="s">
        <v>355</v>
      </c>
      <c r="I123" s="1" t="s">
        <v>264</v>
      </c>
      <c r="J123" s="1" t="s">
        <v>504</v>
      </c>
      <c r="K123" s="1" t="s">
        <v>163</v>
      </c>
      <c r="L123" s="1" t="s">
        <v>502</v>
      </c>
      <c r="M123" s="1"/>
      <c r="N123" s="1"/>
    </row>
    <row r="124" spans="1:16">
      <c r="A124" s="1"/>
      <c r="B124" s="1"/>
      <c r="C124" s="1"/>
      <c r="D124" s="1"/>
      <c r="E124" s="1"/>
      <c r="F124" s="1"/>
      <c r="G124" s="1"/>
      <c r="H124" s="1" t="s">
        <v>505</v>
      </c>
      <c r="I124" s="1" t="s">
        <v>164</v>
      </c>
      <c r="J124" s="1" t="s">
        <v>506</v>
      </c>
      <c r="K124" s="1" t="s">
        <v>142</v>
      </c>
      <c r="L124" s="1"/>
      <c r="M124" s="1"/>
      <c r="N124" s="1"/>
    </row>
    <row r="125" spans="1:16">
      <c r="A125" s="1"/>
      <c r="B125" s="1"/>
      <c r="C125" s="1"/>
      <c r="D125" s="1"/>
      <c r="E125" s="1"/>
      <c r="F125" s="1"/>
      <c r="G125" s="1"/>
      <c r="H125" s="1" t="s">
        <v>507</v>
      </c>
      <c r="I125" s="1" t="s">
        <v>164</v>
      </c>
      <c r="J125" s="1" t="s">
        <v>508</v>
      </c>
      <c r="K125" s="1" t="s">
        <v>142</v>
      </c>
      <c r="L125" s="1"/>
      <c r="M125" s="1"/>
      <c r="N125" s="1"/>
    </row>
    <row r="126" spans="1:16">
      <c r="A126" s="1"/>
      <c r="B126" s="1"/>
      <c r="C126" s="1"/>
      <c r="D126" s="1"/>
      <c r="E126" s="1"/>
      <c r="F126" s="1"/>
      <c r="G126" s="1"/>
      <c r="H126" s="1" t="s">
        <v>509</v>
      </c>
      <c r="I126" s="1" t="s">
        <v>164</v>
      </c>
      <c r="J126" s="1" t="s">
        <v>510</v>
      </c>
      <c r="K126" s="1" t="s">
        <v>142</v>
      </c>
      <c r="L126" s="1"/>
      <c r="M126" s="1"/>
      <c r="N126" s="1"/>
    </row>
    <row r="127" spans="1:16">
      <c r="A127" s="1"/>
      <c r="B127" s="1"/>
      <c r="C127" s="1"/>
      <c r="D127" s="1"/>
      <c r="E127" s="1"/>
      <c r="F127" s="1"/>
      <c r="G127" s="1"/>
      <c r="H127" s="1" t="s">
        <v>511</v>
      </c>
      <c r="I127" s="1" t="s">
        <v>164</v>
      </c>
      <c r="J127" s="1" t="s">
        <v>512</v>
      </c>
      <c r="K127" s="1" t="s">
        <v>142</v>
      </c>
      <c r="L127" s="1"/>
      <c r="M127" s="1"/>
      <c r="N127" s="1"/>
    </row>
    <row r="128" spans="1:16">
      <c r="A128" s="1"/>
      <c r="B128" s="1"/>
      <c r="C128" s="1"/>
      <c r="D128" s="1"/>
      <c r="E128" s="1"/>
      <c r="F128" s="1"/>
      <c r="G128" s="1"/>
      <c r="H128" s="1" t="s">
        <v>513</v>
      </c>
      <c r="I128" s="1" t="s">
        <v>188</v>
      </c>
      <c r="J128" s="1" t="s">
        <v>514</v>
      </c>
      <c r="K128" s="1" t="s">
        <v>163</v>
      </c>
      <c r="L128" s="1" t="s">
        <v>515</v>
      </c>
      <c r="M128" s="1"/>
      <c r="N128" s="1"/>
    </row>
    <row r="129" spans="1:14">
      <c r="A129" s="1"/>
      <c r="B129" s="1"/>
      <c r="C129" s="1"/>
      <c r="D129" s="1"/>
      <c r="E129" s="1"/>
      <c r="F129" s="1"/>
      <c r="G129" s="1"/>
      <c r="H129" s="1" t="s">
        <v>516</v>
      </c>
      <c r="I129" s="1" t="s">
        <v>188</v>
      </c>
      <c r="J129" s="1" t="s">
        <v>517</v>
      </c>
      <c r="K129" s="1" t="s">
        <v>163</v>
      </c>
      <c r="L129" s="1" t="s">
        <v>515</v>
      </c>
      <c r="M129" s="1"/>
      <c r="N129" s="1"/>
    </row>
    <row r="130" spans="1:14">
      <c r="A130" s="1"/>
      <c r="B130" s="1"/>
      <c r="C130" s="1"/>
      <c r="D130" s="1"/>
      <c r="E130" s="1"/>
      <c r="F130" s="1"/>
      <c r="G130" s="1"/>
      <c r="H130" s="1" t="s">
        <v>518</v>
      </c>
      <c r="I130" s="1" t="s">
        <v>188</v>
      </c>
      <c r="J130" s="1" t="s">
        <v>519</v>
      </c>
      <c r="K130" s="1" t="s">
        <v>163</v>
      </c>
      <c r="L130" s="1" t="s">
        <v>515</v>
      </c>
      <c r="M130" s="1"/>
      <c r="N130" s="1"/>
    </row>
    <row r="131" spans="1:14">
      <c r="A131" s="1"/>
      <c r="B131" s="1"/>
      <c r="C131" s="1"/>
      <c r="D131" s="1"/>
      <c r="E131" s="1"/>
      <c r="F131" s="1"/>
      <c r="G131" s="1"/>
      <c r="H131" s="1" t="s">
        <v>520</v>
      </c>
      <c r="I131" s="1" t="s">
        <v>188</v>
      </c>
      <c r="J131" s="1" t="s">
        <v>521</v>
      </c>
      <c r="K131" s="1" t="s">
        <v>163</v>
      </c>
      <c r="L131" s="1" t="s">
        <v>515</v>
      </c>
      <c r="M131" s="1"/>
      <c r="N131" s="1"/>
    </row>
    <row r="132" spans="1:14">
      <c r="A132" s="1"/>
      <c r="B132" s="1"/>
      <c r="C132" s="1"/>
      <c r="D132" s="1"/>
      <c r="E132" s="1"/>
      <c r="F132" s="1"/>
      <c r="G132" s="1"/>
      <c r="H132" s="1" t="s">
        <v>522</v>
      </c>
      <c r="I132" s="1" t="s">
        <v>183</v>
      </c>
      <c r="J132" s="1" t="s">
        <v>523</v>
      </c>
      <c r="K132" s="1" t="s">
        <v>142</v>
      </c>
      <c r="L132" s="1" t="s">
        <v>524</v>
      </c>
      <c r="M132" s="1"/>
      <c r="N132" s="1"/>
    </row>
    <row r="133" spans="1:14">
      <c r="A133" s="1"/>
      <c r="B133" s="1"/>
      <c r="C133" s="1"/>
      <c r="D133" s="1"/>
      <c r="E133" s="1"/>
      <c r="F133" s="1"/>
      <c r="G133" s="1"/>
      <c r="H133" s="1"/>
      <c r="I133" s="1"/>
      <c r="J133" s="1"/>
      <c r="K133" s="1"/>
      <c r="L133" s="1"/>
      <c r="M133" s="1"/>
      <c r="N133" s="1"/>
    </row>
    <row r="134" spans="1:14">
      <c r="A134" s="1"/>
      <c r="B134" s="1"/>
      <c r="C134" s="1"/>
      <c r="D134" s="1"/>
      <c r="E134" s="1"/>
      <c r="F134" s="1"/>
      <c r="G134" s="1"/>
      <c r="H134" s="1"/>
      <c r="I134" s="1"/>
      <c r="J134" s="1"/>
      <c r="K134" s="1"/>
      <c r="L134" s="1"/>
      <c r="M134" s="1"/>
      <c r="N134" s="1"/>
    </row>
    <row r="135" spans="1:14">
      <c r="A135" s="1"/>
      <c r="B135" s="1"/>
      <c r="C135" s="1"/>
      <c r="D135" s="1"/>
      <c r="E135" s="1"/>
      <c r="F135" s="1"/>
      <c r="G135" s="1"/>
      <c r="H135" s="1"/>
      <c r="I135" s="1"/>
      <c r="J135" s="1"/>
      <c r="K135" s="1"/>
      <c r="L135" s="1"/>
      <c r="M135" s="1"/>
      <c r="N135" s="1"/>
    </row>
    <row r="136" spans="1:14">
      <c r="A136" s="1"/>
      <c r="B136" s="1"/>
      <c r="C136" s="1"/>
      <c r="D136" s="1"/>
      <c r="E136" s="1"/>
      <c r="F136" s="1"/>
      <c r="G136" s="1"/>
      <c r="H136" s="1"/>
      <c r="I136" s="1"/>
      <c r="J136" s="1"/>
      <c r="K136" s="1"/>
      <c r="L136" s="1"/>
      <c r="M136" s="1"/>
      <c r="N136" s="1"/>
    </row>
    <row r="137" spans="1:14">
      <c r="A137" s="1"/>
      <c r="B137" s="1"/>
      <c r="C137" s="1"/>
      <c r="D137" s="1"/>
      <c r="E137" s="1"/>
      <c r="F137" s="1"/>
      <c r="G137" s="1"/>
      <c r="H137" s="1"/>
      <c r="I137" s="1"/>
      <c r="J137" s="1"/>
      <c r="K137" s="1"/>
      <c r="L137" s="1"/>
      <c r="M137" s="1"/>
      <c r="N137" s="1"/>
    </row>
    <row r="138" spans="1:14">
      <c r="A138" s="1"/>
      <c r="B138" s="1"/>
      <c r="C138" s="1"/>
      <c r="D138" s="1"/>
      <c r="E138" s="1"/>
      <c r="F138" s="1"/>
      <c r="G138" s="1"/>
      <c r="H138" s="1"/>
      <c r="I138" s="1"/>
      <c r="J138" s="1"/>
      <c r="K138" s="1"/>
      <c r="L138" s="1"/>
      <c r="M138" s="1"/>
      <c r="N138" s="1"/>
    </row>
    <row r="139" spans="1:14">
      <c r="A139" s="1"/>
      <c r="B139" s="1"/>
      <c r="C139" s="1"/>
      <c r="D139" s="1"/>
      <c r="E139" s="1"/>
      <c r="F139" s="1"/>
      <c r="G139" s="1"/>
      <c r="H139" s="1"/>
      <c r="I139" s="1"/>
      <c r="J139" s="1"/>
      <c r="K139" s="1"/>
      <c r="L139" s="1"/>
      <c r="M139" s="1"/>
      <c r="N139" s="1"/>
    </row>
    <row r="140" spans="1:14">
      <c r="A140" s="1"/>
      <c r="B140" s="1"/>
      <c r="C140" s="1"/>
      <c r="D140" s="1"/>
      <c r="E140" s="1"/>
      <c r="F140" s="1"/>
      <c r="G140" s="1"/>
      <c r="H140" s="1"/>
      <c r="I140" s="1"/>
      <c r="J140" s="1"/>
      <c r="K140" s="1"/>
      <c r="L140" s="1"/>
      <c r="M140" s="1"/>
      <c r="N140" s="1"/>
    </row>
    <row r="141" spans="1:14">
      <c r="A141" s="1"/>
      <c r="B141" s="1"/>
      <c r="C141" s="1"/>
      <c r="D141" s="1"/>
      <c r="E141" s="1"/>
      <c r="F141" s="1"/>
      <c r="G141" s="1"/>
      <c r="H141" s="1"/>
      <c r="I141" s="1"/>
      <c r="J141" s="1"/>
      <c r="K141" s="1"/>
      <c r="L141" s="1"/>
      <c r="M141" s="1"/>
      <c r="N141" s="1"/>
    </row>
    <row r="142" spans="1:14">
      <c r="A142" s="1"/>
      <c r="B142" s="1"/>
      <c r="C142" s="1"/>
      <c r="D142" s="1"/>
      <c r="E142" s="1"/>
      <c r="F142" s="1"/>
      <c r="G142" s="1"/>
      <c r="H142" s="1"/>
      <c r="I142" s="1"/>
      <c r="J142" s="1"/>
      <c r="K142" s="1"/>
      <c r="L142" s="1"/>
      <c r="M142" s="1"/>
      <c r="N142" s="1"/>
    </row>
    <row r="143" spans="1:14">
      <c r="A143" s="1"/>
      <c r="B143" s="1"/>
      <c r="C143" s="1"/>
      <c r="D143" s="1"/>
      <c r="E143" s="1"/>
      <c r="F143" s="1"/>
      <c r="G143" s="1"/>
      <c r="H143" s="1"/>
      <c r="I143" s="1"/>
      <c r="J143" s="1"/>
      <c r="K143" s="1"/>
      <c r="L143" s="1"/>
      <c r="M143" s="1"/>
      <c r="N143" s="1"/>
    </row>
    <row r="144" spans="1:14">
      <c r="A144" s="1"/>
      <c r="B144" s="1"/>
      <c r="C144" s="1"/>
      <c r="D144" s="1"/>
      <c r="E144" s="1"/>
      <c r="F144" s="1"/>
      <c r="G144" s="1"/>
      <c r="H144" s="1"/>
      <c r="I144" s="1"/>
      <c r="J144" s="1"/>
      <c r="K144" s="1"/>
      <c r="L144" s="1"/>
      <c r="M144" s="1"/>
      <c r="N144" s="1"/>
    </row>
    <row r="145" spans="1:14">
      <c r="A145" s="1"/>
      <c r="B145" s="1"/>
      <c r="C145" s="1"/>
      <c r="D145" s="1"/>
      <c r="E145" s="1"/>
      <c r="F145" s="1"/>
      <c r="G145" s="1"/>
      <c r="H145" s="1"/>
      <c r="I145" s="1"/>
      <c r="J145" s="1"/>
      <c r="K145" s="1"/>
      <c r="L145" s="1"/>
      <c r="M145" s="1"/>
      <c r="N145" s="1"/>
    </row>
    <row r="146" spans="1:14">
      <c r="A146" s="1"/>
      <c r="B146" s="1"/>
      <c r="C146" s="1"/>
      <c r="D146" s="1"/>
      <c r="E146" s="1"/>
      <c r="F146" s="1"/>
      <c r="G146" s="1"/>
      <c r="H146" s="1"/>
      <c r="I146" s="1"/>
      <c r="J146" s="1"/>
      <c r="K146" s="1"/>
      <c r="L146" s="1"/>
      <c r="M146" s="1"/>
      <c r="N146" s="1"/>
    </row>
    <row r="147" spans="1:14">
      <c r="A147" s="1"/>
      <c r="B147" s="1"/>
      <c r="C147" s="1"/>
      <c r="D147" s="1"/>
      <c r="E147" s="1"/>
      <c r="F147" s="1"/>
      <c r="G147" s="1"/>
      <c r="H147" s="1"/>
      <c r="I147" s="1"/>
      <c r="J147" s="1"/>
      <c r="K147" s="1"/>
      <c r="L147" s="1"/>
      <c r="M147" s="1"/>
      <c r="N147" s="1"/>
    </row>
    <row r="148" spans="1:14">
      <c r="A148" s="1"/>
      <c r="B148" s="1"/>
      <c r="C148" s="1"/>
      <c r="D148" s="1"/>
      <c r="E148" s="1"/>
      <c r="F148" s="1"/>
      <c r="G148" s="1"/>
      <c r="H148" s="1"/>
      <c r="I148" s="1"/>
      <c r="J148" s="1"/>
      <c r="K148" s="1"/>
      <c r="L148" s="1"/>
      <c r="M148" s="1"/>
      <c r="N148" s="1"/>
    </row>
    <row r="149" spans="1:14">
      <c r="A149" s="1"/>
      <c r="B149" s="1"/>
      <c r="C149" s="1"/>
      <c r="D149" s="1"/>
      <c r="E149" s="1"/>
      <c r="F149" s="1"/>
      <c r="G149" s="1"/>
      <c r="H149" s="1"/>
      <c r="I149" s="1"/>
      <c r="J149" s="1"/>
      <c r="K149" s="1"/>
      <c r="L149" s="1"/>
      <c r="M149" s="1"/>
      <c r="N149" s="1"/>
    </row>
    <row r="150" spans="1:14">
      <c r="A150" s="1"/>
      <c r="B150" s="1"/>
      <c r="C150" s="1"/>
      <c r="D150" s="1"/>
      <c r="E150" s="1"/>
      <c r="F150" s="1"/>
      <c r="G150" s="1"/>
      <c r="H150" s="1"/>
      <c r="I150" s="1"/>
      <c r="J150" s="1"/>
      <c r="K150" s="1"/>
      <c r="L150" s="1"/>
      <c r="M150" s="1"/>
      <c r="N150" s="1"/>
    </row>
    <row r="151" spans="1:14">
      <c r="A151" s="1"/>
      <c r="B151" s="1"/>
      <c r="C151" s="1"/>
      <c r="D151" s="1"/>
      <c r="E151" s="1"/>
      <c r="F151" s="1"/>
      <c r="G151" s="1"/>
      <c r="H151" s="1"/>
      <c r="I151" s="1"/>
      <c r="J151" s="1"/>
      <c r="K151" s="1"/>
      <c r="L151" s="1"/>
      <c r="M151" s="1"/>
      <c r="N151" s="1"/>
    </row>
    <row r="152" spans="1:14">
      <c r="A152" s="1"/>
      <c r="B152" s="1"/>
      <c r="C152" s="1"/>
      <c r="D152" s="1"/>
      <c r="E152" s="1"/>
      <c r="F152" s="1"/>
      <c r="G152" s="1"/>
      <c r="H152" s="1"/>
      <c r="I152" s="1"/>
      <c r="J152" s="1"/>
      <c r="K152" s="1"/>
      <c r="L152" s="1"/>
      <c r="M152" s="1"/>
      <c r="N152" s="1"/>
    </row>
    <row r="153" spans="1:14">
      <c r="A153" s="1"/>
      <c r="B153" s="1"/>
      <c r="C153" s="1"/>
      <c r="D153" s="1"/>
      <c r="E153" s="1"/>
      <c r="F153" s="1"/>
      <c r="G153" s="1"/>
      <c r="H153" s="1"/>
      <c r="I153" s="1"/>
      <c r="J153" s="1"/>
      <c r="K153" s="1"/>
      <c r="L153" s="1"/>
      <c r="M153" s="1"/>
      <c r="N153" s="1"/>
    </row>
    <row r="154" spans="1:14">
      <c r="A154" s="1"/>
      <c r="B154" s="1"/>
      <c r="C154" s="1"/>
      <c r="D154" s="1"/>
      <c r="E154" s="1"/>
      <c r="F154" s="1"/>
      <c r="G154" s="1"/>
      <c r="H154" s="1"/>
      <c r="I154" s="1"/>
      <c r="J154" s="1"/>
      <c r="K154" s="1"/>
      <c r="L154" s="1"/>
      <c r="M154" s="1"/>
      <c r="N154" s="1"/>
    </row>
    <row r="155" spans="1:14">
      <c r="A155" s="1"/>
      <c r="B155" s="1"/>
      <c r="C155" s="1"/>
      <c r="D155" s="1"/>
      <c r="E155" s="1"/>
      <c r="F155" s="1"/>
      <c r="G155" s="1"/>
      <c r="H155" s="1"/>
      <c r="I155" s="1"/>
      <c r="J155" s="1"/>
      <c r="K155" s="1"/>
      <c r="L155" s="1"/>
      <c r="M155" s="1"/>
      <c r="N155" s="1"/>
    </row>
    <row r="156" spans="1:14">
      <c r="A156" s="1"/>
      <c r="B156" s="1"/>
      <c r="C156" s="1"/>
      <c r="D156" s="1"/>
      <c r="E156" s="1"/>
      <c r="F156" s="1"/>
      <c r="G156" s="1"/>
      <c r="H156" s="1"/>
      <c r="I156" s="1"/>
      <c r="J156" s="1"/>
      <c r="K156" s="1"/>
      <c r="L156" s="1"/>
      <c r="M156" s="1"/>
      <c r="N156" s="1"/>
    </row>
    <row r="157" spans="1:14">
      <c r="A157" s="1"/>
      <c r="B157" s="1"/>
      <c r="C157" s="1"/>
      <c r="D157" s="1"/>
      <c r="E157" s="1"/>
      <c r="F157" s="1"/>
      <c r="G157" s="1"/>
      <c r="H157" s="1"/>
      <c r="I157" s="1"/>
      <c r="J157" s="1"/>
      <c r="K157" s="1"/>
      <c r="L157" s="1"/>
      <c r="M157" s="1"/>
      <c r="N157" s="1"/>
    </row>
    <row r="158" spans="1:14">
      <c r="A158" s="1"/>
      <c r="B158" s="1"/>
      <c r="C158" s="1"/>
      <c r="D158" s="1"/>
      <c r="E158" s="1"/>
      <c r="F158" s="1"/>
      <c r="G158" s="1"/>
      <c r="H158" s="1"/>
      <c r="I158" s="1"/>
      <c r="J158" s="1"/>
      <c r="K158" s="1"/>
      <c r="L158" s="1"/>
      <c r="M158" s="1"/>
      <c r="N158" s="1"/>
    </row>
    <row r="159" spans="1:14">
      <c r="A159" s="1"/>
      <c r="B159" s="1"/>
      <c r="C159" s="1"/>
      <c r="D159" s="1"/>
      <c r="E159" s="1"/>
      <c r="F159" s="1"/>
      <c r="G159" s="1"/>
      <c r="H159" s="1"/>
      <c r="I159" s="1"/>
      <c r="J159" s="1"/>
      <c r="K159" s="1"/>
      <c r="L159" s="1"/>
      <c r="M159" s="1"/>
      <c r="N159" s="1"/>
    </row>
    <row r="160" spans="1:14">
      <c r="A160" s="1"/>
      <c r="B160" s="1"/>
      <c r="C160" s="1"/>
      <c r="D160" s="1"/>
      <c r="E160" s="1"/>
      <c r="F160" s="1"/>
      <c r="G160" s="1"/>
      <c r="H160" s="1"/>
      <c r="I160" s="1"/>
      <c r="J160" s="1"/>
      <c r="K160" s="1"/>
      <c r="L160" s="1"/>
      <c r="M160" s="1"/>
      <c r="N160" s="1"/>
    </row>
  </sheetData>
  <mergeCells count="10">
    <mergeCell ref="A8:F8"/>
    <mergeCell ref="A9:F9"/>
    <mergeCell ref="A10:F10"/>
    <mergeCell ref="A11:F11"/>
    <mergeCell ref="A12:F12"/>
    <mergeCell ref="A2:F2"/>
    <mergeCell ref="A4:F4"/>
    <mergeCell ref="A5:F5"/>
    <mergeCell ref="A6:F6"/>
    <mergeCell ref="A7:F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I600"/>
  <sheetViews>
    <sheetView showGridLines="0" topLeftCell="AB1" workbookViewId="0">
      <pane ySplit="1" topLeftCell="A209" activePane="bottomLeft" state="frozen"/>
      <selection pane="bottomLeft" activeCell="AJ2" sqref="AJ2:AJ251"/>
    </sheetView>
  </sheetViews>
  <sheetFormatPr defaultRowHeight="14.25"/>
  <cols>
    <col min="1" max="1" width="18" customWidth="1"/>
    <col min="2" max="2" width="45" customWidth="1"/>
    <col min="3" max="3" width="18" customWidth="1"/>
    <col min="4" max="4" width="18" style="165" customWidth="1"/>
    <col min="5" max="7" width="38" customWidth="1"/>
    <col min="8" max="61" width="18" customWidth="1"/>
  </cols>
  <sheetData>
    <row r="1" spans="1:61">
      <c r="A1" s="15" t="s">
        <v>129</v>
      </c>
      <c r="B1" s="15" t="s">
        <v>525</v>
      </c>
      <c r="C1" s="15" t="s">
        <v>526</v>
      </c>
      <c r="D1" s="168" t="s">
        <v>527</v>
      </c>
      <c r="E1" s="15" t="s">
        <v>128</v>
      </c>
      <c r="F1" s="15" t="s">
        <v>320</v>
      </c>
      <c r="G1" s="15" t="s">
        <v>528</v>
      </c>
      <c r="H1" s="14" t="s">
        <v>529</v>
      </c>
      <c r="I1" s="14"/>
      <c r="J1" s="15" t="s">
        <v>86</v>
      </c>
      <c r="K1" s="15" t="s">
        <v>530</v>
      </c>
      <c r="L1" s="15" t="s">
        <v>88</v>
      </c>
      <c r="M1" s="15" t="s">
        <v>527</v>
      </c>
      <c r="N1" s="15" t="s">
        <v>128</v>
      </c>
      <c r="O1" s="14"/>
      <c r="P1" s="15" t="s">
        <v>531</v>
      </c>
      <c r="Q1" s="15" t="s">
        <v>532</v>
      </c>
      <c r="R1" s="15" t="s">
        <v>533</v>
      </c>
      <c r="S1" s="15" t="s">
        <v>527</v>
      </c>
      <c r="T1" s="15" t="s">
        <v>128</v>
      </c>
      <c r="U1" s="14"/>
      <c r="V1" s="15" t="s">
        <v>48</v>
      </c>
      <c r="W1" s="15" t="s">
        <v>49</v>
      </c>
      <c r="X1" s="15" t="s">
        <v>534</v>
      </c>
      <c r="Y1" s="15" t="s">
        <v>535</v>
      </c>
      <c r="Z1" s="15" t="s">
        <v>536</v>
      </c>
      <c r="AA1" s="15" t="s">
        <v>537</v>
      </c>
      <c r="AB1" s="15" t="s">
        <v>128</v>
      </c>
      <c r="AC1" s="14"/>
      <c r="AD1" s="15" t="s">
        <v>538</v>
      </c>
      <c r="AE1" s="15" t="s">
        <v>539</v>
      </c>
      <c r="AF1" s="15" t="s">
        <v>540</v>
      </c>
      <c r="AG1" s="15" t="s">
        <v>527</v>
      </c>
      <c r="AH1" s="15" t="s">
        <v>541</v>
      </c>
      <c r="AI1" s="14"/>
      <c r="AJ1" s="15" t="s">
        <v>542</v>
      </c>
      <c r="AK1" s="15" t="s">
        <v>543</v>
      </c>
      <c r="AL1" s="15" t="s">
        <v>533</v>
      </c>
      <c r="AM1" s="15" t="s">
        <v>128</v>
      </c>
      <c r="AN1" s="14" t="s">
        <v>544</v>
      </c>
      <c r="AO1" s="14"/>
      <c r="AP1" s="14"/>
      <c r="AQ1" s="15" t="s">
        <v>545</v>
      </c>
      <c r="AR1" s="15" t="s">
        <v>537</v>
      </c>
      <c r="AS1" s="15" t="s">
        <v>38</v>
      </c>
      <c r="AT1" s="15" t="s">
        <v>546</v>
      </c>
      <c r="AU1" s="15" t="s">
        <v>547</v>
      </c>
      <c r="AV1" s="15" t="s">
        <v>128</v>
      </c>
      <c r="AW1" s="15" t="s">
        <v>548</v>
      </c>
      <c r="AX1" s="14"/>
      <c r="AY1" s="15" t="s">
        <v>549</v>
      </c>
      <c r="AZ1" s="15" t="s">
        <v>542</v>
      </c>
      <c r="BA1" s="15" t="s">
        <v>550</v>
      </c>
      <c r="BB1" s="15" t="s">
        <v>551</v>
      </c>
      <c r="BC1" s="14"/>
      <c r="BD1" s="15" t="s">
        <v>552</v>
      </c>
      <c r="BE1" s="15" t="s">
        <v>128</v>
      </c>
      <c r="BF1" s="15" t="s">
        <v>553</v>
      </c>
      <c r="BG1" s="15" t="s">
        <v>554</v>
      </c>
      <c r="BH1" s="15" t="s">
        <v>555</v>
      </c>
      <c r="BI1" s="15" t="s">
        <v>877</v>
      </c>
    </row>
    <row r="2" spans="1:61">
      <c r="A2" s="14" t="s">
        <v>140</v>
      </c>
      <c r="B2" s="14" t="s">
        <v>754</v>
      </c>
      <c r="C2" s="14"/>
      <c r="D2" s="167">
        <v>46307</v>
      </c>
      <c r="E2" s="14" t="s">
        <v>148</v>
      </c>
      <c r="F2" s="14" t="s">
        <v>557</v>
      </c>
      <c r="G2" s="14" t="s">
        <v>895</v>
      </c>
      <c r="H2" s="14" t="b">
        <f>UPPER(Stock!T5)='Stock Data'!$B$88</f>
        <v>1</v>
      </c>
      <c r="I2" s="14"/>
      <c r="J2" s="14" t="s">
        <v>935</v>
      </c>
      <c r="K2" s="14" t="s">
        <v>936</v>
      </c>
      <c r="L2" s="14">
        <v>7.8069490000000005E-2</v>
      </c>
      <c r="M2" s="14" t="s">
        <v>558</v>
      </c>
      <c r="N2" s="14" t="s">
        <v>196</v>
      </c>
      <c r="O2" s="14"/>
      <c r="P2" s="14" t="s">
        <v>14</v>
      </c>
      <c r="Q2" s="14">
        <v>-0.18068681913281881</v>
      </c>
      <c r="R2" s="14" t="s">
        <v>560</v>
      </c>
      <c r="S2" s="14">
        <v>46304</v>
      </c>
      <c r="T2" s="14" t="s">
        <v>561</v>
      </c>
      <c r="U2" s="14"/>
      <c r="V2" s="14">
        <v>46244</v>
      </c>
      <c r="W2" s="14">
        <v>1.69</v>
      </c>
      <c r="X2" s="14">
        <v>46275</v>
      </c>
      <c r="Y2" s="14">
        <v>46244</v>
      </c>
      <c r="Z2" s="14">
        <v>46225</v>
      </c>
      <c r="AA2" s="14"/>
      <c r="AB2" s="14" t="s">
        <v>160</v>
      </c>
      <c r="AC2" s="14"/>
      <c r="AD2" s="14"/>
      <c r="AE2" s="14"/>
      <c r="AF2" s="14"/>
      <c r="AG2" s="14"/>
      <c r="AH2" s="14"/>
      <c r="AI2" s="14"/>
      <c r="AJ2" s="167">
        <v>45943</v>
      </c>
      <c r="AK2" s="14">
        <v>277.22000000000003</v>
      </c>
      <c r="AL2" s="14" t="s">
        <v>562</v>
      </c>
      <c r="AM2" s="14" t="s">
        <v>154</v>
      </c>
      <c r="AN2" s="14">
        <f>IF('Stock Data'!$H$2,IF(ISNUMBER(AK2),AK2,NA()),NA())</f>
        <v>277.22000000000003</v>
      </c>
      <c r="AO2" s="14"/>
      <c r="AP2" s="14"/>
      <c r="AQ2" s="14" t="s">
        <v>563</v>
      </c>
      <c r="AR2" s="14" t="s">
        <v>564</v>
      </c>
      <c r="AS2" s="14">
        <v>2.65</v>
      </c>
      <c r="AT2" s="14">
        <v>45953</v>
      </c>
      <c r="AU2" s="14"/>
      <c r="AV2" s="14" t="s">
        <v>173</v>
      </c>
      <c r="AW2" s="14"/>
      <c r="AX2" s="14"/>
      <c r="AY2" s="14" t="s">
        <v>965</v>
      </c>
      <c r="AZ2" s="14">
        <v>46307</v>
      </c>
      <c r="BA2" s="14" t="s">
        <v>966</v>
      </c>
      <c r="BB2" s="14" t="s">
        <v>967</v>
      </c>
      <c r="BC2" s="14"/>
      <c r="BD2" s="14" t="s">
        <v>588</v>
      </c>
      <c r="BE2" s="14" t="s">
        <v>589</v>
      </c>
      <c r="BF2" s="14" t="s">
        <v>566</v>
      </c>
      <c r="BG2" s="14"/>
      <c r="BH2" s="14">
        <v>200</v>
      </c>
      <c r="BI2" s="14">
        <v>46307.768472222226</v>
      </c>
    </row>
    <row r="3" spans="1:61">
      <c r="A3" s="14" t="s">
        <v>149</v>
      </c>
      <c r="B3" s="14" t="s">
        <v>338</v>
      </c>
      <c r="C3" s="14"/>
      <c r="D3" s="167">
        <v>46307</v>
      </c>
      <c r="E3" s="14" t="s">
        <v>139</v>
      </c>
      <c r="F3" s="14" t="s">
        <v>557</v>
      </c>
      <c r="G3" s="14" t="s">
        <v>568</v>
      </c>
      <c r="H3" s="14"/>
      <c r="I3" s="14"/>
      <c r="J3" s="14" t="s">
        <v>937</v>
      </c>
      <c r="K3" s="14" t="s">
        <v>938</v>
      </c>
      <c r="L3" s="14">
        <v>7.8020560000000003E-2</v>
      </c>
      <c r="M3" s="14" t="s">
        <v>558</v>
      </c>
      <c r="N3" s="14" t="s">
        <v>196</v>
      </c>
      <c r="O3" s="14"/>
      <c r="P3" s="14"/>
      <c r="Q3" s="14"/>
      <c r="R3" s="14"/>
      <c r="S3" s="14"/>
      <c r="T3" s="14"/>
      <c r="U3" s="14"/>
      <c r="V3" s="14">
        <v>46150</v>
      </c>
      <c r="W3" s="14">
        <v>1.69</v>
      </c>
      <c r="X3" s="14">
        <v>46183</v>
      </c>
      <c r="Y3" s="14">
        <v>46150</v>
      </c>
      <c r="Z3" s="14">
        <v>46134</v>
      </c>
      <c r="AA3" s="14"/>
      <c r="AB3" s="14" t="s">
        <v>160</v>
      </c>
      <c r="AC3" s="14"/>
      <c r="AD3" s="14"/>
      <c r="AE3" s="14"/>
      <c r="AF3" s="14"/>
      <c r="AG3" s="14"/>
      <c r="AH3" s="14"/>
      <c r="AI3" s="14"/>
      <c r="AJ3" s="167">
        <v>45944</v>
      </c>
      <c r="AK3" s="14">
        <v>276.14999999999998</v>
      </c>
      <c r="AL3" s="14" t="s">
        <v>562</v>
      </c>
      <c r="AM3" s="14" t="s">
        <v>154</v>
      </c>
      <c r="AN3" s="14">
        <f>IF('Stock Data'!$H$2,IF(ISNUMBER(AK3),AK3,NA()),NA())</f>
        <v>276.14999999999998</v>
      </c>
      <c r="AO3" s="14"/>
      <c r="AP3" s="14"/>
      <c r="AQ3" s="14" t="s">
        <v>569</v>
      </c>
      <c r="AR3" s="14" t="s">
        <v>564</v>
      </c>
      <c r="AS3" s="14">
        <v>4.5199999999999996</v>
      </c>
      <c r="AT3" s="14">
        <v>46051</v>
      </c>
      <c r="AU3" s="14"/>
      <c r="AV3" s="14" t="s">
        <v>173</v>
      </c>
      <c r="AW3" s="14"/>
      <c r="AX3" s="14"/>
      <c r="AY3" s="14" t="s">
        <v>968</v>
      </c>
      <c r="AZ3" s="14">
        <v>46307</v>
      </c>
      <c r="BA3" s="14" t="s">
        <v>969</v>
      </c>
      <c r="BB3" s="14" t="s">
        <v>970</v>
      </c>
      <c r="BC3" s="14"/>
      <c r="BD3" s="14" t="s">
        <v>881</v>
      </c>
      <c r="BE3" s="14" t="s">
        <v>882</v>
      </c>
      <c r="BF3" s="14" t="s">
        <v>566</v>
      </c>
      <c r="BG3" s="14" t="s">
        <v>894</v>
      </c>
      <c r="BH3" s="14">
        <v>200</v>
      </c>
      <c r="BI3" s="14">
        <v>46307.768483796295</v>
      </c>
    </row>
    <row r="4" spans="1:61">
      <c r="A4" s="14" t="s">
        <v>155</v>
      </c>
      <c r="B4" s="14" t="s">
        <v>570</v>
      </c>
      <c r="C4" s="14"/>
      <c r="D4" s="167">
        <v>46307</v>
      </c>
      <c r="E4" s="14" t="s">
        <v>139</v>
      </c>
      <c r="F4" s="14" t="s">
        <v>557</v>
      </c>
      <c r="G4" s="14" t="s">
        <v>571</v>
      </c>
      <c r="H4" s="14"/>
      <c r="I4" s="14"/>
      <c r="J4" s="14" t="s">
        <v>590</v>
      </c>
      <c r="K4" s="14" t="s">
        <v>591</v>
      </c>
      <c r="L4" s="14">
        <v>5.7079389999999994E-2</v>
      </c>
      <c r="M4" s="14" t="s">
        <v>558</v>
      </c>
      <c r="N4" s="14" t="s">
        <v>196</v>
      </c>
      <c r="O4" s="14"/>
      <c r="P4" s="14"/>
      <c r="Q4" s="14"/>
      <c r="R4" s="14"/>
      <c r="S4" s="14"/>
      <c r="T4" s="14"/>
      <c r="U4" s="14"/>
      <c r="V4" s="14">
        <v>46063</v>
      </c>
      <c r="W4" s="14">
        <v>1.68</v>
      </c>
      <c r="X4" s="14">
        <v>46091</v>
      </c>
      <c r="Y4" s="14">
        <v>46063</v>
      </c>
      <c r="Z4" s="14">
        <v>46050</v>
      </c>
      <c r="AA4" s="14"/>
      <c r="AB4" s="14" t="s">
        <v>160</v>
      </c>
      <c r="AC4" s="14"/>
      <c r="AD4" s="14"/>
      <c r="AE4" s="14"/>
      <c r="AF4" s="14"/>
      <c r="AG4" s="14"/>
      <c r="AH4" s="14"/>
      <c r="AI4" s="14"/>
      <c r="AJ4" s="167">
        <v>45945</v>
      </c>
      <c r="AK4" s="14">
        <v>280.75</v>
      </c>
      <c r="AL4" s="14" t="s">
        <v>562</v>
      </c>
      <c r="AM4" s="14" t="s">
        <v>154</v>
      </c>
      <c r="AN4" s="14">
        <f>IF('Stock Data'!$H$2,IF(ISNUMBER(AK4),AK4,NA()),NA())</f>
        <v>280.75</v>
      </c>
      <c r="AO4" s="14"/>
      <c r="AP4" s="14"/>
      <c r="AQ4" s="14" t="s">
        <v>572</v>
      </c>
      <c r="AR4" s="14" t="s">
        <v>564</v>
      </c>
      <c r="AS4" s="14">
        <v>1.91</v>
      </c>
      <c r="AT4" s="14">
        <v>46135</v>
      </c>
      <c r="AU4" s="14"/>
      <c r="AV4" s="14" t="s">
        <v>173</v>
      </c>
      <c r="AW4" s="14"/>
      <c r="AX4" s="14"/>
      <c r="AY4" s="14" t="s">
        <v>971</v>
      </c>
      <c r="AZ4" s="14">
        <v>46307</v>
      </c>
      <c r="BA4" s="14" t="s">
        <v>565</v>
      </c>
      <c r="BB4" s="14" t="s">
        <v>972</v>
      </c>
      <c r="BC4" s="14"/>
      <c r="BD4" s="14" t="s">
        <v>135</v>
      </c>
      <c r="BE4" s="14" t="s">
        <v>139</v>
      </c>
      <c r="BF4" s="14" t="s">
        <v>566</v>
      </c>
      <c r="BG4" s="14" t="s">
        <v>567</v>
      </c>
      <c r="BH4" s="14">
        <v>200</v>
      </c>
      <c r="BI4" s="14">
        <v>46307.768483796295</v>
      </c>
    </row>
    <row r="5" spans="1:61">
      <c r="A5" s="14" t="s">
        <v>161</v>
      </c>
      <c r="B5" s="14">
        <v>227.02</v>
      </c>
      <c r="C5" s="14"/>
      <c r="D5" s="167">
        <v>46307</v>
      </c>
      <c r="E5" s="14" t="s">
        <v>139</v>
      </c>
      <c r="F5" s="14" t="s">
        <v>557</v>
      </c>
      <c r="G5" s="14" t="s">
        <v>896</v>
      </c>
      <c r="H5" s="14"/>
      <c r="I5" s="14"/>
      <c r="J5" s="14" t="s">
        <v>939</v>
      </c>
      <c r="K5" s="14" t="s">
        <v>940</v>
      </c>
      <c r="L5" s="14">
        <v>5.289423E-2</v>
      </c>
      <c r="M5" s="14" t="s">
        <v>558</v>
      </c>
      <c r="N5" s="14" t="s">
        <v>196</v>
      </c>
      <c r="O5" s="14"/>
      <c r="P5" s="14"/>
      <c r="Q5" s="14"/>
      <c r="R5" s="14"/>
      <c r="S5" s="14"/>
      <c r="T5" s="14"/>
      <c r="U5" s="14"/>
      <c r="V5" s="14">
        <v>45971</v>
      </c>
      <c r="W5" s="14">
        <v>1.68</v>
      </c>
      <c r="X5" s="14">
        <v>46001</v>
      </c>
      <c r="Y5" s="14">
        <v>45971</v>
      </c>
      <c r="Z5" s="14">
        <v>45952</v>
      </c>
      <c r="AA5" s="14"/>
      <c r="AB5" s="14" t="s">
        <v>160</v>
      </c>
      <c r="AC5" s="14"/>
      <c r="AD5" s="14"/>
      <c r="AE5" s="14"/>
      <c r="AF5" s="14"/>
      <c r="AG5" s="14"/>
      <c r="AH5" s="14"/>
      <c r="AI5" s="14"/>
      <c r="AJ5" s="167">
        <v>45946</v>
      </c>
      <c r="AK5" s="14">
        <v>275.97000000000003</v>
      </c>
      <c r="AL5" s="14" t="s">
        <v>562</v>
      </c>
      <c r="AM5" s="14" t="s">
        <v>154</v>
      </c>
      <c r="AN5" s="14">
        <f>IF('Stock Data'!$H$2,IF(ISNUMBER(AK5),AK5,NA()),NA())</f>
        <v>275.97000000000003</v>
      </c>
      <c r="AO5" s="14"/>
      <c r="AP5" s="14"/>
      <c r="AQ5" s="14" t="s">
        <v>573</v>
      </c>
      <c r="AR5" s="14" t="s">
        <v>564</v>
      </c>
      <c r="AS5" s="14">
        <v>2.93</v>
      </c>
      <c r="AT5" s="14">
        <v>46226</v>
      </c>
      <c r="AU5" s="14"/>
      <c r="AV5" s="14" t="s">
        <v>173</v>
      </c>
      <c r="AW5" s="14"/>
      <c r="AX5" s="14"/>
      <c r="AY5" s="14" t="s">
        <v>973</v>
      </c>
      <c r="AZ5" s="14">
        <v>46307</v>
      </c>
      <c r="BA5" s="14" t="s">
        <v>565</v>
      </c>
      <c r="BB5" s="14" t="s">
        <v>974</v>
      </c>
      <c r="BC5" s="14"/>
      <c r="BD5" s="14" t="s">
        <v>144</v>
      </c>
      <c r="BE5" s="14" t="s">
        <v>148</v>
      </c>
      <c r="BF5" s="14" t="s">
        <v>566</v>
      </c>
      <c r="BG5" s="14"/>
      <c r="BH5" s="14">
        <v>200</v>
      </c>
      <c r="BI5" s="14">
        <v>46307.768495370372</v>
      </c>
    </row>
    <row r="6" spans="1:61">
      <c r="A6" s="14" t="s">
        <v>168</v>
      </c>
      <c r="B6" s="14">
        <v>227.02</v>
      </c>
      <c r="C6" s="14"/>
      <c r="D6" s="167">
        <v>46307</v>
      </c>
      <c r="E6" s="14" t="s">
        <v>139</v>
      </c>
      <c r="F6" s="14" t="s">
        <v>557</v>
      </c>
      <c r="G6" s="14" t="s">
        <v>896</v>
      </c>
      <c r="H6" s="14"/>
      <c r="I6" s="14"/>
      <c r="J6" s="14" t="s">
        <v>941</v>
      </c>
      <c r="K6" s="14" t="s">
        <v>942</v>
      </c>
      <c r="L6" s="14">
        <v>5.1878630000000002E-2</v>
      </c>
      <c r="M6" s="14" t="s">
        <v>558</v>
      </c>
      <c r="N6" s="14" t="s">
        <v>196</v>
      </c>
      <c r="O6" s="14"/>
      <c r="P6" s="14"/>
      <c r="Q6" s="14"/>
      <c r="R6" s="14"/>
      <c r="S6" s="14"/>
      <c r="T6" s="14"/>
      <c r="U6" s="14"/>
      <c r="V6" s="14"/>
      <c r="W6" s="14"/>
      <c r="X6" s="14"/>
      <c r="Y6" s="14"/>
      <c r="Z6" s="14"/>
      <c r="AA6" s="14"/>
      <c r="AB6" s="14"/>
      <c r="AC6" s="14"/>
      <c r="AD6" s="14"/>
      <c r="AE6" s="14"/>
      <c r="AF6" s="14"/>
      <c r="AG6" s="14"/>
      <c r="AH6" s="14"/>
      <c r="AI6" s="14"/>
      <c r="AJ6" s="167">
        <v>45947</v>
      </c>
      <c r="AK6" s="14">
        <v>281.27999999999997</v>
      </c>
      <c r="AL6" s="14" t="s">
        <v>562</v>
      </c>
      <c r="AM6" s="14" t="s">
        <v>154</v>
      </c>
      <c r="AN6" s="14">
        <f>IF('Stock Data'!$H$2,IF(ISNUMBER(AK6),AK6,NA()),NA())</f>
        <v>281.27999999999997</v>
      </c>
      <c r="AO6" s="14"/>
      <c r="AP6" s="14"/>
      <c r="AQ6" s="14" t="s">
        <v>574</v>
      </c>
      <c r="AR6" s="14" t="s">
        <v>575</v>
      </c>
      <c r="AS6" s="14">
        <v>2.8605999999999998</v>
      </c>
      <c r="AT6" s="14">
        <v>46305</v>
      </c>
      <c r="AU6" s="14">
        <v>21</v>
      </c>
      <c r="AV6" s="14" t="s">
        <v>179</v>
      </c>
      <c r="AW6" s="14">
        <v>16820675458.999998</v>
      </c>
      <c r="AX6" s="14"/>
      <c r="AY6" s="14" t="s">
        <v>975</v>
      </c>
      <c r="AZ6" s="14">
        <v>46307</v>
      </c>
      <c r="BA6" s="14" t="s">
        <v>976</v>
      </c>
      <c r="BB6" s="14" t="s">
        <v>977</v>
      </c>
      <c r="BC6" s="14"/>
      <c r="BD6" s="14" t="s">
        <v>151</v>
      </c>
      <c r="BE6" s="14" t="s">
        <v>154</v>
      </c>
      <c r="BF6" s="14" t="s">
        <v>566</v>
      </c>
      <c r="BG6" s="14" t="s">
        <v>931</v>
      </c>
      <c r="BH6" s="14">
        <v>200</v>
      </c>
      <c r="BI6" s="14">
        <v>46307.768495370372</v>
      </c>
    </row>
    <row r="7" spans="1:61">
      <c r="A7" s="14" t="s">
        <v>174</v>
      </c>
      <c r="B7" s="14">
        <v>-0.11</v>
      </c>
      <c r="C7" s="14"/>
      <c r="D7" s="167">
        <v>46307</v>
      </c>
      <c r="E7" s="14" t="s">
        <v>139</v>
      </c>
      <c r="F7" s="14" t="s">
        <v>557</v>
      </c>
      <c r="G7" s="14" t="s">
        <v>897</v>
      </c>
      <c r="H7" s="14"/>
      <c r="I7" s="14"/>
      <c r="J7" s="14" t="s">
        <v>943</v>
      </c>
      <c r="K7" s="14" t="s">
        <v>944</v>
      </c>
      <c r="L7" s="14">
        <v>4.9173799999999997E-2</v>
      </c>
      <c r="M7" s="14" t="s">
        <v>558</v>
      </c>
      <c r="N7" s="14" t="s">
        <v>196</v>
      </c>
      <c r="O7" s="14"/>
      <c r="P7" s="14"/>
      <c r="Q7" s="14"/>
      <c r="R7" s="14"/>
      <c r="S7" s="14"/>
      <c r="T7" s="14"/>
      <c r="U7" s="14"/>
      <c r="V7" s="14"/>
      <c r="W7" s="14"/>
      <c r="X7" s="14"/>
      <c r="Y7" s="14"/>
      <c r="Z7" s="14"/>
      <c r="AA7" s="14"/>
      <c r="AB7" s="14"/>
      <c r="AC7" s="14"/>
      <c r="AD7" s="14"/>
      <c r="AE7" s="14"/>
      <c r="AF7" s="14"/>
      <c r="AG7" s="14"/>
      <c r="AH7" s="14"/>
      <c r="AI7" s="14"/>
      <c r="AJ7" s="167">
        <v>45950</v>
      </c>
      <c r="AK7" s="14">
        <v>283.64999999999998</v>
      </c>
      <c r="AL7" s="14" t="s">
        <v>562</v>
      </c>
      <c r="AM7" s="14" t="s">
        <v>154</v>
      </c>
      <c r="AN7" s="14">
        <f>IF('Stock Data'!$H$2,IF(ISNUMBER(AK7),AK7,NA()),NA())</f>
        <v>283.64999999999998</v>
      </c>
      <c r="AO7" s="14"/>
      <c r="AP7" s="14"/>
      <c r="AQ7" s="14" t="s">
        <v>577</v>
      </c>
      <c r="AR7" s="14" t="s">
        <v>575</v>
      </c>
      <c r="AS7" s="14">
        <v>4.6186699999999998</v>
      </c>
      <c r="AT7" s="14">
        <v>46305</v>
      </c>
      <c r="AU7" s="14">
        <v>20</v>
      </c>
      <c r="AV7" s="14" t="s">
        <v>179</v>
      </c>
      <c r="AW7" s="14">
        <v>20474923723</v>
      </c>
      <c r="AX7" s="14"/>
      <c r="AY7" s="14"/>
      <c r="AZ7" s="14"/>
      <c r="BA7" s="14"/>
      <c r="BB7" s="14"/>
      <c r="BC7" s="14"/>
      <c r="BD7" s="14" t="s">
        <v>157</v>
      </c>
      <c r="BE7" s="14" t="s">
        <v>160</v>
      </c>
      <c r="BF7" s="14" t="s">
        <v>566</v>
      </c>
      <c r="BG7" s="14"/>
      <c r="BH7" s="14">
        <v>200</v>
      </c>
      <c r="BI7" s="14">
        <v>46307.768495370372</v>
      </c>
    </row>
    <row r="8" spans="1:61">
      <c r="A8" s="14" t="s">
        <v>180</v>
      </c>
      <c r="B8" s="14">
        <v>-4.8000000000000001E-4</v>
      </c>
      <c r="C8" s="14"/>
      <c r="D8" s="167">
        <v>46307</v>
      </c>
      <c r="E8" s="14" t="s">
        <v>139</v>
      </c>
      <c r="F8" s="14" t="s">
        <v>557</v>
      </c>
      <c r="G8" s="14" t="s">
        <v>898</v>
      </c>
      <c r="H8" s="14"/>
      <c r="I8" s="14"/>
      <c r="J8" s="14" t="s">
        <v>945</v>
      </c>
      <c r="K8" s="14" t="s">
        <v>946</v>
      </c>
      <c r="L8" s="14">
        <v>4.8899999999999999E-2</v>
      </c>
      <c r="M8" s="14" t="s">
        <v>558</v>
      </c>
      <c r="N8" s="14" t="s">
        <v>196</v>
      </c>
      <c r="O8" s="14"/>
      <c r="P8" s="14"/>
      <c r="Q8" s="14"/>
      <c r="R8" s="14"/>
      <c r="S8" s="14"/>
      <c r="T8" s="14"/>
      <c r="U8" s="14"/>
      <c r="V8" s="14"/>
      <c r="W8" s="14"/>
      <c r="X8" s="14"/>
      <c r="Y8" s="14"/>
      <c r="Z8" s="14"/>
      <c r="AA8" s="14"/>
      <c r="AB8" s="14"/>
      <c r="AC8" s="14"/>
      <c r="AD8" s="14"/>
      <c r="AE8" s="14"/>
      <c r="AF8" s="14"/>
      <c r="AG8" s="14"/>
      <c r="AH8" s="14"/>
      <c r="AI8" s="14"/>
      <c r="AJ8" s="167">
        <v>45951</v>
      </c>
      <c r="AK8" s="14">
        <v>282.05</v>
      </c>
      <c r="AL8" s="14" t="s">
        <v>562</v>
      </c>
      <c r="AM8" s="14" t="s">
        <v>154</v>
      </c>
      <c r="AN8" s="14">
        <f>IF('Stock Data'!$H$2,IF(ISNUMBER(AK8),AK8,NA()),NA())</f>
        <v>282.05</v>
      </c>
      <c r="AO8" s="14"/>
      <c r="AP8" s="14"/>
      <c r="AQ8" s="14" t="s">
        <v>579</v>
      </c>
      <c r="AR8" s="14" t="s">
        <v>575</v>
      </c>
      <c r="AS8" s="14">
        <v>2.161775</v>
      </c>
      <c r="AT8" s="14">
        <v>46303</v>
      </c>
      <c r="AU8" s="14">
        <v>14</v>
      </c>
      <c r="AV8" s="14" t="s">
        <v>179</v>
      </c>
      <c r="AW8" s="14">
        <v>16511759598</v>
      </c>
      <c r="AX8" s="14"/>
      <c r="AY8" s="14"/>
      <c r="AZ8" s="14"/>
      <c r="BA8" s="14"/>
      <c r="BB8" s="14"/>
      <c r="BC8" s="14"/>
      <c r="BD8" s="14" t="s">
        <v>164</v>
      </c>
      <c r="BE8" s="14" t="s">
        <v>167</v>
      </c>
      <c r="BF8" s="14" t="s">
        <v>566</v>
      </c>
      <c r="BG8" s="14"/>
      <c r="BH8" s="14">
        <v>200</v>
      </c>
      <c r="BI8" s="14">
        <v>46307.768506944441</v>
      </c>
    </row>
    <row r="9" spans="1:61">
      <c r="A9" s="14" t="s">
        <v>187</v>
      </c>
      <c r="B9" s="14">
        <v>46307</v>
      </c>
      <c r="C9" s="14"/>
      <c r="D9" s="167">
        <v>46307</v>
      </c>
      <c r="E9" s="14" t="s">
        <v>139</v>
      </c>
      <c r="F9" s="14" t="s">
        <v>557</v>
      </c>
      <c r="G9" s="14" t="s">
        <v>594</v>
      </c>
      <c r="H9" s="14"/>
      <c r="I9" s="14"/>
      <c r="J9" s="14" t="s">
        <v>947</v>
      </c>
      <c r="K9" s="14" t="s">
        <v>948</v>
      </c>
      <c r="L9" s="14">
        <v>4.7899999999999998E-2</v>
      </c>
      <c r="M9" s="14" t="s">
        <v>558</v>
      </c>
      <c r="N9" s="14" t="s">
        <v>196</v>
      </c>
      <c r="O9" s="14"/>
      <c r="P9" s="14"/>
      <c r="Q9" s="14"/>
      <c r="R9" s="14"/>
      <c r="S9" s="14"/>
      <c r="T9" s="14"/>
      <c r="U9" s="14"/>
      <c r="V9" s="14"/>
      <c r="W9" s="14"/>
      <c r="X9" s="14"/>
      <c r="Y9" s="14"/>
      <c r="Z9" s="14"/>
      <c r="AA9" s="14"/>
      <c r="AB9" s="14"/>
      <c r="AC9" s="14"/>
      <c r="AD9" s="14"/>
      <c r="AE9" s="14"/>
      <c r="AF9" s="14"/>
      <c r="AG9" s="14"/>
      <c r="AH9" s="14"/>
      <c r="AI9" s="14"/>
      <c r="AJ9" s="167">
        <v>45952</v>
      </c>
      <c r="AK9" s="14">
        <v>287.51</v>
      </c>
      <c r="AL9" s="14" t="s">
        <v>562</v>
      </c>
      <c r="AM9" s="14" t="s">
        <v>154</v>
      </c>
      <c r="AN9" s="14">
        <f>IF('Stock Data'!$H$2,IF(ISNUMBER(AK9),AK9,NA()),NA())</f>
        <v>287.51</v>
      </c>
      <c r="AO9" s="14"/>
      <c r="AP9" s="14"/>
      <c r="AQ9" s="14" t="s">
        <v>581</v>
      </c>
      <c r="AR9" s="14" t="s">
        <v>575</v>
      </c>
      <c r="AS9" s="14">
        <v>3.1030440000000001</v>
      </c>
      <c r="AT9" s="14">
        <v>46303</v>
      </c>
      <c r="AU9" s="14">
        <v>14</v>
      </c>
      <c r="AV9" s="14" t="s">
        <v>179</v>
      </c>
      <c r="AW9" s="14">
        <v>17839671235</v>
      </c>
      <c r="AX9" s="14"/>
      <c r="AY9" s="14"/>
      <c r="AZ9" s="14"/>
      <c r="BA9" s="14"/>
      <c r="BB9" s="14"/>
      <c r="BC9" s="14"/>
      <c r="BD9" s="14" t="s">
        <v>170</v>
      </c>
      <c r="BE9" s="14" t="s">
        <v>173</v>
      </c>
      <c r="BF9" s="14" t="s">
        <v>566</v>
      </c>
      <c r="BG9" s="14" t="s">
        <v>578</v>
      </c>
      <c r="BH9" s="14">
        <v>200</v>
      </c>
      <c r="BI9" s="14">
        <v>46307.768506944441</v>
      </c>
    </row>
    <row r="10" spans="1:61">
      <c r="A10" s="14" t="s">
        <v>191</v>
      </c>
      <c r="B10" s="14">
        <v>0.66666666666666663</v>
      </c>
      <c r="C10" s="14"/>
      <c r="D10" s="167">
        <v>46307</v>
      </c>
      <c r="E10" s="14" t="s">
        <v>139</v>
      </c>
      <c r="F10" s="14" t="s">
        <v>557</v>
      </c>
      <c r="G10" s="14" t="s">
        <v>582</v>
      </c>
      <c r="H10" s="14"/>
      <c r="I10" s="14"/>
      <c r="J10" s="14" t="s">
        <v>949</v>
      </c>
      <c r="K10" s="14" t="s">
        <v>950</v>
      </c>
      <c r="L10" s="14">
        <v>4.3058039999999999E-2</v>
      </c>
      <c r="M10" s="14" t="s">
        <v>558</v>
      </c>
      <c r="N10" s="14" t="s">
        <v>196</v>
      </c>
      <c r="O10" s="14"/>
      <c r="P10" s="14"/>
      <c r="Q10" s="14"/>
      <c r="R10" s="14"/>
      <c r="S10" s="14"/>
      <c r="T10" s="14"/>
      <c r="U10" s="14"/>
      <c r="V10" s="14"/>
      <c r="W10" s="14"/>
      <c r="X10" s="14"/>
      <c r="Y10" s="14"/>
      <c r="Z10" s="14"/>
      <c r="AA10" s="14"/>
      <c r="AB10" s="14"/>
      <c r="AC10" s="14"/>
      <c r="AD10" s="14"/>
      <c r="AE10" s="14"/>
      <c r="AF10" s="14"/>
      <c r="AG10" s="14"/>
      <c r="AH10" s="14"/>
      <c r="AI10" s="14"/>
      <c r="AJ10" s="167">
        <v>45953</v>
      </c>
      <c r="AK10" s="14">
        <v>285</v>
      </c>
      <c r="AL10" s="14" t="s">
        <v>562</v>
      </c>
      <c r="AM10" s="14" t="s">
        <v>154</v>
      </c>
      <c r="AN10" s="14">
        <f>IF('Stock Data'!$H$2,IF(ISNUMBER(AK10),AK10,NA()),NA())</f>
        <v>285</v>
      </c>
      <c r="AO10" s="14"/>
      <c r="AP10" s="14"/>
      <c r="AQ10" s="14" t="s">
        <v>583</v>
      </c>
      <c r="AR10" s="14" t="s">
        <v>575</v>
      </c>
      <c r="AS10" s="14">
        <v>3.038799</v>
      </c>
      <c r="AT10" s="14">
        <v>46303</v>
      </c>
      <c r="AU10" s="14">
        <v>12</v>
      </c>
      <c r="AV10" s="14" t="s">
        <v>179</v>
      </c>
      <c r="AW10" s="14">
        <v>17548880781</v>
      </c>
      <c r="AX10" s="14"/>
      <c r="AY10" s="14"/>
      <c r="AZ10" s="14"/>
      <c r="BA10" s="14"/>
      <c r="BB10" s="14"/>
      <c r="BC10" s="14"/>
      <c r="BD10" s="14" t="s">
        <v>176</v>
      </c>
      <c r="BE10" s="14" t="s">
        <v>179</v>
      </c>
      <c r="BF10" s="14" t="s">
        <v>566</v>
      </c>
      <c r="BG10" s="14"/>
      <c r="BH10" s="14">
        <v>200</v>
      </c>
      <c r="BI10" s="14">
        <v>46307.768506944441</v>
      </c>
    </row>
    <row r="11" spans="1:61">
      <c r="A11" s="14" t="s">
        <v>197</v>
      </c>
      <c r="B11" s="14">
        <v>-4</v>
      </c>
      <c r="C11" s="14"/>
      <c r="D11" s="167">
        <v>46307</v>
      </c>
      <c r="E11" s="14" t="s">
        <v>139</v>
      </c>
      <c r="F11" s="14" t="s">
        <v>557</v>
      </c>
      <c r="G11" s="14" t="s">
        <v>584</v>
      </c>
      <c r="H11" s="14"/>
      <c r="I11" s="14"/>
      <c r="J11" s="14" t="s">
        <v>886</v>
      </c>
      <c r="K11" s="14" t="s">
        <v>887</v>
      </c>
      <c r="L11" s="14">
        <v>4.1399999999999999E-2</v>
      </c>
      <c r="M11" s="14" t="s">
        <v>558</v>
      </c>
      <c r="N11" s="14" t="s">
        <v>196</v>
      </c>
      <c r="O11" s="14"/>
      <c r="P11" s="14"/>
      <c r="Q11" s="14"/>
      <c r="R11" s="14"/>
      <c r="S11" s="14"/>
      <c r="T11" s="14"/>
      <c r="U11" s="14"/>
      <c r="V11" s="14"/>
      <c r="W11" s="14"/>
      <c r="X11" s="14"/>
      <c r="Y11" s="14"/>
      <c r="Z11" s="14"/>
      <c r="AA11" s="14"/>
      <c r="AB11" s="14"/>
      <c r="AC11" s="14"/>
      <c r="AD11" s="14"/>
      <c r="AE11" s="14"/>
      <c r="AF11" s="14"/>
      <c r="AG11" s="14"/>
      <c r="AH11" s="14"/>
      <c r="AI11" s="14"/>
      <c r="AJ11" s="167">
        <v>45954</v>
      </c>
      <c r="AK11" s="14">
        <v>307.45999999999998</v>
      </c>
      <c r="AL11" s="14" t="s">
        <v>562</v>
      </c>
      <c r="AM11" s="14" t="s">
        <v>154</v>
      </c>
      <c r="AN11" s="14">
        <f>IF('Stock Data'!$H$2,IF(ISNUMBER(AK11),AK11,NA()),NA())</f>
        <v>307.45999999999998</v>
      </c>
      <c r="AO11" s="14"/>
      <c r="AP11" s="14"/>
      <c r="AQ11" s="14" t="s">
        <v>585</v>
      </c>
      <c r="AR11" s="14" t="s">
        <v>575</v>
      </c>
      <c r="AS11" s="14">
        <v>4.8248620000000004</v>
      </c>
      <c r="AT11" s="14">
        <v>46303</v>
      </c>
      <c r="AU11" s="14">
        <v>12</v>
      </c>
      <c r="AV11" s="14" t="s">
        <v>179</v>
      </c>
      <c r="AW11" s="14">
        <v>21344505382</v>
      </c>
      <c r="AX11" s="14"/>
      <c r="AY11" s="14"/>
      <c r="AZ11" s="14"/>
      <c r="BA11" s="14"/>
      <c r="BB11" s="14"/>
      <c r="BC11" s="14"/>
      <c r="BD11" s="14" t="s">
        <v>183</v>
      </c>
      <c r="BE11" s="14" t="s">
        <v>186</v>
      </c>
      <c r="BF11" s="14" t="s">
        <v>566</v>
      </c>
      <c r="BG11" s="14"/>
      <c r="BH11" s="14">
        <v>200</v>
      </c>
      <c r="BI11" s="14">
        <v>46307.768506944441</v>
      </c>
    </row>
    <row r="12" spans="1:61">
      <c r="A12" s="14" t="s">
        <v>204</v>
      </c>
      <c r="B12" s="14">
        <v>227.13</v>
      </c>
      <c r="C12" s="14"/>
      <c r="D12" s="167">
        <v>46307</v>
      </c>
      <c r="E12" s="14" t="s">
        <v>139</v>
      </c>
      <c r="F12" s="14" t="s">
        <v>557</v>
      </c>
      <c r="G12" s="14" t="s">
        <v>899</v>
      </c>
      <c r="H12" s="14"/>
      <c r="I12" s="14"/>
      <c r="J12" s="14" t="s">
        <v>951</v>
      </c>
      <c r="K12" s="14" t="s">
        <v>952</v>
      </c>
      <c r="L12" s="14">
        <v>3.7986039999999999E-2</v>
      </c>
      <c r="M12" s="14" t="s">
        <v>558</v>
      </c>
      <c r="N12" s="14" t="s">
        <v>196</v>
      </c>
      <c r="O12" s="14"/>
      <c r="P12" s="14"/>
      <c r="Q12" s="14"/>
      <c r="R12" s="14"/>
      <c r="S12" s="14"/>
      <c r="T12" s="14"/>
      <c r="U12" s="14"/>
      <c r="V12" s="14"/>
      <c r="W12" s="14"/>
      <c r="X12" s="14"/>
      <c r="Y12" s="14"/>
      <c r="Z12" s="14"/>
      <c r="AA12" s="14"/>
      <c r="AB12" s="14"/>
      <c r="AC12" s="14"/>
      <c r="AD12" s="14"/>
      <c r="AE12" s="14"/>
      <c r="AF12" s="14"/>
      <c r="AG12" s="14"/>
      <c r="AH12" s="14"/>
      <c r="AI12" s="14"/>
      <c r="AJ12" s="167">
        <v>45957</v>
      </c>
      <c r="AK12" s="14">
        <v>313.08999999999997</v>
      </c>
      <c r="AL12" s="14" t="s">
        <v>562</v>
      </c>
      <c r="AM12" s="14" t="s">
        <v>154</v>
      </c>
      <c r="AN12" s="14">
        <f>IF('Stock Data'!$H$2,IF(ISNUMBER(AK12),AK12,NA()),NA())</f>
        <v>313.08999999999997</v>
      </c>
      <c r="AO12" s="14"/>
      <c r="AP12" s="14"/>
      <c r="AQ12" s="14" t="s">
        <v>586</v>
      </c>
      <c r="AR12" s="14" t="s">
        <v>575</v>
      </c>
      <c r="AS12" s="14">
        <v>2.3197640000000002</v>
      </c>
      <c r="AT12" s="14">
        <v>46301</v>
      </c>
      <c r="AU12" s="14">
        <v>3</v>
      </c>
      <c r="AV12" s="14" t="s">
        <v>179</v>
      </c>
      <c r="AW12" s="14">
        <v>17370586143</v>
      </c>
      <c r="AX12" s="14"/>
      <c r="AY12" s="14"/>
      <c r="AZ12" s="14"/>
      <c r="BA12" s="14"/>
      <c r="BB12" s="14"/>
      <c r="BC12" s="14"/>
      <c r="BD12" s="14" t="s">
        <v>188</v>
      </c>
      <c r="BE12" s="14" t="s">
        <v>190</v>
      </c>
      <c r="BF12" s="14" t="s">
        <v>566</v>
      </c>
      <c r="BG12" s="14"/>
      <c r="BH12" s="14">
        <v>200</v>
      </c>
      <c r="BI12" s="14">
        <v>46307.768506944441</v>
      </c>
    </row>
    <row r="13" spans="1:61">
      <c r="A13" s="14" t="s">
        <v>211</v>
      </c>
      <c r="B13" s="14">
        <v>46304</v>
      </c>
      <c r="C13" s="14"/>
      <c r="D13" s="167">
        <v>46307</v>
      </c>
      <c r="E13" s="14" t="s">
        <v>139</v>
      </c>
      <c r="F13" s="14" t="s">
        <v>557</v>
      </c>
      <c r="G13" s="14" t="s">
        <v>580</v>
      </c>
      <c r="H13" s="14"/>
      <c r="I13" s="14"/>
      <c r="J13" s="14" t="s">
        <v>953</v>
      </c>
      <c r="K13" s="14" t="s">
        <v>954</v>
      </c>
      <c r="L13" s="14">
        <v>3.7319939999999996E-2</v>
      </c>
      <c r="M13" s="14" t="s">
        <v>558</v>
      </c>
      <c r="N13" s="14" t="s">
        <v>196</v>
      </c>
      <c r="O13" s="14"/>
      <c r="P13" s="14"/>
      <c r="Q13" s="14"/>
      <c r="R13" s="14"/>
      <c r="S13" s="14"/>
      <c r="T13" s="14"/>
      <c r="U13" s="14"/>
      <c r="V13" s="14"/>
      <c r="W13" s="14"/>
      <c r="X13" s="14"/>
      <c r="Y13" s="14"/>
      <c r="Z13" s="14"/>
      <c r="AA13" s="14"/>
      <c r="AB13" s="14"/>
      <c r="AC13" s="14"/>
      <c r="AD13" s="14"/>
      <c r="AE13" s="14"/>
      <c r="AF13" s="14"/>
      <c r="AG13" s="14"/>
      <c r="AH13" s="14"/>
      <c r="AI13" s="14"/>
      <c r="AJ13" s="167">
        <v>45958</v>
      </c>
      <c r="AK13" s="14">
        <v>312.57</v>
      </c>
      <c r="AL13" s="14" t="s">
        <v>562</v>
      </c>
      <c r="AM13" s="14" t="s">
        <v>154</v>
      </c>
      <c r="AN13" s="14">
        <f>IF('Stock Data'!$H$2,IF(ISNUMBER(AK13),AK13,NA()),NA())</f>
        <v>312.57</v>
      </c>
      <c r="AO13" s="14"/>
      <c r="AP13" s="14"/>
      <c r="AQ13" s="14" t="s">
        <v>587</v>
      </c>
      <c r="AR13" s="14" t="s">
        <v>575</v>
      </c>
      <c r="AS13" s="14">
        <v>3.3950200000000001</v>
      </c>
      <c r="AT13" s="14">
        <v>46301</v>
      </c>
      <c r="AU13" s="14">
        <v>3</v>
      </c>
      <c r="AV13" s="14" t="s">
        <v>179</v>
      </c>
      <c r="AW13" s="14">
        <v>18540501546</v>
      </c>
      <c r="AX13" s="14"/>
      <c r="AY13" s="14"/>
      <c r="AZ13" s="14"/>
      <c r="BA13" s="14"/>
      <c r="BB13" s="14"/>
      <c r="BC13" s="14"/>
      <c r="BD13" s="14" t="s">
        <v>193</v>
      </c>
      <c r="BE13" s="14" t="s">
        <v>196</v>
      </c>
      <c r="BF13" s="14" t="s">
        <v>566</v>
      </c>
      <c r="BG13" s="14"/>
      <c r="BH13" s="14">
        <v>200</v>
      </c>
      <c r="BI13" s="14">
        <v>46307.768506944441</v>
      </c>
    </row>
    <row r="14" spans="1:61">
      <c r="A14" s="14" t="s">
        <v>217</v>
      </c>
      <c r="B14" s="14">
        <v>228.31</v>
      </c>
      <c r="C14" s="14"/>
      <c r="D14" s="167">
        <v>46307</v>
      </c>
      <c r="E14" s="14" t="s">
        <v>139</v>
      </c>
      <c r="F14" s="14" t="s">
        <v>557</v>
      </c>
      <c r="G14" s="14" t="s">
        <v>900</v>
      </c>
      <c r="H14" s="14"/>
      <c r="I14" s="14"/>
      <c r="J14" s="14" t="s">
        <v>955</v>
      </c>
      <c r="K14" s="14" t="s">
        <v>956</v>
      </c>
      <c r="L14" s="14">
        <v>3.6699999999999997E-2</v>
      </c>
      <c r="M14" s="14" t="s">
        <v>558</v>
      </c>
      <c r="N14" s="14" t="s">
        <v>196</v>
      </c>
      <c r="O14" s="14"/>
      <c r="P14" s="14"/>
      <c r="Q14" s="14"/>
      <c r="R14" s="14"/>
      <c r="S14" s="14"/>
      <c r="T14" s="14"/>
      <c r="U14" s="14"/>
      <c r="V14" s="14"/>
      <c r="W14" s="14"/>
      <c r="X14" s="14"/>
      <c r="Y14" s="14"/>
      <c r="Z14" s="14"/>
      <c r="AA14" s="14"/>
      <c r="AB14" s="14"/>
      <c r="AC14" s="14"/>
      <c r="AD14" s="14"/>
      <c r="AE14" s="14"/>
      <c r="AF14" s="14"/>
      <c r="AG14" s="14"/>
      <c r="AH14" s="14"/>
      <c r="AI14" s="14"/>
      <c r="AJ14" s="167">
        <v>45959</v>
      </c>
      <c r="AK14" s="14">
        <v>308.20999999999998</v>
      </c>
      <c r="AL14" s="14" t="s">
        <v>562</v>
      </c>
      <c r="AM14" s="14" t="s">
        <v>154</v>
      </c>
      <c r="AN14" s="14">
        <f>IF('Stock Data'!$H$2,IF(ISNUMBER(AK14),AK14,NA()),NA())</f>
        <v>308.20999999999998</v>
      </c>
      <c r="AO14" s="14"/>
      <c r="AP14" s="14"/>
      <c r="AQ14" s="14" t="s">
        <v>592</v>
      </c>
      <c r="AR14" s="14" t="s">
        <v>575</v>
      </c>
      <c r="AS14" s="14">
        <v>3.3309850000000001</v>
      </c>
      <c r="AT14" s="14">
        <v>46301</v>
      </c>
      <c r="AU14" s="14">
        <v>3</v>
      </c>
      <c r="AV14" s="14" t="s">
        <v>179</v>
      </c>
      <c r="AW14" s="14">
        <v>18208774909</v>
      </c>
      <c r="AX14" s="14"/>
      <c r="AY14" s="14"/>
      <c r="AZ14" s="14"/>
      <c r="BA14" s="14"/>
      <c r="BB14" s="14"/>
      <c r="BC14" s="14"/>
      <c r="BD14" s="14" t="s">
        <v>199</v>
      </c>
      <c r="BE14" s="14" t="s">
        <v>203</v>
      </c>
      <c r="BF14" s="14" t="s">
        <v>566</v>
      </c>
      <c r="BG14" s="14"/>
      <c r="BH14" s="14">
        <v>200</v>
      </c>
      <c r="BI14" s="14">
        <v>46307.768518518518</v>
      </c>
    </row>
    <row r="15" spans="1:61">
      <c r="A15" s="14" t="s">
        <v>222</v>
      </c>
      <c r="B15" s="14">
        <v>229.285</v>
      </c>
      <c r="C15" s="14"/>
      <c r="D15" s="167">
        <v>46307</v>
      </c>
      <c r="E15" s="14" t="s">
        <v>139</v>
      </c>
      <c r="F15" s="14" t="s">
        <v>557</v>
      </c>
      <c r="G15" s="14" t="s">
        <v>901</v>
      </c>
      <c r="H15" s="14"/>
      <c r="I15" s="14"/>
      <c r="J15" s="14" t="s">
        <v>957</v>
      </c>
      <c r="K15" s="14" t="s">
        <v>958</v>
      </c>
      <c r="L15" s="14">
        <v>3.5900000000000001E-2</v>
      </c>
      <c r="M15" s="14" t="s">
        <v>558</v>
      </c>
      <c r="N15" s="14" t="s">
        <v>196</v>
      </c>
      <c r="O15" s="14"/>
      <c r="P15" s="14"/>
      <c r="Q15" s="14"/>
      <c r="R15" s="14"/>
      <c r="S15" s="14"/>
      <c r="T15" s="14"/>
      <c r="U15" s="14"/>
      <c r="V15" s="14"/>
      <c r="W15" s="14"/>
      <c r="X15" s="14"/>
      <c r="Y15" s="14"/>
      <c r="Z15" s="14"/>
      <c r="AA15" s="14"/>
      <c r="AB15" s="14"/>
      <c r="AC15" s="14"/>
      <c r="AD15" s="14"/>
      <c r="AE15" s="14"/>
      <c r="AF15" s="14"/>
      <c r="AG15" s="14"/>
      <c r="AH15" s="14"/>
      <c r="AI15" s="14"/>
      <c r="AJ15" s="167">
        <v>45960</v>
      </c>
      <c r="AK15" s="14">
        <v>310.06</v>
      </c>
      <c r="AL15" s="14" t="s">
        <v>562</v>
      </c>
      <c r="AM15" s="14" t="s">
        <v>154</v>
      </c>
      <c r="AN15" s="14">
        <f>IF('Stock Data'!$H$2,IF(ISNUMBER(AK15),AK15,NA()),NA())</f>
        <v>310.06</v>
      </c>
      <c r="AO15" s="14"/>
      <c r="AP15" s="14"/>
      <c r="AQ15" s="14" t="s">
        <v>593</v>
      </c>
      <c r="AR15" s="14" t="s">
        <v>575</v>
      </c>
      <c r="AS15" s="14">
        <v>5.0464010000000004</v>
      </c>
      <c r="AT15" s="14">
        <v>46301</v>
      </c>
      <c r="AU15" s="14">
        <v>3</v>
      </c>
      <c r="AV15" s="14" t="s">
        <v>179</v>
      </c>
      <c r="AW15" s="14">
        <v>22166154577</v>
      </c>
      <c r="AX15" s="14"/>
      <c r="AY15" s="14"/>
      <c r="AZ15" s="14"/>
      <c r="BA15" s="14"/>
      <c r="BB15" s="14"/>
      <c r="BC15" s="14"/>
      <c r="BD15" s="14"/>
      <c r="BE15" s="14"/>
      <c r="BF15" s="14"/>
      <c r="BG15" s="14"/>
      <c r="BH15" s="14"/>
      <c r="BI15" s="14"/>
    </row>
    <row r="16" spans="1:61">
      <c r="A16" s="14" t="s">
        <v>228</v>
      </c>
      <c r="B16" s="14">
        <v>224.77</v>
      </c>
      <c r="C16" s="14"/>
      <c r="D16" s="167">
        <v>46307</v>
      </c>
      <c r="E16" s="14" t="s">
        <v>139</v>
      </c>
      <c r="F16" s="14" t="s">
        <v>557</v>
      </c>
      <c r="G16" s="14" t="s">
        <v>902</v>
      </c>
      <c r="H16" s="14"/>
      <c r="I16" s="14"/>
      <c r="J16" s="14" t="s">
        <v>959</v>
      </c>
      <c r="K16" s="14" t="s">
        <v>960</v>
      </c>
      <c r="L16" s="14">
        <v>3.3399999999999999E-2</v>
      </c>
      <c r="M16" s="14" t="s">
        <v>558</v>
      </c>
      <c r="N16" s="14" t="s">
        <v>196</v>
      </c>
      <c r="O16" s="14"/>
      <c r="P16" s="14"/>
      <c r="Q16" s="14"/>
      <c r="R16" s="14"/>
      <c r="S16" s="14"/>
      <c r="T16" s="14"/>
      <c r="U16" s="14"/>
      <c r="V16" s="14"/>
      <c r="W16" s="14"/>
      <c r="X16" s="14"/>
      <c r="Y16" s="14"/>
      <c r="Z16" s="14"/>
      <c r="AA16" s="14"/>
      <c r="AB16" s="14"/>
      <c r="AC16" s="14"/>
      <c r="AD16" s="14"/>
      <c r="AE16" s="14"/>
      <c r="AF16" s="14"/>
      <c r="AG16" s="14"/>
      <c r="AH16" s="14"/>
      <c r="AI16" s="14"/>
      <c r="AJ16" s="167">
        <v>45961</v>
      </c>
      <c r="AK16" s="14">
        <v>307.41000000000003</v>
      </c>
      <c r="AL16" s="14" t="s">
        <v>562</v>
      </c>
      <c r="AM16" s="14" t="s">
        <v>154</v>
      </c>
      <c r="AN16" s="14">
        <f>IF('Stock Data'!$H$2,IF(ISNUMBER(AK16),AK16,NA()),NA())</f>
        <v>307.41000000000003</v>
      </c>
      <c r="AO16" s="14"/>
      <c r="AP16" s="14"/>
      <c r="AQ16" s="14"/>
      <c r="AR16" s="14"/>
      <c r="AS16" s="14"/>
      <c r="AT16" s="14"/>
      <c r="AU16" s="14"/>
      <c r="AV16" s="14"/>
      <c r="AW16" s="14"/>
      <c r="AX16" s="14"/>
      <c r="AY16" s="14"/>
      <c r="AZ16" s="14"/>
      <c r="BA16" s="14"/>
      <c r="BB16" s="14"/>
      <c r="BC16" s="14"/>
      <c r="BD16" s="14"/>
      <c r="BE16" s="14"/>
      <c r="BF16" s="14"/>
      <c r="BG16" s="14"/>
      <c r="BH16" s="14"/>
      <c r="BI16" s="14"/>
    </row>
    <row r="17" spans="1:61">
      <c r="A17" s="14" t="s">
        <v>233</v>
      </c>
      <c r="B17" s="14">
        <v>332.46</v>
      </c>
      <c r="C17" s="14"/>
      <c r="D17" s="167">
        <v>46307</v>
      </c>
      <c r="E17" s="14" t="s">
        <v>139</v>
      </c>
      <c r="F17" s="14" t="s">
        <v>557</v>
      </c>
      <c r="G17" s="14" t="s">
        <v>903</v>
      </c>
      <c r="H17" s="14"/>
      <c r="I17" s="14"/>
      <c r="J17" s="14" t="s">
        <v>596</v>
      </c>
      <c r="K17" s="14" t="s">
        <v>597</v>
      </c>
      <c r="L17" s="14">
        <v>3.1624020000000003E-2</v>
      </c>
      <c r="M17" s="14" t="s">
        <v>558</v>
      </c>
      <c r="N17" s="14" t="s">
        <v>196</v>
      </c>
      <c r="O17" s="14"/>
      <c r="P17" s="14"/>
      <c r="Q17" s="14"/>
      <c r="R17" s="14"/>
      <c r="S17" s="14"/>
      <c r="T17" s="14"/>
      <c r="U17" s="14"/>
      <c r="V17" s="14"/>
      <c r="W17" s="14"/>
      <c r="X17" s="14"/>
      <c r="Y17" s="14"/>
      <c r="Z17" s="14"/>
      <c r="AA17" s="14"/>
      <c r="AB17" s="14"/>
      <c r="AC17" s="14"/>
      <c r="AD17" s="14"/>
      <c r="AE17" s="14"/>
      <c r="AF17" s="14"/>
      <c r="AG17" s="14"/>
      <c r="AH17" s="14"/>
      <c r="AI17" s="14"/>
      <c r="AJ17" s="167">
        <v>45964</v>
      </c>
      <c r="AK17" s="14">
        <v>304.73</v>
      </c>
      <c r="AL17" s="14" t="s">
        <v>562</v>
      </c>
      <c r="AM17" s="14" t="s">
        <v>154</v>
      </c>
      <c r="AN17" s="14">
        <f>IF('Stock Data'!$H$2,IF(ISNUMBER(AK17),AK17,NA()),NA())</f>
        <v>304.73</v>
      </c>
      <c r="AO17" s="14"/>
      <c r="AP17" s="14"/>
      <c r="AQ17" s="14"/>
      <c r="AR17" s="14"/>
      <c r="AS17" s="14"/>
      <c r="AT17" s="14"/>
      <c r="AU17" s="14"/>
      <c r="AV17" s="14"/>
      <c r="AW17" s="14"/>
      <c r="AX17" s="14"/>
      <c r="AY17" s="14"/>
      <c r="AZ17" s="14"/>
      <c r="BA17" s="14"/>
      <c r="BB17" s="14"/>
      <c r="BC17" s="14"/>
      <c r="BD17" s="14"/>
      <c r="BE17" s="14"/>
      <c r="BF17" s="14"/>
      <c r="BG17" s="14"/>
      <c r="BH17" s="14"/>
      <c r="BI17" s="14"/>
    </row>
    <row r="18" spans="1:61">
      <c r="A18" s="14" t="s">
        <v>238</v>
      </c>
      <c r="B18" s="14">
        <v>199.19</v>
      </c>
      <c r="C18" s="14"/>
      <c r="D18" s="167">
        <v>46307</v>
      </c>
      <c r="E18" s="14" t="s">
        <v>139</v>
      </c>
      <c r="F18" s="14" t="s">
        <v>557</v>
      </c>
      <c r="G18" s="14" t="s">
        <v>904</v>
      </c>
      <c r="H18" s="14"/>
      <c r="I18" s="14"/>
      <c r="J18" s="14" t="s">
        <v>961</v>
      </c>
      <c r="K18" s="14" t="s">
        <v>962</v>
      </c>
      <c r="L18" s="14">
        <v>3.1604390000000003E-2</v>
      </c>
      <c r="M18" s="14" t="s">
        <v>558</v>
      </c>
      <c r="N18" s="14" t="s">
        <v>196</v>
      </c>
      <c r="O18" s="14"/>
      <c r="P18" s="14"/>
      <c r="Q18" s="14"/>
      <c r="R18" s="14"/>
      <c r="S18" s="14"/>
      <c r="T18" s="14"/>
      <c r="U18" s="14"/>
      <c r="V18" s="14"/>
      <c r="W18" s="14"/>
      <c r="X18" s="14"/>
      <c r="Y18" s="14"/>
      <c r="Z18" s="14"/>
      <c r="AA18" s="14"/>
      <c r="AB18" s="14"/>
      <c r="AC18" s="14"/>
      <c r="AD18" s="14"/>
      <c r="AE18" s="14"/>
      <c r="AF18" s="14"/>
      <c r="AG18" s="14"/>
      <c r="AH18" s="14"/>
      <c r="AI18" s="14"/>
      <c r="AJ18" s="167">
        <v>45965</v>
      </c>
      <c r="AK18" s="14">
        <v>300.85000000000002</v>
      </c>
      <c r="AL18" s="14" t="s">
        <v>562</v>
      </c>
      <c r="AM18" s="14" t="s">
        <v>154</v>
      </c>
      <c r="AN18" s="14">
        <f>IF('Stock Data'!$H$2,IF(ISNUMBER(AK18),AK18,NA()),NA())</f>
        <v>300.85000000000002</v>
      </c>
      <c r="AO18" s="14"/>
      <c r="AP18" s="14"/>
      <c r="AQ18" s="14"/>
      <c r="AR18" s="14"/>
      <c r="AS18" s="14"/>
      <c r="AT18" s="14"/>
      <c r="AU18" s="14"/>
      <c r="AV18" s="14"/>
      <c r="AW18" s="14"/>
      <c r="AX18" s="14"/>
      <c r="AY18" s="14"/>
      <c r="AZ18" s="14"/>
      <c r="BA18" s="14"/>
      <c r="BB18" s="14"/>
      <c r="BC18" s="14"/>
      <c r="BD18" s="14"/>
      <c r="BE18" s="14"/>
      <c r="BF18" s="14"/>
      <c r="BG18" s="14"/>
      <c r="BH18" s="14"/>
      <c r="BI18" s="14"/>
    </row>
    <row r="19" spans="1:61">
      <c r="A19" s="14" t="s">
        <v>243</v>
      </c>
      <c r="B19" s="14">
        <v>2764183.3640370001</v>
      </c>
      <c r="C19" s="14"/>
      <c r="D19" s="167">
        <v>46307</v>
      </c>
      <c r="E19" s="14" t="s">
        <v>139</v>
      </c>
      <c r="F19" s="14" t="s">
        <v>557</v>
      </c>
      <c r="G19" s="14" t="s">
        <v>1099</v>
      </c>
      <c r="H19" s="14"/>
      <c r="I19" s="14"/>
      <c r="J19" s="14" t="s">
        <v>963</v>
      </c>
      <c r="K19" s="14" t="s">
        <v>964</v>
      </c>
      <c r="L19" s="14">
        <v>3.0018909999999999E-2</v>
      </c>
      <c r="M19" s="14" t="s">
        <v>558</v>
      </c>
      <c r="N19" s="14" t="s">
        <v>196</v>
      </c>
      <c r="O19" s="14"/>
      <c r="P19" s="14"/>
      <c r="Q19" s="14"/>
      <c r="R19" s="14"/>
      <c r="S19" s="14"/>
      <c r="T19" s="14"/>
      <c r="U19" s="14"/>
      <c r="V19" s="14"/>
      <c r="W19" s="14"/>
      <c r="X19" s="14"/>
      <c r="Y19" s="14"/>
      <c r="Z19" s="14"/>
      <c r="AA19" s="14"/>
      <c r="AB19" s="14"/>
      <c r="AC19" s="14"/>
      <c r="AD19" s="14"/>
      <c r="AE19" s="14"/>
      <c r="AF19" s="14"/>
      <c r="AG19" s="14"/>
      <c r="AH19" s="14"/>
      <c r="AI19" s="14"/>
      <c r="AJ19" s="167">
        <v>45966</v>
      </c>
      <c r="AK19" s="14">
        <v>306.77</v>
      </c>
      <c r="AL19" s="14" t="s">
        <v>562</v>
      </c>
      <c r="AM19" s="14" t="s">
        <v>154</v>
      </c>
      <c r="AN19" s="14">
        <f>IF('Stock Data'!$H$2,IF(ISNUMBER(AK19),AK19,NA()),NA())</f>
        <v>306.77</v>
      </c>
      <c r="AO19" s="14"/>
      <c r="AP19" s="14"/>
      <c r="AQ19" s="14"/>
      <c r="AR19" s="14"/>
      <c r="AS19" s="14"/>
      <c r="AT19" s="14"/>
      <c r="AU19" s="14"/>
      <c r="AV19" s="14"/>
      <c r="AW19" s="14"/>
      <c r="AX19" s="14"/>
      <c r="AY19" s="14"/>
      <c r="AZ19" s="14"/>
      <c r="BA19" s="14"/>
      <c r="BB19" s="14"/>
      <c r="BC19" s="14"/>
      <c r="BD19" s="14"/>
      <c r="BE19" s="14"/>
      <c r="BF19" s="14"/>
      <c r="BG19" s="14"/>
      <c r="BH19" s="14"/>
      <c r="BI19" s="14"/>
    </row>
    <row r="20" spans="1:61">
      <c r="A20" s="14" t="s">
        <v>249</v>
      </c>
      <c r="B20" s="14">
        <v>46307</v>
      </c>
      <c r="C20" s="14"/>
      <c r="D20" s="167">
        <v>46307</v>
      </c>
      <c r="E20" s="14" t="s">
        <v>139</v>
      </c>
      <c r="F20" s="14" t="s">
        <v>557</v>
      </c>
      <c r="G20" s="14" t="s">
        <v>594</v>
      </c>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67">
        <v>45967</v>
      </c>
      <c r="AK20" s="14">
        <v>312.42</v>
      </c>
      <c r="AL20" s="14" t="s">
        <v>562</v>
      </c>
      <c r="AM20" s="14" t="s">
        <v>154</v>
      </c>
      <c r="AN20" s="14">
        <f>IF('Stock Data'!$H$2,IF(ISNUMBER(AK20),AK20,NA()),NA())</f>
        <v>312.42</v>
      </c>
      <c r="AO20" s="14"/>
      <c r="AP20" s="14"/>
      <c r="AQ20" s="14"/>
      <c r="AR20" s="14"/>
      <c r="AS20" s="14"/>
      <c r="AT20" s="14"/>
      <c r="AU20" s="14"/>
      <c r="AV20" s="14"/>
      <c r="AW20" s="14"/>
      <c r="AX20" s="14"/>
      <c r="AY20" s="14"/>
      <c r="AZ20" s="14"/>
      <c r="BA20" s="14"/>
      <c r="BB20" s="14"/>
      <c r="BC20" s="14"/>
      <c r="BD20" s="14"/>
      <c r="BE20" s="14"/>
      <c r="BF20" s="14"/>
      <c r="BG20" s="14"/>
      <c r="BH20" s="14"/>
      <c r="BI20" s="14"/>
    </row>
    <row r="21" spans="1:61">
      <c r="A21" s="14" t="s">
        <v>255</v>
      </c>
      <c r="B21" s="14">
        <v>226.6</v>
      </c>
      <c r="C21" s="14"/>
      <c r="D21" s="167">
        <v>46307</v>
      </c>
      <c r="E21" s="14" t="s">
        <v>139</v>
      </c>
      <c r="F21" s="14" t="s">
        <v>557</v>
      </c>
      <c r="G21" s="14" t="s">
        <v>1100</v>
      </c>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67">
        <v>45968</v>
      </c>
      <c r="AK21" s="14">
        <v>306.38</v>
      </c>
      <c r="AL21" s="14" t="s">
        <v>562</v>
      </c>
      <c r="AM21" s="14" t="s">
        <v>154</v>
      </c>
      <c r="AN21" s="14">
        <f>IF('Stock Data'!$H$2,IF(ISNUMBER(AK21),AK21,NA()),NA())</f>
        <v>306.38</v>
      </c>
      <c r="AO21" s="14"/>
      <c r="AP21" s="14"/>
      <c r="AQ21" s="14"/>
      <c r="AR21" s="14"/>
      <c r="AS21" s="14"/>
      <c r="AT21" s="14"/>
      <c r="AU21" s="14"/>
      <c r="AV21" s="14"/>
      <c r="AW21" s="14"/>
      <c r="AX21" s="14"/>
      <c r="AY21" s="14"/>
      <c r="AZ21" s="14"/>
      <c r="BA21" s="14"/>
      <c r="BB21" s="14"/>
      <c r="BC21" s="14"/>
      <c r="BD21" s="14"/>
      <c r="BE21" s="14"/>
      <c r="BF21" s="14"/>
      <c r="BG21" s="14"/>
      <c r="BH21" s="14"/>
      <c r="BI21" s="14"/>
    </row>
    <row r="22" spans="1:61">
      <c r="A22" s="14" t="s">
        <v>262</v>
      </c>
      <c r="B22" s="14">
        <v>227</v>
      </c>
      <c r="C22" s="14"/>
      <c r="D22" s="167">
        <v>46307</v>
      </c>
      <c r="E22" s="14" t="s">
        <v>139</v>
      </c>
      <c r="F22" s="14" t="s">
        <v>557</v>
      </c>
      <c r="G22" s="14" t="s">
        <v>1101</v>
      </c>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67">
        <v>45971</v>
      </c>
      <c r="AK22" s="14">
        <v>309.13</v>
      </c>
      <c r="AL22" s="14" t="s">
        <v>562</v>
      </c>
      <c r="AM22" s="14" t="s">
        <v>154</v>
      </c>
      <c r="AN22" s="14">
        <f>IF('Stock Data'!$H$2,IF(ISNUMBER(AK22),AK22,NA()),NA())</f>
        <v>309.13</v>
      </c>
      <c r="AO22" s="14"/>
      <c r="AP22" s="14"/>
      <c r="AQ22" s="14"/>
      <c r="AR22" s="14"/>
      <c r="AS22" s="14"/>
      <c r="AT22" s="14"/>
      <c r="AU22" s="14"/>
      <c r="AV22" s="14"/>
      <c r="AW22" s="14"/>
      <c r="AX22" s="14"/>
      <c r="AY22" s="14"/>
      <c r="AZ22" s="14"/>
      <c r="BA22" s="14"/>
      <c r="BB22" s="14"/>
      <c r="BC22" s="14"/>
      <c r="BD22" s="14"/>
      <c r="BE22" s="14"/>
      <c r="BF22" s="14"/>
      <c r="BG22" s="14"/>
      <c r="BH22" s="14"/>
      <c r="BI22" s="14"/>
    </row>
    <row r="23" spans="1:61">
      <c r="A23" s="14" t="s">
        <v>268</v>
      </c>
      <c r="B23" s="14">
        <v>100</v>
      </c>
      <c r="C23" s="14"/>
      <c r="D23" s="167">
        <v>46307</v>
      </c>
      <c r="E23" s="14" t="s">
        <v>139</v>
      </c>
      <c r="F23" s="14" t="s">
        <v>557</v>
      </c>
      <c r="G23" s="14" t="s">
        <v>595</v>
      </c>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67">
        <v>45972</v>
      </c>
      <c r="AK23" s="14">
        <v>313.72000000000003</v>
      </c>
      <c r="AL23" s="14" t="s">
        <v>562</v>
      </c>
      <c r="AM23" s="14" t="s">
        <v>154</v>
      </c>
      <c r="AN23" s="14">
        <f>IF('Stock Data'!$H$2,IF(ISNUMBER(AK23),AK23,NA()),NA())</f>
        <v>313.72000000000003</v>
      </c>
      <c r="AO23" s="14"/>
      <c r="AP23" s="14"/>
      <c r="AQ23" s="14"/>
      <c r="AR23" s="14"/>
      <c r="AS23" s="14"/>
      <c r="AT23" s="14"/>
      <c r="AU23" s="14"/>
      <c r="AV23" s="14"/>
      <c r="AW23" s="14"/>
      <c r="AX23" s="14"/>
      <c r="AY23" s="14"/>
      <c r="AZ23" s="14"/>
      <c r="BA23" s="14"/>
      <c r="BB23" s="14"/>
      <c r="BC23" s="14"/>
      <c r="BD23" s="14"/>
      <c r="BE23" s="14"/>
      <c r="BF23" s="14"/>
      <c r="BG23" s="14"/>
      <c r="BH23" s="14"/>
      <c r="BI23" s="14"/>
    </row>
    <row r="24" spans="1:61">
      <c r="A24" s="14" t="s">
        <v>274</v>
      </c>
      <c r="B24" s="14">
        <v>200</v>
      </c>
      <c r="C24" s="14"/>
      <c r="D24" s="167">
        <v>46307</v>
      </c>
      <c r="E24" s="14" t="s">
        <v>139</v>
      </c>
      <c r="F24" s="14" t="s">
        <v>557</v>
      </c>
      <c r="G24" s="14" t="s">
        <v>1102</v>
      </c>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67">
        <v>45973</v>
      </c>
      <c r="AK24" s="14">
        <v>314.98</v>
      </c>
      <c r="AL24" s="14" t="s">
        <v>562</v>
      </c>
      <c r="AM24" s="14" t="s">
        <v>154</v>
      </c>
      <c r="AN24" s="14">
        <f>IF('Stock Data'!$H$2,IF(ISNUMBER(AK24),AK24,NA()),NA())</f>
        <v>314.98</v>
      </c>
      <c r="AO24" s="14"/>
      <c r="AP24" s="14"/>
      <c r="AQ24" s="14"/>
      <c r="AR24" s="14"/>
      <c r="AS24" s="14"/>
      <c r="AT24" s="14"/>
      <c r="AU24" s="14"/>
      <c r="AV24" s="14"/>
      <c r="AW24" s="14"/>
      <c r="AX24" s="14"/>
      <c r="AY24" s="14"/>
      <c r="AZ24" s="14"/>
      <c r="BA24" s="14"/>
      <c r="BB24" s="14"/>
      <c r="BC24" s="14"/>
      <c r="BD24" s="14"/>
      <c r="BE24" s="14"/>
      <c r="BF24" s="14"/>
      <c r="BG24" s="14"/>
      <c r="BH24" s="14"/>
      <c r="BI24" s="14"/>
    </row>
    <row r="25" spans="1:61">
      <c r="A25" s="14" t="s">
        <v>280</v>
      </c>
      <c r="B25" s="14">
        <v>46307</v>
      </c>
      <c r="C25" s="14"/>
      <c r="D25" s="167">
        <v>46307</v>
      </c>
      <c r="E25" s="14" t="s">
        <v>139</v>
      </c>
      <c r="F25" s="14" t="s">
        <v>557</v>
      </c>
      <c r="G25" s="14" t="s">
        <v>594</v>
      </c>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67">
        <v>45974</v>
      </c>
      <c r="AK25" s="14">
        <v>304.86</v>
      </c>
      <c r="AL25" s="14" t="s">
        <v>562</v>
      </c>
      <c r="AM25" s="14" t="s">
        <v>154</v>
      </c>
      <c r="AN25" s="14">
        <f>IF('Stock Data'!$H$2,IF(ISNUMBER(AK25),AK25,NA()),NA())</f>
        <v>304.86</v>
      </c>
      <c r="AO25" s="14"/>
      <c r="AP25" s="14"/>
      <c r="AQ25" s="14"/>
      <c r="AR25" s="14"/>
      <c r="AS25" s="14"/>
      <c r="AT25" s="14"/>
      <c r="AU25" s="14"/>
      <c r="AV25" s="14"/>
      <c r="AW25" s="14"/>
      <c r="AX25" s="14"/>
      <c r="AY25" s="14"/>
      <c r="AZ25" s="14"/>
      <c r="BA25" s="14"/>
      <c r="BB25" s="14"/>
      <c r="BC25" s="14"/>
      <c r="BD25" s="14"/>
      <c r="BE25" s="14"/>
      <c r="BF25" s="14"/>
      <c r="BG25" s="14"/>
      <c r="BH25" s="14"/>
      <c r="BI25" s="14"/>
    </row>
    <row r="26" spans="1:61">
      <c r="A26" s="14" t="s">
        <v>282</v>
      </c>
      <c r="B26" s="14">
        <v>0.79963437500000001</v>
      </c>
      <c r="C26" s="14"/>
      <c r="D26" s="167">
        <v>46307</v>
      </c>
      <c r="E26" s="14" t="s">
        <v>139</v>
      </c>
      <c r="F26" s="14" t="s">
        <v>557</v>
      </c>
      <c r="G26" s="14" t="s">
        <v>1103</v>
      </c>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67">
        <v>45975</v>
      </c>
      <c r="AK26" s="14">
        <v>305.69</v>
      </c>
      <c r="AL26" s="14" t="s">
        <v>562</v>
      </c>
      <c r="AM26" s="14" t="s">
        <v>154</v>
      </c>
      <c r="AN26" s="14">
        <f>IF('Stock Data'!$H$2,IF(ISNUMBER(AK26),AK26,NA()),NA())</f>
        <v>305.69</v>
      </c>
      <c r="AO26" s="14"/>
      <c r="AP26" s="14"/>
      <c r="AQ26" s="14"/>
      <c r="AR26" s="14"/>
      <c r="AS26" s="14"/>
      <c r="AT26" s="14"/>
      <c r="AU26" s="14"/>
      <c r="AV26" s="14"/>
      <c r="AW26" s="14"/>
      <c r="AX26" s="14"/>
      <c r="AY26" s="14"/>
      <c r="AZ26" s="14"/>
      <c r="BA26" s="14"/>
      <c r="BB26" s="14"/>
      <c r="BC26" s="14"/>
      <c r="BD26" s="14"/>
      <c r="BE26" s="14"/>
      <c r="BF26" s="14"/>
      <c r="BG26" s="14"/>
      <c r="BH26" s="14"/>
      <c r="BI26" s="14"/>
    </row>
    <row r="27" spans="1:61">
      <c r="A27" s="14" t="s">
        <v>284</v>
      </c>
      <c r="B27" s="14">
        <v>46307</v>
      </c>
      <c r="C27" s="14"/>
      <c r="D27" s="167">
        <v>46307</v>
      </c>
      <c r="E27" s="14" t="s">
        <v>139</v>
      </c>
      <c r="F27" s="14" t="s">
        <v>557</v>
      </c>
      <c r="G27" s="14" t="s">
        <v>594</v>
      </c>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67">
        <v>45978</v>
      </c>
      <c r="AK27" s="14">
        <v>297.17</v>
      </c>
      <c r="AL27" s="14" t="s">
        <v>562</v>
      </c>
      <c r="AM27" s="14" t="s">
        <v>154</v>
      </c>
      <c r="AN27" s="14">
        <f>IF('Stock Data'!$H$2,IF(ISNUMBER(AK27),AK27,NA()),NA())</f>
        <v>297.17</v>
      </c>
      <c r="AO27" s="14"/>
      <c r="AP27" s="14"/>
      <c r="AQ27" s="14"/>
      <c r="AR27" s="14"/>
      <c r="AS27" s="14"/>
      <c r="AT27" s="14"/>
      <c r="AU27" s="14"/>
      <c r="AV27" s="14"/>
      <c r="AW27" s="14"/>
      <c r="AX27" s="14"/>
      <c r="AY27" s="14"/>
      <c r="AZ27" s="14"/>
      <c r="BA27" s="14"/>
      <c r="BB27" s="14"/>
      <c r="BC27" s="14"/>
      <c r="BD27" s="14"/>
      <c r="BE27" s="14"/>
      <c r="BF27" s="14"/>
      <c r="BG27" s="14"/>
      <c r="BH27" s="14"/>
      <c r="BI27" s="14"/>
    </row>
    <row r="28" spans="1:61">
      <c r="A28" s="14" t="s">
        <v>286</v>
      </c>
      <c r="B28" s="14">
        <v>0.79963437500000001</v>
      </c>
      <c r="C28" s="14"/>
      <c r="D28" s="167">
        <v>46307</v>
      </c>
      <c r="E28" s="14" t="s">
        <v>139</v>
      </c>
      <c r="F28" s="14" t="s">
        <v>557</v>
      </c>
      <c r="G28" s="14" t="s">
        <v>1103</v>
      </c>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67">
        <v>45979</v>
      </c>
      <c r="AK28" s="14">
        <v>289.95</v>
      </c>
      <c r="AL28" s="14" t="s">
        <v>562</v>
      </c>
      <c r="AM28" s="14" t="s">
        <v>154</v>
      </c>
      <c r="AN28" s="14">
        <f>IF('Stock Data'!$H$2,IF(ISNUMBER(AK28),AK28,NA()),NA())</f>
        <v>289.95</v>
      </c>
      <c r="AO28" s="14"/>
      <c r="AP28" s="14"/>
      <c r="AQ28" s="14"/>
      <c r="AR28" s="14"/>
      <c r="AS28" s="14"/>
      <c r="AT28" s="14"/>
      <c r="AU28" s="14"/>
      <c r="AV28" s="14"/>
      <c r="AW28" s="14"/>
      <c r="AX28" s="14"/>
      <c r="AY28" s="14"/>
      <c r="AZ28" s="14"/>
      <c r="BA28" s="14"/>
      <c r="BB28" s="14"/>
      <c r="BC28" s="14"/>
      <c r="BD28" s="14"/>
      <c r="BE28" s="14"/>
      <c r="BF28" s="14"/>
      <c r="BG28" s="14"/>
      <c r="BH28" s="14"/>
      <c r="BI28" s="14"/>
    </row>
    <row r="29" spans="1:61">
      <c r="A29" s="14" t="s">
        <v>288</v>
      </c>
      <c r="B29" s="14">
        <v>226.75</v>
      </c>
      <c r="C29" s="14"/>
      <c r="D29" s="167">
        <v>46307</v>
      </c>
      <c r="E29" s="14" t="s">
        <v>139</v>
      </c>
      <c r="F29" s="14" t="s">
        <v>557</v>
      </c>
      <c r="G29" s="14" t="s">
        <v>1104</v>
      </c>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67">
        <v>45980</v>
      </c>
      <c r="AK29" s="14">
        <v>288.52999999999997</v>
      </c>
      <c r="AL29" s="14" t="s">
        <v>562</v>
      </c>
      <c r="AM29" s="14" t="s">
        <v>154</v>
      </c>
      <c r="AN29" s="14">
        <f>IF('Stock Data'!$H$2,IF(ISNUMBER(AK29),AK29,NA()),NA())</f>
        <v>288.52999999999997</v>
      </c>
      <c r="AO29" s="14"/>
      <c r="AP29" s="14"/>
      <c r="AQ29" s="14"/>
      <c r="AR29" s="14"/>
      <c r="AS29" s="14"/>
      <c r="AT29" s="14"/>
      <c r="AU29" s="14"/>
      <c r="AV29" s="14"/>
      <c r="AW29" s="14"/>
      <c r="AX29" s="14"/>
      <c r="AY29" s="14"/>
      <c r="AZ29" s="14"/>
      <c r="BA29" s="14"/>
      <c r="BB29" s="14"/>
      <c r="BC29" s="14"/>
      <c r="BD29" s="14"/>
      <c r="BE29" s="14"/>
      <c r="BF29" s="14"/>
      <c r="BG29" s="14"/>
      <c r="BH29" s="14"/>
      <c r="BI29" s="14"/>
    </row>
    <row r="30" spans="1:61">
      <c r="A30" s="14" t="s">
        <v>290</v>
      </c>
      <c r="B30" s="14">
        <v>-0.27</v>
      </c>
      <c r="C30" s="14"/>
      <c r="D30" s="167">
        <v>46307</v>
      </c>
      <c r="E30" s="14" t="s">
        <v>139</v>
      </c>
      <c r="F30" s="14" t="s">
        <v>557</v>
      </c>
      <c r="G30" s="14" t="s">
        <v>1105</v>
      </c>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67">
        <v>45981</v>
      </c>
      <c r="AK30" s="14">
        <v>290.39999999999998</v>
      </c>
      <c r="AL30" s="14" t="s">
        <v>562</v>
      </c>
      <c r="AM30" s="14" t="s">
        <v>154</v>
      </c>
      <c r="AN30" s="14">
        <f>IF('Stock Data'!$H$2,IF(ISNUMBER(AK30),AK30,NA()),NA())</f>
        <v>290.39999999999998</v>
      </c>
      <c r="AO30" s="14"/>
      <c r="AP30" s="14"/>
      <c r="AQ30" s="14"/>
      <c r="AR30" s="14"/>
      <c r="AS30" s="14"/>
      <c r="AT30" s="14"/>
      <c r="AU30" s="14"/>
      <c r="AV30" s="14"/>
      <c r="AW30" s="14"/>
      <c r="AX30" s="14"/>
      <c r="AY30" s="14"/>
      <c r="AZ30" s="14"/>
      <c r="BA30" s="14"/>
      <c r="BB30" s="14"/>
      <c r="BC30" s="14"/>
      <c r="BD30" s="14"/>
      <c r="BE30" s="14"/>
      <c r="BF30" s="14"/>
      <c r="BG30" s="14"/>
      <c r="BH30" s="14"/>
      <c r="BI30" s="14"/>
    </row>
    <row r="31" spans="1:61">
      <c r="A31" s="14" t="s">
        <v>292</v>
      </c>
      <c r="B31" s="14">
        <v>-1.1899999999999999E-3</v>
      </c>
      <c r="C31" s="14"/>
      <c r="D31" s="167">
        <v>46307</v>
      </c>
      <c r="E31" s="14" t="s">
        <v>139</v>
      </c>
      <c r="F31" s="14" t="s">
        <v>557</v>
      </c>
      <c r="G31" s="14" t="s">
        <v>1106</v>
      </c>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67">
        <v>45982</v>
      </c>
      <c r="AK31" s="14">
        <v>297.44</v>
      </c>
      <c r="AL31" s="14" t="s">
        <v>562</v>
      </c>
      <c r="AM31" s="14" t="s">
        <v>154</v>
      </c>
      <c r="AN31" s="14">
        <f>IF('Stock Data'!$H$2,IF(ISNUMBER(AK31),AK31,NA()),NA())</f>
        <v>297.44</v>
      </c>
      <c r="AO31" s="14"/>
      <c r="AP31" s="14"/>
      <c r="AQ31" s="14"/>
      <c r="AR31" s="14"/>
      <c r="AS31" s="14"/>
      <c r="AT31" s="14"/>
      <c r="AU31" s="14"/>
      <c r="AV31" s="14"/>
      <c r="AW31" s="14"/>
      <c r="AX31" s="14"/>
      <c r="AY31" s="14"/>
      <c r="AZ31" s="14"/>
      <c r="BA31" s="14"/>
      <c r="BB31" s="14"/>
      <c r="BC31" s="14"/>
      <c r="BD31" s="14"/>
      <c r="BE31" s="14"/>
      <c r="BF31" s="14"/>
      <c r="BG31" s="14"/>
      <c r="BH31" s="14"/>
      <c r="BI31" s="14"/>
    </row>
    <row r="32" spans="1:61">
      <c r="A32" s="14" t="s">
        <v>294</v>
      </c>
      <c r="B32" s="14" t="s">
        <v>905</v>
      </c>
      <c r="C32" s="14"/>
      <c r="D32" s="167">
        <v>46307</v>
      </c>
      <c r="E32" s="14" t="s">
        <v>139</v>
      </c>
      <c r="F32" s="14" t="s">
        <v>557</v>
      </c>
      <c r="G32" s="14" t="s">
        <v>906</v>
      </c>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67">
        <v>45985</v>
      </c>
      <c r="AK32" s="14">
        <v>304.12</v>
      </c>
      <c r="AL32" s="14" t="s">
        <v>562</v>
      </c>
      <c r="AM32" s="14" t="s">
        <v>154</v>
      </c>
      <c r="AN32" s="14">
        <f>IF('Stock Data'!$H$2,IF(ISNUMBER(AK32),AK32,NA()),NA())</f>
        <v>304.12</v>
      </c>
      <c r="AO32" s="14"/>
      <c r="AP32" s="14"/>
      <c r="AQ32" s="14"/>
      <c r="AR32" s="14"/>
      <c r="AS32" s="14"/>
      <c r="AT32" s="14"/>
      <c r="AU32" s="14"/>
      <c r="AV32" s="14"/>
      <c r="AW32" s="14"/>
      <c r="AX32" s="14"/>
      <c r="AY32" s="14"/>
      <c r="AZ32" s="14"/>
      <c r="BA32" s="14"/>
      <c r="BB32" s="14"/>
      <c r="BC32" s="14"/>
      <c r="BD32" s="14"/>
      <c r="BE32" s="14"/>
      <c r="BF32" s="14"/>
      <c r="BG32" s="14"/>
      <c r="BH32" s="14"/>
      <c r="BI32" s="14"/>
    </row>
    <row r="33" spans="1:61">
      <c r="A33" s="14" t="s">
        <v>296</v>
      </c>
      <c r="B33" s="14">
        <v>46307</v>
      </c>
      <c r="C33" s="14"/>
      <c r="D33" s="167">
        <v>46307</v>
      </c>
      <c r="E33" s="14" t="s">
        <v>139</v>
      </c>
      <c r="F33" s="14" t="s">
        <v>557</v>
      </c>
      <c r="G33" s="14" t="s">
        <v>594</v>
      </c>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67">
        <v>45986</v>
      </c>
      <c r="AK33" s="14">
        <v>304.48</v>
      </c>
      <c r="AL33" s="14" t="s">
        <v>562</v>
      </c>
      <c r="AM33" s="14" t="s">
        <v>154</v>
      </c>
      <c r="AN33" s="14">
        <f>IF('Stock Data'!$H$2,IF(ISNUMBER(AK33),AK33,NA()),NA())</f>
        <v>304.48</v>
      </c>
      <c r="AO33" s="14"/>
      <c r="AP33" s="14"/>
      <c r="AQ33" s="14"/>
      <c r="AR33" s="14"/>
      <c r="AS33" s="14"/>
      <c r="AT33" s="14"/>
      <c r="AU33" s="14"/>
      <c r="AV33" s="14"/>
      <c r="AW33" s="14"/>
      <c r="AX33" s="14"/>
      <c r="AY33" s="14"/>
      <c r="AZ33" s="14"/>
      <c r="BA33" s="14"/>
      <c r="BB33" s="14"/>
      <c r="BC33" s="14"/>
      <c r="BD33" s="14"/>
      <c r="BE33" s="14"/>
      <c r="BF33" s="14"/>
      <c r="BG33" s="14"/>
      <c r="BH33" s="14"/>
      <c r="BI33" s="14"/>
    </row>
    <row r="34" spans="1:61">
      <c r="A34" s="14" t="s">
        <v>298</v>
      </c>
      <c r="B34" s="14">
        <v>0.79962280092592597</v>
      </c>
      <c r="C34" s="14"/>
      <c r="D34" s="167">
        <v>46307</v>
      </c>
      <c r="E34" s="14" t="s">
        <v>139</v>
      </c>
      <c r="F34" s="14" t="s">
        <v>557</v>
      </c>
      <c r="G34" s="14" t="s">
        <v>1107</v>
      </c>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67">
        <v>45987</v>
      </c>
      <c r="AK34" s="14">
        <v>303.20999999999998</v>
      </c>
      <c r="AL34" s="14" t="s">
        <v>562</v>
      </c>
      <c r="AM34" s="14" t="s">
        <v>154</v>
      </c>
      <c r="AN34" s="14">
        <f>IF('Stock Data'!$H$2,IF(ISNUMBER(AK34),AK34,NA()),NA())</f>
        <v>303.20999999999998</v>
      </c>
      <c r="AO34" s="14"/>
      <c r="AP34" s="14"/>
      <c r="AQ34" s="14"/>
      <c r="AR34" s="14"/>
      <c r="AS34" s="14"/>
      <c r="AT34" s="14"/>
      <c r="AU34" s="14"/>
      <c r="AV34" s="14"/>
      <c r="AW34" s="14"/>
      <c r="AX34" s="14"/>
      <c r="AY34" s="14"/>
      <c r="AZ34" s="14"/>
      <c r="BA34" s="14"/>
      <c r="BB34" s="14"/>
      <c r="BC34" s="14"/>
      <c r="BD34" s="14"/>
      <c r="BE34" s="14"/>
      <c r="BF34" s="14"/>
      <c r="BG34" s="14"/>
      <c r="BH34" s="14"/>
      <c r="BI34" s="14"/>
    </row>
    <row r="35" spans="1:61">
      <c r="A35" s="14" t="s">
        <v>300</v>
      </c>
      <c r="B35" s="14" t="s">
        <v>567</v>
      </c>
      <c r="C35" s="14"/>
      <c r="D35" s="167">
        <v>46307</v>
      </c>
      <c r="E35" s="14" t="s">
        <v>139</v>
      </c>
      <c r="F35" s="14" t="s">
        <v>557</v>
      </c>
      <c r="G35" s="14" t="s">
        <v>598</v>
      </c>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67">
        <v>45989</v>
      </c>
      <c r="AK35" s="14">
        <v>308.58</v>
      </c>
      <c r="AL35" s="14" t="s">
        <v>562</v>
      </c>
      <c r="AM35" s="14" t="s">
        <v>154</v>
      </c>
      <c r="AN35" s="14">
        <f>IF('Stock Data'!$H$2,IF(ISNUMBER(AK35),AK35,NA()),NA())</f>
        <v>308.58</v>
      </c>
      <c r="AO35" s="14"/>
      <c r="AP35" s="14"/>
      <c r="AQ35" s="14"/>
      <c r="AR35" s="14"/>
      <c r="AS35" s="14"/>
      <c r="AT35" s="14"/>
      <c r="AU35" s="14"/>
      <c r="AV35" s="14"/>
      <c r="AW35" s="14"/>
      <c r="AX35" s="14"/>
      <c r="AY35" s="14"/>
      <c r="AZ35" s="14"/>
      <c r="BA35" s="14"/>
      <c r="BB35" s="14"/>
      <c r="BC35" s="14"/>
      <c r="BD35" s="14"/>
      <c r="BE35" s="14"/>
      <c r="BF35" s="14"/>
      <c r="BG35" s="14"/>
      <c r="BH35" s="14"/>
      <c r="BI35" s="14"/>
    </row>
    <row r="36" spans="1:61">
      <c r="A36" s="14" t="s">
        <v>305</v>
      </c>
      <c r="B36" s="14" t="s">
        <v>907</v>
      </c>
      <c r="C36" s="14"/>
      <c r="D36" s="167">
        <v>46307</v>
      </c>
      <c r="E36" s="14" t="s">
        <v>148</v>
      </c>
      <c r="F36" s="14" t="s">
        <v>557</v>
      </c>
      <c r="G36" s="14" t="s">
        <v>908</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67">
        <v>45992</v>
      </c>
      <c r="AK36" s="14">
        <v>305.67</v>
      </c>
      <c r="AL36" s="14" t="s">
        <v>562</v>
      </c>
      <c r="AM36" s="14" t="s">
        <v>154</v>
      </c>
      <c r="AN36" s="14">
        <f>IF('Stock Data'!$H$2,IF(ISNUMBER(AK36),AK36,NA()),NA())</f>
        <v>305.67</v>
      </c>
      <c r="AO36" s="14"/>
      <c r="AP36" s="14"/>
      <c r="AQ36" s="14"/>
      <c r="AR36" s="14"/>
      <c r="AS36" s="14"/>
      <c r="AT36" s="14"/>
      <c r="AU36" s="14"/>
      <c r="AV36" s="14"/>
      <c r="AW36" s="14"/>
      <c r="AX36" s="14"/>
      <c r="AY36" s="14"/>
      <c r="AZ36" s="14"/>
      <c r="BA36" s="14"/>
      <c r="BB36" s="14"/>
      <c r="BC36" s="14"/>
      <c r="BD36" s="14"/>
      <c r="BE36" s="14"/>
      <c r="BF36" s="14"/>
      <c r="BG36" s="14"/>
      <c r="BH36" s="14"/>
      <c r="BI36" s="14"/>
    </row>
    <row r="37" spans="1:61">
      <c r="A37" s="14" t="s">
        <v>309</v>
      </c>
      <c r="B37" s="14" t="s">
        <v>909</v>
      </c>
      <c r="C37" s="14"/>
      <c r="D37" s="167">
        <v>46307</v>
      </c>
      <c r="E37" s="14" t="s">
        <v>148</v>
      </c>
      <c r="F37" s="14" t="s">
        <v>557</v>
      </c>
      <c r="G37" s="14" t="s">
        <v>910</v>
      </c>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67">
        <v>45993</v>
      </c>
      <c r="AK37" s="14">
        <v>301.77999999999997</v>
      </c>
      <c r="AL37" s="14" t="s">
        <v>562</v>
      </c>
      <c r="AM37" s="14" t="s">
        <v>154</v>
      </c>
      <c r="AN37" s="14">
        <f>IF('Stock Data'!$H$2,IF(ISNUMBER(AK37),AK37,NA()),NA())</f>
        <v>301.77999999999997</v>
      </c>
      <c r="AO37" s="14"/>
      <c r="AP37" s="14"/>
      <c r="AQ37" s="14"/>
      <c r="AR37" s="14"/>
      <c r="AS37" s="14"/>
      <c r="AT37" s="14"/>
      <c r="AU37" s="14"/>
      <c r="AV37" s="14"/>
      <c r="AW37" s="14"/>
      <c r="AX37" s="14"/>
      <c r="AY37" s="14"/>
      <c r="AZ37" s="14"/>
      <c r="BA37" s="14"/>
      <c r="BB37" s="14"/>
      <c r="BC37" s="14"/>
      <c r="BD37" s="14"/>
      <c r="BE37" s="14"/>
      <c r="BF37" s="14"/>
      <c r="BG37" s="14"/>
      <c r="BH37" s="14"/>
      <c r="BI37" s="14"/>
    </row>
    <row r="38" spans="1:61">
      <c r="A38" s="14" t="s">
        <v>47</v>
      </c>
      <c r="B38" s="14">
        <v>286800</v>
      </c>
      <c r="C38" s="14"/>
      <c r="D38" s="167">
        <v>46022</v>
      </c>
      <c r="E38" s="14" t="s">
        <v>148</v>
      </c>
      <c r="F38" s="14" t="s">
        <v>557</v>
      </c>
      <c r="G38" s="14" t="s">
        <v>911</v>
      </c>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67">
        <v>45994</v>
      </c>
      <c r="AK38" s="14">
        <v>302.62</v>
      </c>
      <c r="AL38" s="14" t="s">
        <v>562</v>
      </c>
      <c r="AM38" s="14" t="s">
        <v>154</v>
      </c>
      <c r="AN38" s="14">
        <f>IF('Stock Data'!$H$2,IF(ISNUMBER(AK38),AK38,NA()),NA())</f>
        <v>302.62</v>
      </c>
      <c r="AO38" s="14"/>
      <c r="AP38" s="14"/>
      <c r="AQ38" s="14"/>
      <c r="AR38" s="14"/>
      <c r="AS38" s="14"/>
      <c r="AT38" s="14"/>
      <c r="AU38" s="14"/>
      <c r="AV38" s="14"/>
      <c r="AW38" s="14"/>
      <c r="AX38" s="14"/>
      <c r="AY38" s="14"/>
      <c r="AZ38" s="14"/>
      <c r="BA38" s="14"/>
      <c r="BB38" s="14"/>
      <c r="BC38" s="14"/>
      <c r="BD38" s="14"/>
      <c r="BE38" s="14"/>
      <c r="BF38" s="14"/>
      <c r="BG38" s="14"/>
      <c r="BH38" s="14"/>
      <c r="BI38" s="14"/>
    </row>
    <row r="39" spans="1:61">
      <c r="A39" s="14" t="s">
        <v>316</v>
      </c>
      <c r="B39" s="14" t="s">
        <v>912</v>
      </c>
      <c r="C39" s="14"/>
      <c r="D39" s="167">
        <v>46307</v>
      </c>
      <c r="E39" s="14" t="s">
        <v>148</v>
      </c>
      <c r="F39" s="14" t="s">
        <v>557</v>
      </c>
      <c r="G39" s="14" t="s">
        <v>913</v>
      </c>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67">
        <v>45995</v>
      </c>
      <c r="AK39" s="14">
        <v>307.99</v>
      </c>
      <c r="AL39" s="14" t="s">
        <v>562</v>
      </c>
      <c r="AM39" s="14" t="s">
        <v>154</v>
      </c>
      <c r="AN39" s="14">
        <f>IF('Stock Data'!$H$2,IF(ISNUMBER(AK39),AK39,NA()),NA())</f>
        <v>307.99</v>
      </c>
      <c r="AO39" s="14"/>
      <c r="AP39" s="14"/>
      <c r="AQ39" s="14"/>
      <c r="AR39" s="14"/>
      <c r="AS39" s="14"/>
      <c r="AT39" s="14"/>
      <c r="AU39" s="14"/>
      <c r="AV39" s="14"/>
      <c r="AW39" s="14"/>
      <c r="AX39" s="14"/>
      <c r="AY39" s="14"/>
      <c r="AZ39" s="14"/>
      <c r="BA39" s="14"/>
      <c r="BB39" s="14"/>
      <c r="BC39" s="14"/>
      <c r="BD39" s="14"/>
      <c r="BE39" s="14"/>
      <c r="BF39" s="14"/>
      <c r="BG39" s="14"/>
      <c r="BH39" s="14"/>
      <c r="BI39" s="14"/>
    </row>
    <row r="40" spans="1:61">
      <c r="A40" s="14" t="s">
        <v>320</v>
      </c>
      <c r="B40" s="14" t="s">
        <v>914</v>
      </c>
      <c r="C40" s="14"/>
      <c r="D40" s="167">
        <v>46307</v>
      </c>
      <c r="E40" s="14" t="s">
        <v>148</v>
      </c>
      <c r="F40" s="14" t="s">
        <v>557</v>
      </c>
      <c r="G40" s="14" t="s">
        <v>915</v>
      </c>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67">
        <v>45996</v>
      </c>
      <c r="AK40" s="14">
        <v>307.94</v>
      </c>
      <c r="AL40" s="14" t="s">
        <v>562</v>
      </c>
      <c r="AM40" s="14" t="s">
        <v>154</v>
      </c>
      <c r="AN40" s="14">
        <f>IF('Stock Data'!$H$2,IF(ISNUMBER(AK40),AK40,NA()),NA())</f>
        <v>307.94</v>
      </c>
      <c r="AO40" s="14"/>
      <c r="AP40" s="14"/>
      <c r="AQ40" s="14"/>
      <c r="AR40" s="14"/>
      <c r="AS40" s="14"/>
      <c r="AT40" s="14"/>
      <c r="AU40" s="14"/>
      <c r="AV40" s="14"/>
      <c r="AW40" s="14"/>
      <c r="AX40" s="14"/>
      <c r="AY40" s="14"/>
      <c r="AZ40" s="14"/>
      <c r="BA40" s="14"/>
      <c r="BB40" s="14"/>
      <c r="BC40" s="14"/>
      <c r="BD40" s="14"/>
      <c r="BE40" s="14"/>
      <c r="BF40" s="14"/>
      <c r="BG40" s="14"/>
      <c r="BH40" s="14"/>
      <c r="BI40" s="14"/>
    </row>
    <row r="41" spans="1:61">
      <c r="A41" s="14" t="s">
        <v>324</v>
      </c>
      <c r="B41" s="14" t="s">
        <v>916</v>
      </c>
      <c r="C41" s="14"/>
      <c r="D41" s="167">
        <v>46307</v>
      </c>
      <c r="E41" s="14" t="s">
        <v>148</v>
      </c>
      <c r="F41" s="14" t="s">
        <v>557</v>
      </c>
      <c r="G41" s="14" t="s">
        <v>917</v>
      </c>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67">
        <v>45999</v>
      </c>
      <c r="AK41" s="14">
        <v>309.18</v>
      </c>
      <c r="AL41" s="14" t="s">
        <v>562</v>
      </c>
      <c r="AM41" s="14" t="s">
        <v>154</v>
      </c>
      <c r="AN41" s="14">
        <f>IF('Stock Data'!$H$2,IF(ISNUMBER(AK41),AK41,NA()),NA())</f>
        <v>309.18</v>
      </c>
      <c r="AO41" s="14"/>
      <c r="AP41" s="14"/>
      <c r="AQ41" s="14"/>
      <c r="AR41" s="14"/>
      <c r="AS41" s="14"/>
      <c r="AT41" s="14"/>
      <c r="AU41" s="14"/>
      <c r="AV41" s="14"/>
      <c r="AW41" s="14"/>
      <c r="AX41" s="14"/>
      <c r="AY41" s="14"/>
      <c r="AZ41" s="14"/>
      <c r="BA41" s="14"/>
      <c r="BB41" s="14"/>
      <c r="BC41" s="14"/>
      <c r="BD41" s="14"/>
      <c r="BE41" s="14"/>
      <c r="BF41" s="14"/>
      <c r="BG41" s="14"/>
      <c r="BH41" s="14"/>
      <c r="BI41" s="14"/>
    </row>
    <row r="42" spans="1:61">
      <c r="A42" s="14" t="s">
        <v>51</v>
      </c>
      <c r="B42" s="14" t="s">
        <v>918</v>
      </c>
      <c r="C42" s="14"/>
      <c r="D42" s="167">
        <v>46307</v>
      </c>
      <c r="E42" s="14" t="s">
        <v>148</v>
      </c>
      <c r="F42" s="14" t="s">
        <v>557</v>
      </c>
      <c r="G42" s="14" t="s">
        <v>919</v>
      </c>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67">
        <v>46000</v>
      </c>
      <c r="AK42" s="14">
        <v>310.48</v>
      </c>
      <c r="AL42" s="14" t="s">
        <v>562</v>
      </c>
      <c r="AM42" s="14" t="s">
        <v>154</v>
      </c>
      <c r="AN42" s="14">
        <f>IF('Stock Data'!$H$2,IF(ISNUMBER(AK42),AK42,NA()),NA())</f>
        <v>310.48</v>
      </c>
      <c r="AO42" s="14"/>
      <c r="AP42" s="14"/>
      <c r="AQ42" s="14"/>
      <c r="AR42" s="14"/>
      <c r="AS42" s="14"/>
      <c r="AT42" s="14"/>
      <c r="AU42" s="14"/>
      <c r="AV42" s="14"/>
      <c r="AW42" s="14"/>
      <c r="AX42" s="14"/>
      <c r="AY42" s="14"/>
      <c r="AZ42" s="14"/>
      <c r="BA42" s="14"/>
      <c r="BB42" s="14"/>
      <c r="BC42" s="14"/>
      <c r="BD42" s="14"/>
      <c r="BE42" s="14"/>
      <c r="BF42" s="14"/>
      <c r="BG42" s="14"/>
      <c r="BH42" s="14"/>
      <c r="BI42" s="14"/>
    </row>
    <row r="43" spans="1:61">
      <c r="A43" s="14" t="s">
        <v>331</v>
      </c>
      <c r="B43" s="14" t="s">
        <v>920</v>
      </c>
      <c r="C43" s="14"/>
      <c r="D43" s="167">
        <v>46307</v>
      </c>
      <c r="E43" s="14" t="s">
        <v>148</v>
      </c>
      <c r="F43" s="14" t="s">
        <v>557</v>
      </c>
      <c r="G43" s="14" t="s">
        <v>921</v>
      </c>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67">
        <v>46001</v>
      </c>
      <c r="AK43" s="14">
        <v>312.67</v>
      </c>
      <c r="AL43" s="14" t="s">
        <v>562</v>
      </c>
      <c r="AM43" s="14" t="s">
        <v>154</v>
      </c>
      <c r="AN43" s="14">
        <f>IF('Stock Data'!$H$2,IF(ISNUMBER(AK43),AK43,NA()),NA())</f>
        <v>312.67</v>
      </c>
      <c r="AO43" s="14"/>
      <c r="AP43" s="14"/>
      <c r="AQ43" s="14"/>
      <c r="AR43" s="14"/>
      <c r="AS43" s="14"/>
      <c r="AT43" s="14"/>
      <c r="AU43" s="14"/>
      <c r="AV43" s="14"/>
      <c r="AW43" s="14"/>
      <c r="AX43" s="14"/>
      <c r="AY43" s="14"/>
      <c r="AZ43" s="14"/>
      <c r="BA43" s="14"/>
      <c r="BB43" s="14"/>
      <c r="BC43" s="14"/>
      <c r="BD43" s="14"/>
      <c r="BE43" s="14"/>
      <c r="BF43" s="14"/>
      <c r="BG43" s="14"/>
      <c r="BH43" s="14"/>
      <c r="BI43" s="14"/>
    </row>
    <row r="44" spans="1:61">
      <c r="A44" s="14" t="s">
        <v>125</v>
      </c>
      <c r="B44" s="14">
        <v>213883260700</v>
      </c>
      <c r="C44" s="14" t="s">
        <v>338</v>
      </c>
      <c r="D44" s="167">
        <v>46307</v>
      </c>
      <c r="E44" s="14" t="s">
        <v>148</v>
      </c>
      <c r="F44" s="14" t="s">
        <v>557</v>
      </c>
      <c r="G44" s="14" t="s">
        <v>922</v>
      </c>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67">
        <v>46002</v>
      </c>
      <c r="AK44" s="14">
        <v>310.74</v>
      </c>
      <c r="AL44" s="14" t="s">
        <v>562</v>
      </c>
      <c r="AM44" s="14" t="s">
        <v>154</v>
      </c>
      <c r="AN44" s="14">
        <f>IF('Stock Data'!$H$2,IF(ISNUMBER(AK44),AK44,NA()),NA())</f>
        <v>310.74</v>
      </c>
      <c r="AO44" s="14"/>
      <c r="AP44" s="14"/>
      <c r="AQ44" s="14"/>
      <c r="AR44" s="14"/>
      <c r="AS44" s="14"/>
      <c r="AT44" s="14"/>
      <c r="AU44" s="14"/>
      <c r="AV44" s="14"/>
      <c r="AW44" s="14"/>
      <c r="AX44" s="14"/>
      <c r="AY44" s="14"/>
      <c r="AZ44" s="14"/>
      <c r="BA44" s="14"/>
      <c r="BB44" s="14"/>
      <c r="BC44" s="14"/>
      <c r="BD44" s="14"/>
      <c r="BE44" s="14"/>
      <c r="BF44" s="14"/>
      <c r="BG44" s="14"/>
      <c r="BH44" s="14"/>
      <c r="BI44" s="14"/>
    </row>
    <row r="45" spans="1:61">
      <c r="A45" s="14" t="s">
        <v>340</v>
      </c>
      <c r="B45" s="14">
        <v>20.149999999999999</v>
      </c>
      <c r="C45" s="14"/>
      <c r="D45" s="167">
        <v>46307</v>
      </c>
      <c r="E45" s="14" t="s">
        <v>148</v>
      </c>
      <c r="F45" s="14" t="s">
        <v>557</v>
      </c>
      <c r="G45" s="14" t="s">
        <v>923</v>
      </c>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67">
        <v>46003</v>
      </c>
      <c r="AK45" s="14">
        <v>309.24</v>
      </c>
      <c r="AL45" s="14" t="s">
        <v>562</v>
      </c>
      <c r="AM45" s="14" t="s">
        <v>154</v>
      </c>
      <c r="AN45" s="14">
        <f>IF('Stock Data'!$H$2,IF(ISNUMBER(AK45),AK45,NA()),NA())</f>
        <v>309.24</v>
      </c>
      <c r="AO45" s="14"/>
      <c r="AP45" s="14"/>
      <c r="AQ45" s="14"/>
      <c r="AR45" s="14"/>
      <c r="AS45" s="14"/>
      <c r="AT45" s="14"/>
      <c r="AU45" s="14"/>
      <c r="AV45" s="14"/>
      <c r="AW45" s="14"/>
      <c r="AX45" s="14"/>
      <c r="AY45" s="14"/>
      <c r="AZ45" s="14"/>
      <c r="BA45" s="14"/>
      <c r="BB45" s="14"/>
      <c r="BC45" s="14"/>
      <c r="BD45" s="14"/>
      <c r="BE45" s="14"/>
      <c r="BF45" s="14"/>
      <c r="BG45" s="14"/>
      <c r="BH45" s="14"/>
      <c r="BI45" s="14"/>
    </row>
    <row r="46" spans="1:61">
      <c r="A46" s="14" t="s">
        <v>38</v>
      </c>
      <c r="B46" s="14">
        <v>11.2659</v>
      </c>
      <c r="C46" s="14" t="s">
        <v>338</v>
      </c>
      <c r="D46" s="167">
        <v>46203</v>
      </c>
      <c r="E46" s="14" t="s">
        <v>148</v>
      </c>
      <c r="F46" s="14" t="s">
        <v>557</v>
      </c>
      <c r="G46" s="14" t="s">
        <v>924</v>
      </c>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67">
        <v>46006</v>
      </c>
      <c r="AK46" s="14">
        <v>308.66000000000003</v>
      </c>
      <c r="AL46" s="14" t="s">
        <v>562</v>
      </c>
      <c r="AM46" s="14" t="s">
        <v>154</v>
      </c>
      <c r="AN46" s="14">
        <f>IF('Stock Data'!$H$2,IF(ISNUMBER(AK46),AK46,NA()),NA())</f>
        <v>308.66000000000003</v>
      </c>
      <c r="AO46" s="14"/>
      <c r="AP46" s="14"/>
      <c r="AQ46" s="14"/>
      <c r="AR46" s="14"/>
      <c r="AS46" s="14"/>
      <c r="AT46" s="14"/>
      <c r="AU46" s="14"/>
      <c r="AV46" s="14"/>
      <c r="AW46" s="14"/>
      <c r="AX46" s="14"/>
      <c r="AY46" s="14"/>
      <c r="AZ46" s="14"/>
      <c r="BA46" s="14"/>
      <c r="BB46" s="14"/>
      <c r="BC46" s="14"/>
      <c r="BD46" s="14"/>
      <c r="BE46" s="14"/>
      <c r="BF46" s="14"/>
      <c r="BG46" s="14"/>
      <c r="BH46" s="14"/>
      <c r="BI46" s="14"/>
    </row>
    <row r="47" spans="1:61">
      <c r="A47" s="14" t="s">
        <v>347</v>
      </c>
      <c r="B47" s="14">
        <v>6.74</v>
      </c>
      <c r="C47" s="14" t="s">
        <v>338</v>
      </c>
      <c r="D47" s="167">
        <v>46307</v>
      </c>
      <c r="E47" s="14" t="s">
        <v>148</v>
      </c>
      <c r="F47" s="14" t="s">
        <v>557</v>
      </c>
      <c r="G47" s="14" t="s">
        <v>925</v>
      </c>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67">
        <v>46007</v>
      </c>
      <c r="AK47" s="14">
        <v>303.18</v>
      </c>
      <c r="AL47" s="14" t="s">
        <v>562</v>
      </c>
      <c r="AM47" s="14" t="s">
        <v>154</v>
      </c>
      <c r="AN47" s="14">
        <f>IF('Stock Data'!$H$2,IF(ISNUMBER(AK47),AK47,NA()),NA())</f>
        <v>303.18</v>
      </c>
      <c r="AO47" s="14"/>
      <c r="AP47" s="14"/>
      <c r="AQ47" s="14"/>
      <c r="AR47" s="14"/>
      <c r="AS47" s="14"/>
      <c r="AT47" s="14"/>
      <c r="AU47" s="14"/>
      <c r="AV47" s="14"/>
      <c r="AW47" s="14"/>
      <c r="AX47" s="14"/>
      <c r="AY47" s="14"/>
      <c r="AZ47" s="14"/>
      <c r="BA47" s="14"/>
      <c r="BB47" s="14"/>
      <c r="BC47" s="14"/>
      <c r="BD47" s="14"/>
      <c r="BE47" s="14"/>
      <c r="BF47" s="14"/>
      <c r="BG47" s="14"/>
      <c r="BH47" s="14"/>
      <c r="BI47" s="14"/>
    </row>
    <row r="48" spans="1:61">
      <c r="A48" s="14" t="s">
        <v>351</v>
      </c>
      <c r="B48" s="14">
        <v>2.9700000000000001E-2</v>
      </c>
      <c r="C48" s="14"/>
      <c r="D48" s="167">
        <v>46307</v>
      </c>
      <c r="E48" s="14" t="s">
        <v>148</v>
      </c>
      <c r="F48" s="14" t="s">
        <v>557</v>
      </c>
      <c r="G48" s="14" t="s">
        <v>926</v>
      </c>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67">
        <v>46008</v>
      </c>
      <c r="AK48" s="14">
        <v>303.32</v>
      </c>
      <c r="AL48" s="14" t="s">
        <v>562</v>
      </c>
      <c r="AM48" s="14" t="s">
        <v>154</v>
      </c>
      <c r="AN48" s="14">
        <f>IF('Stock Data'!$H$2,IF(ISNUMBER(AK48),AK48,NA()),NA())</f>
        <v>303.32</v>
      </c>
      <c r="AO48" s="14"/>
      <c r="AP48" s="14"/>
      <c r="AQ48" s="14"/>
      <c r="AR48" s="14"/>
      <c r="AS48" s="14"/>
      <c r="AT48" s="14"/>
      <c r="AU48" s="14"/>
      <c r="AV48" s="14"/>
      <c r="AW48" s="14"/>
      <c r="AX48" s="14"/>
      <c r="AY48" s="14"/>
      <c r="AZ48" s="14"/>
      <c r="BA48" s="14"/>
      <c r="BB48" s="14"/>
      <c r="BC48" s="14"/>
      <c r="BD48" s="14"/>
      <c r="BE48" s="14"/>
      <c r="BF48" s="14"/>
      <c r="BG48" s="14"/>
      <c r="BH48" s="14"/>
      <c r="BI48" s="14"/>
    </row>
    <row r="49" spans="1:61">
      <c r="A49" s="14" t="s">
        <v>355</v>
      </c>
      <c r="B49" s="14">
        <v>942134000</v>
      </c>
      <c r="C49" s="14"/>
      <c r="D49" s="167">
        <v>46307</v>
      </c>
      <c r="E49" s="14" t="s">
        <v>148</v>
      </c>
      <c r="F49" s="14" t="s">
        <v>557</v>
      </c>
      <c r="G49" s="14" t="s">
        <v>927</v>
      </c>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67">
        <v>46009</v>
      </c>
      <c r="AK49" s="14">
        <v>300.45</v>
      </c>
      <c r="AL49" s="14" t="s">
        <v>562</v>
      </c>
      <c r="AM49" s="14" t="s">
        <v>154</v>
      </c>
      <c r="AN49" s="14">
        <f>IF('Stock Data'!$H$2,IF(ISNUMBER(AK49),AK49,NA()),NA())</f>
        <v>300.45</v>
      </c>
      <c r="AO49" s="14"/>
      <c r="AP49" s="14"/>
      <c r="AQ49" s="14"/>
      <c r="AR49" s="14"/>
      <c r="AS49" s="14"/>
      <c r="AT49" s="14"/>
      <c r="AU49" s="14"/>
      <c r="AV49" s="14"/>
      <c r="AW49" s="14"/>
      <c r="AX49" s="14"/>
      <c r="AY49" s="14"/>
      <c r="AZ49" s="14"/>
      <c r="BA49" s="14"/>
      <c r="BB49" s="14"/>
      <c r="BC49" s="14"/>
      <c r="BD49" s="14"/>
      <c r="BE49" s="14"/>
      <c r="BF49" s="14"/>
      <c r="BG49" s="14"/>
      <c r="BH49" s="14"/>
      <c r="BI49" s="14"/>
    </row>
    <row r="50" spans="1:61">
      <c r="A50" s="14" t="s">
        <v>359</v>
      </c>
      <c r="B50" s="14">
        <v>6929901.5628000004</v>
      </c>
      <c r="C50" s="14"/>
      <c r="D50" s="167">
        <v>46307</v>
      </c>
      <c r="E50" s="14" t="s">
        <v>148</v>
      </c>
      <c r="F50" s="14" t="s">
        <v>557</v>
      </c>
      <c r="G50" s="14" t="s">
        <v>928</v>
      </c>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67">
        <v>46010</v>
      </c>
      <c r="AK50" s="14">
        <v>300.98</v>
      </c>
      <c r="AL50" s="14" t="s">
        <v>562</v>
      </c>
      <c r="AM50" s="14" t="s">
        <v>154</v>
      </c>
      <c r="AN50" s="14">
        <f>IF('Stock Data'!$H$2,IF(ISNUMBER(AK50),AK50,NA()),NA())</f>
        <v>300.98</v>
      </c>
      <c r="AO50" s="14"/>
      <c r="AP50" s="14"/>
      <c r="AQ50" s="14"/>
      <c r="AR50" s="14"/>
      <c r="AS50" s="14"/>
      <c r="AT50" s="14"/>
      <c r="AU50" s="14"/>
      <c r="AV50" s="14"/>
      <c r="AW50" s="14"/>
      <c r="AX50" s="14"/>
      <c r="AY50" s="14"/>
      <c r="AZ50" s="14"/>
      <c r="BA50" s="14"/>
      <c r="BB50" s="14"/>
      <c r="BC50" s="14"/>
      <c r="BD50" s="14"/>
      <c r="BE50" s="14"/>
      <c r="BF50" s="14"/>
      <c r="BG50" s="14"/>
      <c r="BH50" s="14"/>
      <c r="BI50" s="14"/>
    </row>
    <row r="51" spans="1:61">
      <c r="A51" s="14" t="s">
        <v>363</v>
      </c>
      <c r="B51" s="14">
        <v>0.76959999999999995</v>
      </c>
      <c r="C51" s="14"/>
      <c r="D51" s="167">
        <v>46307</v>
      </c>
      <c r="E51" s="14" t="s">
        <v>148</v>
      </c>
      <c r="F51" s="14" t="s">
        <v>557</v>
      </c>
      <c r="G51" s="14" t="s">
        <v>929</v>
      </c>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67">
        <v>46013</v>
      </c>
      <c r="AK51" s="14">
        <v>302.79000000000002</v>
      </c>
      <c r="AL51" s="14" t="s">
        <v>562</v>
      </c>
      <c r="AM51" s="14" t="s">
        <v>154</v>
      </c>
      <c r="AN51" s="14">
        <f>IF('Stock Data'!$H$2,IF(ISNUMBER(AK51),AK51,NA()),NA())</f>
        <v>302.79000000000002</v>
      </c>
      <c r="AO51" s="14"/>
      <c r="AP51" s="14"/>
      <c r="AQ51" s="14"/>
      <c r="AR51" s="14"/>
      <c r="AS51" s="14"/>
      <c r="AT51" s="14"/>
      <c r="AU51" s="14"/>
      <c r="AV51" s="14"/>
      <c r="AW51" s="14"/>
      <c r="AX51" s="14"/>
      <c r="AY51" s="14"/>
      <c r="AZ51" s="14"/>
      <c r="BA51" s="14"/>
      <c r="BB51" s="14"/>
      <c r="BC51" s="14"/>
      <c r="BD51" s="14"/>
      <c r="BE51" s="14"/>
      <c r="BF51" s="14"/>
      <c r="BG51" s="14"/>
      <c r="BH51" s="14"/>
      <c r="BI51" s="14"/>
    </row>
    <row r="52" spans="1:61">
      <c r="A52" s="14" t="s">
        <v>367</v>
      </c>
      <c r="B52" s="14">
        <v>6.2073</v>
      </c>
      <c r="C52" s="14"/>
      <c r="D52" s="167">
        <v>46307</v>
      </c>
      <c r="E52" s="14" t="s">
        <v>148</v>
      </c>
      <c r="F52" s="14" t="s">
        <v>557</v>
      </c>
      <c r="G52" s="14" t="s">
        <v>930</v>
      </c>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67">
        <v>46014</v>
      </c>
      <c r="AK52" s="14">
        <v>303.77999999999997</v>
      </c>
      <c r="AL52" s="14" t="s">
        <v>562</v>
      </c>
      <c r="AM52" s="14" t="s">
        <v>154</v>
      </c>
      <c r="AN52" s="14">
        <f>IF('Stock Data'!$H$2,IF(ISNUMBER(AK52),AK52,NA()),NA())</f>
        <v>303.77999999999997</v>
      </c>
      <c r="AO52" s="14"/>
      <c r="AP52" s="14"/>
      <c r="AQ52" s="14"/>
      <c r="AR52" s="14"/>
      <c r="AS52" s="14"/>
      <c r="AT52" s="14"/>
      <c r="AU52" s="14"/>
      <c r="AV52" s="14"/>
      <c r="AW52" s="14"/>
      <c r="AX52" s="14"/>
      <c r="AY52" s="14"/>
      <c r="AZ52" s="14"/>
      <c r="BA52" s="14"/>
      <c r="BB52" s="14"/>
      <c r="BC52" s="14"/>
      <c r="BD52" s="14"/>
      <c r="BE52" s="14"/>
      <c r="BF52" s="14"/>
      <c r="BG52" s="14"/>
      <c r="BH52" s="14"/>
      <c r="BI52" s="14"/>
    </row>
    <row r="53" spans="1:61">
      <c r="A53" s="14" t="s">
        <v>90</v>
      </c>
      <c r="B53" s="14" t="s">
        <v>599</v>
      </c>
      <c r="C53" s="14"/>
      <c r="D53" s="167"/>
      <c r="E53" s="14"/>
      <c r="F53" s="14" t="s">
        <v>600</v>
      </c>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67">
        <v>46015</v>
      </c>
      <c r="AK53" s="14">
        <v>304.56</v>
      </c>
      <c r="AL53" s="14" t="s">
        <v>562</v>
      </c>
      <c r="AM53" s="14" t="s">
        <v>154</v>
      </c>
      <c r="AN53" s="14">
        <f>IF('Stock Data'!$H$2,IF(ISNUMBER(AK53),AK53,NA()),NA())</f>
        <v>304.56</v>
      </c>
      <c r="AO53" s="14"/>
      <c r="AP53" s="14"/>
      <c r="AQ53" s="14"/>
      <c r="AR53" s="14"/>
      <c r="AS53" s="14"/>
      <c r="AT53" s="14"/>
      <c r="AU53" s="14"/>
      <c r="AV53" s="14"/>
      <c r="AW53" s="14"/>
      <c r="AX53" s="14"/>
      <c r="AY53" s="14"/>
      <c r="AZ53" s="14"/>
      <c r="BA53" s="14"/>
      <c r="BB53" s="14"/>
      <c r="BC53" s="14"/>
      <c r="BD53" s="14"/>
      <c r="BE53" s="14"/>
      <c r="BF53" s="14"/>
      <c r="BG53" s="14"/>
      <c r="BH53" s="14"/>
      <c r="BI53" s="14"/>
    </row>
    <row r="54" spans="1:61">
      <c r="A54" s="14" t="s">
        <v>375</v>
      </c>
      <c r="B54" s="14" t="s">
        <v>599</v>
      </c>
      <c r="C54" s="14"/>
      <c r="D54" s="167"/>
      <c r="E54" s="14"/>
      <c r="F54" s="14" t="s">
        <v>600</v>
      </c>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67">
        <v>46017</v>
      </c>
      <c r="AK54" s="14">
        <v>305.08999999999997</v>
      </c>
      <c r="AL54" s="14" t="s">
        <v>562</v>
      </c>
      <c r="AM54" s="14" t="s">
        <v>154</v>
      </c>
      <c r="AN54" s="14">
        <f>IF('Stock Data'!$H$2,IF(ISNUMBER(AK54),AK54,NA()),NA())</f>
        <v>305.08999999999997</v>
      </c>
      <c r="AO54" s="14"/>
      <c r="AP54" s="14"/>
      <c r="AQ54" s="14"/>
      <c r="AR54" s="14"/>
      <c r="AS54" s="14"/>
      <c r="AT54" s="14"/>
      <c r="AU54" s="14"/>
      <c r="AV54" s="14"/>
      <c r="AW54" s="14"/>
      <c r="AX54" s="14"/>
      <c r="AY54" s="14"/>
      <c r="AZ54" s="14"/>
      <c r="BA54" s="14"/>
      <c r="BB54" s="14"/>
      <c r="BC54" s="14"/>
      <c r="BD54" s="14"/>
      <c r="BE54" s="14"/>
      <c r="BF54" s="14"/>
      <c r="BG54" s="14"/>
      <c r="BH54" s="14"/>
      <c r="BI54" s="14"/>
    </row>
    <row r="55" spans="1:61">
      <c r="A55" s="14" t="s">
        <v>378</v>
      </c>
      <c r="B55" s="14" t="s">
        <v>599</v>
      </c>
      <c r="C55" s="14"/>
      <c r="D55" s="167"/>
      <c r="E55" s="14"/>
      <c r="F55" s="14" t="s">
        <v>600</v>
      </c>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67">
        <v>46020</v>
      </c>
      <c r="AK55" s="14">
        <v>305.74</v>
      </c>
      <c r="AL55" s="14" t="s">
        <v>562</v>
      </c>
      <c r="AM55" s="14" t="s">
        <v>154</v>
      </c>
      <c r="AN55" s="14">
        <f>IF('Stock Data'!$H$2,IF(ISNUMBER(AK55),AK55,NA()),NA())</f>
        <v>305.74</v>
      </c>
      <c r="AO55" s="14"/>
      <c r="AP55" s="14"/>
      <c r="AQ55" s="14"/>
      <c r="AR55" s="14"/>
      <c r="AS55" s="14"/>
      <c r="AT55" s="14"/>
      <c r="AU55" s="14"/>
      <c r="AV55" s="14"/>
      <c r="AW55" s="14"/>
      <c r="AX55" s="14"/>
      <c r="AY55" s="14"/>
      <c r="AZ55" s="14"/>
      <c r="BA55" s="14"/>
      <c r="BB55" s="14"/>
      <c r="BC55" s="14"/>
      <c r="BD55" s="14"/>
      <c r="BE55" s="14"/>
      <c r="BF55" s="14"/>
      <c r="BG55" s="14"/>
      <c r="BH55" s="14"/>
      <c r="BI55" s="14"/>
    </row>
    <row r="56" spans="1:61">
      <c r="A56" s="14" t="s">
        <v>380</v>
      </c>
      <c r="B56" s="14" t="s">
        <v>599</v>
      </c>
      <c r="C56" s="14"/>
      <c r="D56" s="167"/>
      <c r="E56" s="14"/>
      <c r="F56" s="14" t="s">
        <v>600</v>
      </c>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67">
        <v>46021</v>
      </c>
      <c r="AK56" s="14">
        <v>302.05</v>
      </c>
      <c r="AL56" s="14" t="s">
        <v>562</v>
      </c>
      <c r="AM56" s="14" t="s">
        <v>154</v>
      </c>
      <c r="AN56" s="14">
        <f>IF('Stock Data'!$H$2,IF(ISNUMBER(AK56),AK56,NA()),NA())</f>
        <v>302.05</v>
      </c>
      <c r="AO56" s="14"/>
      <c r="AP56" s="14"/>
      <c r="AQ56" s="14"/>
      <c r="AR56" s="14"/>
      <c r="AS56" s="14"/>
      <c r="AT56" s="14"/>
      <c r="AU56" s="14"/>
      <c r="AV56" s="14"/>
      <c r="AW56" s="14"/>
      <c r="AX56" s="14"/>
      <c r="AY56" s="14"/>
      <c r="AZ56" s="14"/>
      <c r="BA56" s="14"/>
      <c r="BB56" s="14"/>
      <c r="BC56" s="14"/>
      <c r="BD56" s="14"/>
      <c r="BE56" s="14"/>
      <c r="BF56" s="14"/>
      <c r="BG56" s="14"/>
      <c r="BH56" s="14"/>
      <c r="BI56" s="14"/>
    </row>
    <row r="57" spans="1:61">
      <c r="A57" s="14" t="s">
        <v>384</v>
      </c>
      <c r="B57" s="14" t="s">
        <v>599</v>
      </c>
      <c r="C57" s="14"/>
      <c r="D57" s="167"/>
      <c r="E57" s="14"/>
      <c r="F57" s="14" t="s">
        <v>600</v>
      </c>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67">
        <v>46022</v>
      </c>
      <c r="AK57" s="14">
        <v>296.20999999999998</v>
      </c>
      <c r="AL57" s="14" t="s">
        <v>562</v>
      </c>
      <c r="AM57" s="14" t="s">
        <v>154</v>
      </c>
      <c r="AN57" s="14">
        <f>IF('Stock Data'!$H$2,IF(ISNUMBER(AK57),AK57,NA()),NA())</f>
        <v>296.20999999999998</v>
      </c>
      <c r="AO57" s="14"/>
      <c r="AP57" s="14"/>
      <c r="AQ57" s="14"/>
      <c r="AR57" s="14"/>
      <c r="AS57" s="14"/>
      <c r="AT57" s="14"/>
      <c r="AU57" s="14"/>
      <c r="AV57" s="14"/>
      <c r="AW57" s="14"/>
      <c r="AX57" s="14"/>
      <c r="AY57" s="14"/>
      <c r="AZ57" s="14"/>
      <c r="BA57" s="14"/>
      <c r="BB57" s="14"/>
      <c r="BC57" s="14"/>
      <c r="BD57" s="14"/>
      <c r="BE57" s="14"/>
      <c r="BF57" s="14"/>
      <c r="BG57" s="14"/>
      <c r="BH57" s="14"/>
      <c r="BI57" s="14"/>
    </row>
    <row r="58" spans="1:61">
      <c r="A58" s="14" t="s">
        <v>388</v>
      </c>
      <c r="B58" s="14" t="s">
        <v>599</v>
      </c>
      <c r="C58" s="14"/>
      <c r="D58" s="167"/>
      <c r="E58" s="14"/>
      <c r="F58" s="14" t="s">
        <v>600</v>
      </c>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67">
        <v>46024</v>
      </c>
      <c r="AK58" s="14">
        <v>291.5</v>
      </c>
      <c r="AL58" s="14" t="s">
        <v>562</v>
      </c>
      <c r="AM58" s="14" t="s">
        <v>154</v>
      </c>
      <c r="AN58" s="14">
        <f>IF('Stock Data'!$H$2,IF(ISNUMBER(AK58),AK58,NA()),NA())</f>
        <v>291.5</v>
      </c>
      <c r="AO58" s="14"/>
      <c r="AP58" s="14"/>
      <c r="AQ58" s="14"/>
      <c r="AR58" s="14"/>
      <c r="AS58" s="14"/>
      <c r="AT58" s="14"/>
      <c r="AU58" s="14"/>
      <c r="AV58" s="14"/>
      <c r="AW58" s="14"/>
      <c r="AX58" s="14"/>
      <c r="AY58" s="14"/>
      <c r="AZ58" s="14"/>
      <c r="BA58" s="14"/>
      <c r="BB58" s="14"/>
      <c r="BC58" s="14"/>
      <c r="BD58" s="14"/>
      <c r="BE58" s="14"/>
      <c r="BF58" s="14"/>
      <c r="BG58" s="14"/>
      <c r="BH58" s="14"/>
      <c r="BI58" s="14"/>
    </row>
    <row r="59" spans="1:61">
      <c r="A59" s="14" t="s">
        <v>92</v>
      </c>
      <c r="B59" s="14" t="s">
        <v>599</v>
      </c>
      <c r="C59" s="14"/>
      <c r="D59" s="167"/>
      <c r="E59" s="14"/>
      <c r="F59" s="14" t="s">
        <v>600</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67">
        <v>46027</v>
      </c>
      <c r="AK59" s="14">
        <v>294.97000000000003</v>
      </c>
      <c r="AL59" s="14" t="s">
        <v>562</v>
      </c>
      <c r="AM59" s="14" t="s">
        <v>154</v>
      </c>
      <c r="AN59" s="14">
        <f>IF('Stock Data'!$H$2,IF(ISNUMBER(AK59),AK59,NA()),NA())</f>
        <v>294.97000000000003</v>
      </c>
      <c r="AO59" s="14"/>
      <c r="AP59" s="14"/>
      <c r="AQ59" s="14"/>
      <c r="AR59" s="14"/>
      <c r="AS59" s="14"/>
      <c r="AT59" s="14"/>
      <c r="AU59" s="14"/>
      <c r="AV59" s="14"/>
      <c r="AW59" s="14"/>
      <c r="AX59" s="14"/>
      <c r="AY59" s="14"/>
      <c r="AZ59" s="14"/>
      <c r="BA59" s="14"/>
      <c r="BB59" s="14"/>
      <c r="BC59" s="14"/>
      <c r="BD59" s="14"/>
      <c r="BE59" s="14"/>
      <c r="BF59" s="14"/>
      <c r="BG59" s="14"/>
      <c r="BH59" s="14"/>
      <c r="BI59" s="14"/>
    </row>
    <row r="60" spans="1:61">
      <c r="A60" s="14" t="s">
        <v>407</v>
      </c>
      <c r="B60" s="14" t="s">
        <v>599</v>
      </c>
      <c r="C60" s="14"/>
      <c r="D60" s="167"/>
      <c r="E60" s="14"/>
      <c r="F60" s="14" t="s">
        <v>600</v>
      </c>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67">
        <v>46028</v>
      </c>
      <c r="AK60" s="14">
        <v>302.47000000000003</v>
      </c>
      <c r="AL60" s="14" t="s">
        <v>562</v>
      </c>
      <c r="AM60" s="14" t="s">
        <v>154</v>
      </c>
      <c r="AN60" s="14">
        <f>IF('Stock Data'!$H$2,IF(ISNUMBER(AK60),AK60,NA()),NA())</f>
        <v>302.47000000000003</v>
      </c>
      <c r="AO60" s="14"/>
      <c r="AP60" s="14"/>
      <c r="AQ60" s="14"/>
      <c r="AR60" s="14"/>
      <c r="AS60" s="14"/>
      <c r="AT60" s="14"/>
      <c r="AU60" s="14"/>
      <c r="AV60" s="14"/>
      <c r="AW60" s="14"/>
      <c r="AX60" s="14"/>
      <c r="AY60" s="14"/>
      <c r="AZ60" s="14"/>
      <c r="BA60" s="14"/>
      <c r="BB60" s="14"/>
      <c r="BC60" s="14"/>
      <c r="BD60" s="14"/>
      <c r="BE60" s="14"/>
      <c r="BF60" s="14"/>
      <c r="BG60" s="14"/>
      <c r="BH60" s="14"/>
      <c r="BI60" s="14"/>
    </row>
    <row r="61" spans="1:61">
      <c r="A61" s="14" t="s">
        <v>411</v>
      </c>
      <c r="B61" s="14" t="s">
        <v>599</v>
      </c>
      <c r="C61" s="14"/>
      <c r="D61" s="167"/>
      <c r="E61" s="14"/>
      <c r="F61" s="14" t="s">
        <v>600</v>
      </c>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67">
        <v>46029</v>
      </c>
      <c r="AK61" s="14">
        <v>296.73</v>
      </c>
      <c r="AL61" s="14" t="s">
        <v>562</v>
      </c>
      <c r="AM61" s="14" t="s">
        <v>154</v>
      </c>
      <c r="AN61" s="14">
        <f>IF('Stock Data'!$H$2,IF(ISNUMBER(AK61),AK61,NA()),NA())</f>
        <v>296.73</v>
      </c>
      <c r="AO61" s="14"/>
      <c r="AP61" s="14"/>
      <c r="AQ61" s="14"/>
      <c r="AR61" s="14"/>
      <c r="AS61" s="14"/>
      <c r="AT61" s="14"/>
      <c r="AU61" s="14"/>
      <c r="AV61" s="14"/>
      <c r="AW61" s="14"/>
      <c r="AX61" s="14"/>
      <c r="AY61" s="14"/>
      <c r="AZ61" s="14"/>
      <c r="BA61" s="14"/>
      <c r="BB61" s="14"/>
      <c r="BC61" s="14"/>
      <c r="BD61" s="14"/>
      <c r="BE61" s="14"/>
      <c r="BF61" s="14"/>
      <c r="BG61" s="14"/>
      <c r="BH61" s="14"/>
      <c r="BI61" s="14"/>
    </row>
    <row r="62" spans="1:61">
      <c r="A62" s="14" t="s">
        <v>415</v>
      </c>
      <c r="B62" s="14" t="s">
        <v>599</v>
      </c>
      <c r="C62" s="14"/>
      <c r="D62" s="167"/>
      <c r="E62" s="14"/>
      <c r="F62" s="14" t="s">
        <v>600</v>
      </c>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67">
        <v>46030</v>
      </c>
      <c r="AK62" s="14">
        <v>302.72000000000003</v>
      </c>
      <c r="AL62" s="14" t="s">
        <v>562</v>
      </c>
      <c r="AM62" s="14" t="s">
        <v>154</v>
      </c>
      <c r="AN62" s="14">
        <f>IF('Stock Data'!$H$2,IF(ISNUMBER(AK62),AK62,NA()),NA())</f>
        <v>302.72000000000003</v>
      </c>
      <c r="AO62" s="14"/>
      <c r="AP62" s="14"/>
      <c r="AQ62" s="14"/>
      <c r="AR62" s="14"/>
      <c r="AS62" s="14"/>
      <c r="AT62" s="14"/>
      <c r="AU62" s="14"/>
      <c r="AV62" s="14"/>
      <c r="AW62" s="14"/>
      <c r="AX62" s="14"/>
      <c r="AY62" s="14"/>
      <c r="AZ62" s="14"/>
      <c r="BA62" s="14"/>
      <c r="BB62" s="14"/>
      <c r="BC62" s="14"/>
      <c r="BD62" s="14"/>
      <c r="BE62" s="14"/>
      <c r="BF62" s="14"/>
      <c r="BG62" s="14"/>
      <c r="BH62" s="14"/>
      <c r="BI62" s="14"/>
    </row>
    <row r="63" spans="1:61">
      <c r="A63" s="14" t="s">
        <v>419</v>
      </c>
      <c r="B63" s="14" t="s">
        <v>599</v>
      </c>
      <c r="C63" s="14"/>
      <c r="D63" s="167"/>
      <c r="E63" s="14"/>
      <c r="F63" s="14" t="s">
        <v>600</v>
      </c>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67">
        <v>46031</v>
      </c>
      <c r="AK63" s="14">
        <v>304.22000000000003</v>
      </c>
      <c r="AL63" s="14" t="s">
        <v>562</v>
      </c>
      <c r="AM63" s="14" t="s">
        <v>154</v>
      </c>
      <c r="AN63" s="14">
        <f>IF('Stock Data'!$H$2,IF(ISNUMBER(AK63),AK63,NA()),NA())</f>
        <v>304.22000000000003</v>
      </c>
      <c r="AO63" s="14"/>
      <c r="AP63" s="14"/>
      <c r="AQ63" s="14"/>
      <c r="AR63" s="14"/>
      <c r="AS63" s="14"/>
      <c r="AT63" s="14"/>
      <c r="AU63" s="14"/>
      <c r="AV63" s="14"/>
      <c r="AW63" s="14"/>
      <c r="AX63" s="14"/>
      <c r="AY63" s="14"/>
      <c r="AZ63" s="14"/>
      <c r="BA63" s="14"/>
      <c r="BB63" s="14"/>
      <c r="BC63" s="14"/>
      <c r="BD63" s="14"/>
      <c r="BE63" s="14"/>
      <c r="BF63" s="14"/>
      <c r="BG63" s="14"/>
      <c r="BH63" s="14"/>
      <c r="BI63" s="14"/>
    </row>
    <row r="64" spans="1:61">
      <c r="A64" s="14" t="s">
        <v>423</v>
      </c>
      <c r="B64" s="14" t="s">
        <v>599</v>
      </c>
      <c r="C64" s="14"/>
      <c r="D64" s="167"/>
      <c r="E64" s="14"/>
      <c r="F64" s="14" t="s">
        <v>600</v>
      </c>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67">
        <v>46034</v>
      </c>
      <c r="AK64" s="14">
        <v>312.18</v>
      </c>
      <c r="AL64" s="14" t="s">
        <v>562</v>
      </c>
      <c r="AM64" s="14" t="s">
        <v>154</v>
      </c>
      <c r="AN64" s="14">
        <f>IF('Stock Data'!$H$2,IF(ISNUMBER(AK64),AK64,NA()),NA())</f>
        <v>312.18</v>
      </c>
      <c r="AO64" s="14"/>
      <c r="AP64" s="14"/>
      <c r="AQ64" s="14"/>
      <c r="AR64" s="14"/>
      <c r="AS64" s="14"/>
      <c r="AT64" s="14"/>
      <c r="AU64" s="14"/>
      <c r="AV64" s="14"/>
      <c r="AW64" s="14"/>
      <c r="AX64" s="14"/>
      <c r="AY64" s="14"/>
      <c r="AZ64" s="14"/>
      <c r="BA64" s="14"/>
      <c r="BB64" s="14"/>
      <c r="BC64" s="14"/>
      <c r="BD64" s="14"/>
      <c r="BE64" s="14"/>
      <c r="BF64" s="14"/>
      <c r="BG64" s="14"/>
      <c r="BH64" s="14"/>
      <c r="BI64" s="14"/>
    </row>
    <row r="65" spans="1:61">
      <c r="A65" s="14" t="s">
        <v>427</v>
      </c>
      <c r="B65" s="14" t="s">
        <v>599</v>
      </c>
      <c r="C65" s="14"/>
      <c r="D65" s="167"/>
      <c r="E65" s="14"/>
      <c r="F65" s="14" t="s">
        <v>600</v>
      </c>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67">
        <v>46035</v>
      </c>
      <c r="AK65" s="14">
        <v>303.16000000000003</v>
      </c>
      <c r="AL65" s="14" t="s">
        <v>562</v>
      </c>
      <c r="AM65" s="14" t="s">
        <v>154</v>
      </c>
      <c r="AN65" s="14">
        <f>IF('Stock Data'!$H$2,IF(ISNUMBER(AK65),AK65,NA()),NA())</f>
        <v>303.16000000000003</v>
      </c>
      <c r="AO65" s="14"/>
      <c r="AP65" s="14"/>
      <c r="AQ65" s="14"/>
      <c r="AR65" s="14"/>
      <c r="AS65" s="14"/>
      <c r="AT65" s="14"/>
      <c r="AU65" s="14"/>
      <c r="AV65" s="14"/>
      <c r="AW65" s="14"/>
      <c r="AX65" s="14"/>
      <c r="AY65" s="14"/>
      <c r="AZ65" s="14"/>
      <c r="BA65" s="14"/>
      <c r="BB65" s="14"/>
      <c r="BC65" s="14"/>
      <c r="BD65" s="14"/>
      <c r="BE65" s="14"/>
      <c r="BF65" s="14"/>
      <c r="BG65" s="14"/>
      <c r="BH65" s="14"/>
      <c r="BI65" s="14"/>
    </row>
    <row r="66" spans="1:61">
      <c r="A66" s="14" t="s">
        <v>431</v>
      </c>
      <c r="B66" s="14" t="s">
        <v>599</v>
      </c>
      <c r="C66" s="14"/>
      <c r="D66" s="167"/>
      <c r="E66" s="14"/>
      <c r="F66" s="14" t="s">
        <v>600</v>
      </c>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67">
        <v>46036</v>
      </c>
      <c r="AK66" s="14">
        <v>309.02999999999997</v>
      </c>
      <c r="AL66" s="14" t="s">
        <v>562</v>
      </c>
      <c r="AM66" s="14" t="s">
        <v>154</v>
      </c>
      <c r="AN66" s="14">
        <f>IF('Stock Data'!$H$2,IF(ISNUMBER(AK66),AK66,NA()),NA())</f>
        <v>309.02999999999997</v>
      </c>
      <c r="AO66" s="14"/>
      <c r="AP66" s="14"/>
      <c r="AQ66" s="14"/>
      <c r="AR66" s="14"/>
      <c r="AS66" s="14"/>
      <c r="AT66" s="14"/>
      <c r="AU66" s="14"/>
      <c r="AV66" s="14"/>
      <c r="AW66" s="14"/>
      <c r="AX66" s="14"/>
      <c r="AY66" s="14"/>
      <c r="AZ66" s="14"/>
      <c r="BA66" s="14"/>
      <c r="BB66" s="14"/>
      <c r="BC66" s="14"/>
      <c r="BD66" s="14"/>
      <c r="BE66" s="14"/>
      <c r="BF66" s="14"/>
      <c r="BG66" s="14"/>
      <c r="BH66" s="14"/>
      <c r="BI66" s="14"/>
    </row>
    <row r="67" spans="1:61">
      <c r="A67" s="14" t="s">
        <v>435</v>
      </c>
      <c r="B67" s="14" t="s">
        <v>599</v>
      </c>
      <c r="C67" s="14"/>
      <c r="D67" s="167"/>
      <c r="E67" s="14"/>
      <c r="F67" s="14" t="s">
        <v>600</v>
      </c>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67">
        <v>46037</v>
      </c>
      <c r="AK67" s="14">
        <v>297.95</v>
      </c>
      <c r="AL67" s="14" t="s">
        <v>562</v>
      </c>
      <c r="AM67" s="14" t="s">
        <v>154</v>
      </c>
      <c r="AN67" s="14">
        <f>IF('Stock Data'!$H$2,IF(ISNUMBER(AK67),AK67,NA()),NA())</f>
        <v>297.95</v>
      </c>
      <c r="AO67" s="14"/>
      <c r="AP67" s="14"/>
      <c r="AQ67" s="14"/>
      <c r="AR67" s="14"/>
      <c r="AS67" s="14"/>
      <c r="AT67" s="14"/>
      <c r="AU67" s="14"/>
      <c r="AV67" s="14"/>
      <c r="AW67" s="14"/>
      <c r="AX67" s="14"/>
      <c r="AY67" s="14"/>
      <c r="AZ67" s="14"/>
      <c r="BA67" s="14"/>
      <c r="BB67" s="14"/>
      <c r="BC67" s="14"/>
      <c r="BD67" s="14"/>
      <c r="BE67" s="14"/>
      <c r="BF67" s="14"/>
      <c r="BG67" s="14"/>
      <c r="BH67" s="14"/>
      <c r="BI67" s="14"/>
    </row>
    <row r="68" spans="1:61">
      <c r="A68" s="14" t="s">
        <v>442</v>
      </c>
      <c r="B68" s="14" t="s">
        <v>599</v>
      </c>
      <c r="C68" s="14"/>
      <c r="D68" s="167"/>
      <c r="E68" s="14"/>
      <c r="F68" s="14" t="s">
        <v>600</v>
      </c>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67">
        <v>46038</v>
      </c>
      <c r="AK68" s="14">
        <v>305.67</v>
      </c>
      <c r="AL68" s="14" t="s">
        <v>562</v>
      </c>
      <c r="AM68" s="14" t="s">
        <v>154</v>
      </c>
      <c r="AN68" s="14">
        <f>IF('Stock Data'!$H$2,IF(ISNUMBER(AK68),AK68,NA()),NA())</f>
        <v>305.67</v>
      </c>
      <c r="AO68" s="14"/>
      <c r="AP68" s="14"/>
      <c r="AQ68" s="14"/>
      <c r="AR68" s="14"/>
      <c r="AS68" s="14"/>
      <c r="AT68" s="14"/>
      <c r="AU68" s="14"/>
      <c r="AV68" s="14"/>
      <c r="AW68" s="14"/>
      <c r="AX68" s="14"/>
      <c r="AY68" s="14"/>
      <c r="AZ68" s="14"/>
      <c r="BA68" s="14"/>
      <c r="BB68" s="14"/>
      <c r="BC68" s="14"/>
      <c r="BD68" s="14"/>
      <c r="BE68" s="14"/>
      <c r="BF68" s="14"/>
      <c r="BG68" s="14"/>
      <c r="BH68" s="14"/>
      <c r="BI68" s="14"/>
    </row>
    <row r="69" spans="1:61">
      <c r="A69" s="14" t="s">
        <v>446</v>
      </c>
      <c r="B69" s="14" t="s">
        <v>599</v>
      </c>
      <c r="C69" s="14"/>
      <c r="D69" s="167"/>
      <c r="E69" s="14"/>
      <c r="F69" s="14" t="s">
        <v>600</v>
      </c>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67">
        <v>46042</v>
      </c>
      <c r="AK69" s="14">
        <v>291.35000000000002</v>
      </c>
      <c r="AL69" s="14" t="s">
        <v>562</v>
      </c>
      <c r="AM69" s="14" t="s">
        <v>154</v>
      </c>
      <c r="AN69" s="14">
        <f>IF('Stock Data'!$H$2,IF(ISNUMBER(AK69),AK69,NA()),NA())</f>
        <v>291.35000000000002</v>
      </c>
      <c r="AO69" s="14"/>
      <c r="AP69" s="14"/>
      <c r="AQ69" s="14"/>
      <c r="AR69" s="14"/>
      <c r="AS69" s="14"/>
      <c r="AT69" s="14"/>
      <c r="AU69" s="14"/>
      <c r="AV69" s="14"/>
      <c r="AW69" s="14"/>
      <c r="AX69" s="14"/>
      <c r="AY69" s="14"/>
      <c r="AZ69" s="14"/>
      <c r="BA69" s="14"/>
      <c r="BB69" s="14"/>
      <c r="BC69" s="14"/>
      <c r="BD69" s="14"/>
      <c r="BE69" s="14"/>
      <c r="BF69" s="14"/>
      <c r="BG69" s="14"/>
      <c r="BH69" s="14"/>
      <c r="BI69" s="14"/>
    </row>
    <row r="70" spans="1:61">
      <c r="A70" s="14" t="s">
        <v>450</v>
      </c>
      <c r="B70" s="14" t="s">
        <v>599</v>
      </c>
      <c r="C70" s="14"/>
      <c r="D70" s="167"/>
      <c r="E70" s="14"/>
      <c r="F70" s="14" t="s">
        <v>600</v>
      </c>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67">
        <v>46043</v>
      </c>
      <c r="AK70" s="14">
        <v>297.54000000000002</v>
      </c>
      <c r="AL70" s="14" t="s">
        <v>562</v>
      </c>
      <c r="AM70" s="14" t="s">
        <v>154</v>
      </c>
      <c r="AN70" s="14">
        <f>IF('Stock Data'!$H$2,IF(ISNUMBER(AK70),AK70,NA()),NA())</f>
        <v>297.54000000000002</v>
      </c>
      <c r="AO70" s="14"/>
      <c r="AP70" s="14"/>
      <c r="AQ70" s="14"/>
      <c r="AR70" s="14"/>
      <c r="AS70" s="14"/>
      <c r="AT70" s="14"/>
      <c r="AU70" s="14"/>
      <c r="AV70" s="14"/>
      <c r="AW70" s="14"/>
      <c r="AX70" s="14"/>
      <c r="AY70" s="14"/>
      <c r="AZ70" s="14"/>
      <c r="BA70" s="14"/>
      <c r="BB70" s="14"/>
      <c r="BC70" s="14"/>
      <c r="BD70" s="14"/>
      <c r="BE70" s="14"/>
      <c r="BF70" s="14"/>
      <c r="BG70" s="14"/>
      <c r="BH70" s="14"/>
      <c r="BI70" s="14"/>
    </row>
    <row r="71" spans="1:61">
      <c r="A71" s="14" t="s">
        <v>458</v>
      </c>
      <c r="B71" s="14" t="s">
        <v>599</v>
      </c>
      <c r="C71" s="14"/>
      <c r="D71" s="167"/>
      <c r="E71" s="14"/>
      <c r="F71" s="14" t="s">
        <v>600</v>
      </c>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67">
        <v>46044</v>
      </c>
      <c r="AK71" s="14">
        <v>294.67</v>
      </c>
      <c r="AL71" s="14" t="s">
        <v>562</v>
      </c>
      <c r="AM71" s="14" t="s">
        <v>154</v>
      </c>
      <c r="AN71" s="14">
        <f>IF('Stock Data'!$H$2,IF(ISNUMBER(AK71),AK71,NA()),NA())</f>
        <v>294.67</v>
      </c>
      <c r="AO71" s="14"/>
      <c r="AP71" s="14"/>
      <c r="AQ71" s="14"/>
      <c r="AR71" s="14"/>
      <c r="AS71" s="14"/>
      <c r="AT71" s="14"/>
      <c r="AU71" s="14"/>
      <c r="AV71" s="14"/>
      <c r="AW71" s="14"/>
      <c r="AX71" s="14"/>
      <c r="AY71" s="14"/>
      <c r="AZ71" s="14"/>
      <c r="BA71" s="14"/>
      <c r="BB71" s="14"/>
      <c r="BC71" s="14"/>
      <c r="BD71" s="14"/>
      <c r="BE71" s="14"/>
      <c r="BF71" s="14"/>
      <c r="BG71" s="14"/>
      <c r="BH71" s="14"/>
      <c r="BI71" s="14"/>
    </row>
    <row r="72" spans="1:61">
      <c r="A72" s="14" t="s">
        <v>462</v>
      </c>
      <c r="B72" s="14" t="s">
        <v>599</v>
      </c>
      <c r="C72" s="14"/>
      <c r="D72" s="167"/>
      <c r="E72" s="14"/>
      <c r="F72" s="14" t="s">
        <v>600</v>
      </c>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67">
        <v>46045</v>
      </c>
      <c r="AK72" s="14">
        <v>292.44</v>
      </c>
      <c r="AL72" s="14" t="s">
        <v>562</v>
      </c>
      <c r="AM72" s="14" t="s">
        <v>154</v>
      </c>
      <c r="AN72" s="14">
        <f>IF('Stock Data'!$H$2,IF(ISNUMBER(AK72),AK72,NA()),NA())</f>
        <v>292.44</v>
      </c>
      <c r="AO72" s="14"/>
      <c r="AP72" s="14"/>
      <c r="AQ72" s="14"/>
      <c r="AR72" s="14"/>
      <c r="AS72" s="14"/>
      <c r="AT72" s="14"/>
      <c r="AU72" s="14"/>
      <c r="AV72" s="14"/>
      <c r="AW72" s="14"/>
      <c r="AX72" s="14"/>
      <c r="AY72" s="14"/>
      <c r="AZ72" s="14"/>
      <c r="BA72" s="14"/>
      <c r="BB72" s="14"/>
      <c r="BC72" s="14"/>
      <c r="BD72" s="14"/>
      <c r="BE72" s="14"/>
      <c r="BF72" s="14"/>
      <c r="BG72" s="14"/>
      <c r="BH72" s="14"/>
      <c r="BI72" s="14"/>
    </row>
    <row r="73" spans="1:61">
      <c r="A73" s="14" t="s">
        <v>471</v>
      </c>
      <c r="B73" s="14" t="s">
        <v>599</v>
      </c>
      <c r="C73" s="14"/>
      <c r="D73" s="167"/>
      <c r="E73" s="14"/>
      <c r="F73" s="14" t="s">
        <v>600</v>
      </c>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67">
        <v>46048</v>
      </c>
      <c r="AK73" s="14">
        <v>296.33</v>
      </c>
      <c r="AL73" s="14" t="s">
        <v>562</v>
      </c>
      <c r="AM73" s="14" t="s">
        <v>154</v>
      </c>
      <c r="AN73" s="14">
        <f>IF('Stock Data'!$H$2,IF(ISNUMBER(AK73),AK73,NA()),NA())</f>
        <v>296.33</v>
      </c>
      <c r="AO73" s="14"/>
      <c r="AP73" s="14"/>
      <c r="AQ73" s="14"/>
      <c r="AR73" s="14"/>
      <c r="AS73" s="14"/>
      <c r="AT73" s="14"/>
      <c r="AU73" s="14"/>
      <c r="AV73" s="14"/>
      <c r="AW73" s="14"/>
      <c r="AX73" s="14"/>
      <c r="AY73" s="14"/>
      <c r="AZ73" s="14"/>
      <c r="BA73" s="14"/>
      <c r="BB73" s="14"/>
      <c r="BC73" s="14"/>
      <c r="BD73" s="14"/>
      <c r="BE73" s="14"/>
      <c r="BF73" s="14"/>
      <c r="BG73" s="14"/>
      <c r="BH73" s="14"/>
      <c r="BI73" s="14"/>
    </row>
    <row r="74" spans="1:61">
      <c r="A74" s="14" t="s">
        <v>481</v>
      </c>
      <c r="B74" s="14" t="s">
        <v>599</v>
      </c>
      <c r="C74" s="14"/>
      <c r="D74" s="167"/>
      <c r="E74" s="14"/>
      <c r="F74" s="14" t="s">
        <v>600</v>
      </c>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67">
        <v>46049</v>
      </c>
      <c r="AK74" s="14">
        <v>293.86</v>
      </c>
      <c r="AL74" s="14" t="s">
        <v>562</v>
      </c>
      <c r="AM74" s="14" t="s">
        <v>154</v>
      </c>
      <c r="AN74" s="14">
        <f>IF('Stock Data'!$H$2,IF(ISNUMBER(AK74),AK74,NA()),NA())</f>
        <v>293.86</v>
      </c>
      <c r="AO74" s="14"/>
      <c r="AP74" s="14"/>
      <c r="AQ74" s="14"/>
      <c r="AR74" s="14"/>
      <c r="AS74" s="14"/>
      <c r="AT74" s="14"/>
      <c r="AU74" s="14"/>
      <c r="AV74" s="14"/>
      <c r="AW74" s="14"/>
      <c r="AX74" s="14"/>
      <c r="AY74" s="14"/>
      <c r="AZ74" s="14"/>
      <c r="BA74" s="14"/>
      <c r="BB74" s="14"/>
      <c r="BC74" s="14"/>
      <c r="BD74" s="14"/>
      <c r="BE74" s="14"/>
      <c r="BF74" s="14"/>
      <c r="BG74" s="14"/>
      <c r="BH74" s="14"/>
      <c r="BI74" s="14"/>
    </row>
    <row r="75" spans="1:61">
      <c r="A75" s="14" t="s">
        <v>486</v>
      </c>
      <c r="B75" s="14" t="s">
        <v>599</v>
      </c>
      <c r="C75" s="14"/>
      <c r="D75" s="167"/>
      <c r="E75" s="14"/>
      <c r="F75" s="14" t="s">
        <v>600</v>
      </c>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67">
        <v>46050</v>
      </c>
      <c r="AK75" s="14">
        <v>294.16000000000003</v>
      </c>
      <c r="AL75" s="14" t="s">
        <v>562</v>
      </c>
      <c r="AM75" s="14" t="s">
        <v>154</v>
      </c>
      <c r="AN75" s="14">
        <f>IF('Stock Data'!$H$2,IF(ISNUMBER(AK75),AK75,NA()),NA())</f>
        <v>294.16000000000003</v>
      </c>
      <c r="AO75" s="14"/>
      <c r="AP75" s="14"/>
      <c r="AQ75" s="14"/>
      <c r="AR75" s="14"/>
      <c r="AS75" s="14"/>
      <c r="AT75" s="14"/>
      <c r="AU75" s="14"/>
      <c r="AV75" s="14"/>
      <c r="AW75" s="14"/>
      <c r="AX75" s="14"/>
      <c r="AY75" s="14"/>
      <c r="AZ75" s="14"/>
      <c r="BA75" s="14"/>
      <c r="BB75" s="14"/>
      <c r="BC75" s="14"/>
      <c r="BD75" s="14"/>
      <c r="BE75" s="14"/>
      <c r="BF75" s="14"/>
      <c r="BG75" s="14"/>
      <c r="BH75" s="14"/>
      <c r="BI75" s="14"/>
    </row>
    <row r="76" spans="1:61">
      <c r="A76" s="14" t="s">
        <v>491</v>
      </c>
      <c r="B76" s="14" t="s">
        <v>599</v>
      </c>
      <c r="C76" s="14"/>
      <c r="D76" s="167"/>
      <c r="E76" s="14"/>
      <c r="F76" s="14" t="s">
        <v>600</v>
      </c>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67">
        <v>46051</v>
      </c>
      <c r="AK76" s="14">
        <v>309.24</v>
      </c>
      <c r="AL76" s="14" t="s">
        <v>562</v>
      </c>
      <c r="AM76" s="14" t="s">
        <v>154</v>
      </c>
      <c r="AN76" s="14">
        <f>IF('Stock Data'!$H$2,IF(ISNUMBER(AK76),AK76,NA()),NA())</f>
        <v>309.24</v>
      </c>
      <c r="AO76" s="14"/>
      <c r="AP76" s="14"/>
      <c r="AQ76" s="14"/>
      <c r="AR76" s="14"/>
      <c r="AS76" s="14"/>
      <c r="AT76" s="14"/>
      <c r="AU76" s="14"/>
      <c r="AV76" s="14"/>
      <c r="AW76" s="14"/>
      <c r="AX76" s="14"/>
      <c r="AY76" s="14"/>
      <c r="AZ76" s="14"/>
      <c r="BA76" s="14"/>
      <c r="BB76" s="14"/>
      <c r="BC76" s="14"/>
      <c r="BD76" s="14"/>
      <c r="BE76" s="14"/>
      <c r="BF76" s="14"/>
      <c r="BG76" s="14"/>
      <c r="BH76" s="14"/>
      <c r="BI76" s="14"/>
    </row>
    <row r="77" spans="1:61">
      <c r="A77" s="14" t="s">
        <v>494</v>
      </c>
      <c r="B77" s="14" t="s">
        <v>599</v>
      </c>
      <c r="C77" s="14"/>
      <c r="D77" s="167"/>
      <c r="E77" s="14"/>
      <c r="F77" s="14" t="s">
        <v>600</v>
      </c>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67">
        <v>46052</v>
      </c>
      <c r="AK77" s="14">
        <v>306.7</v>
      </c>
      <c r="AL77" s="14" t="s">
        <v>562</v>
      </c>
      <c r="AM77" s="14" t="s">
        <v>154</v>
      </c>
      <c r="AN77" s="14">
        <f>IF('Stock Data'!$H$2,IF(ISNUMBER(AK77),AK77,NA()),NA())</f>
        <v>306.7</v>
      </c>
      <c r="AO77" s="14"/>
      <c r="AP77" s="14"/>
      <c r="AQ77" s="14"/>
      <c r="AR77" s="14"/>
      <c r="AS77" s="14"/>
      <c r="AT77" s="14"/>
      <c r="AU77" s="14"/>
      <c r="AV77" s="14"/>
      <c r="AW77" s="14"/>
      <c r="AX77" s="14"/>
      <c r="AY77" s="14"/>
      <c r="AZ77" s="14"/>
      <c r="BA77" s="14"/>
      <c r="BB77" s="14"/>
      <c r="BC77" s="14"/>
      <c r="BD77" s="14"/>
      <c r="BE77" s="14"/>
      <c r="BF77" s="14"/>
      <c r="BG77" s="14"/>
      <c r="BH77" s="14"/>
      <c r="BI77" s="14"/>
    </row>
    <row r="78" spans="1:61">
      <c r="A78" s="14" t="s">
        <v>497</v>
      </c>
      <c r="B78" s="14" t="s">
        <v>599</v>
      </c>
      <c r="C78" s="14"/>
      <c r="D78" s="167"/>
      <c r="E78" s="14"/>
      <c r="F78" s="14" t="s">
        <v>600</v>
      </c>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67">
        <v>46055</v>
      </c>
      <c r="AK78" s="14">
        <v>314.73</v>
      </c>
      <c r="AL78" s="14" t="s">
        <v>562</v>
      </c>
      <c r="AM78" s="14" t="s">
        <v>154</v>
      </c>
      <c r="AN78" s="14">
        <f>IF('Stock Data'!$H$2,IF(ISNUMBER(AK78),AK78,NA()),NA())</f>
        <v>314.73</v>
      </c>
      <c r="AO78" s="14"/>
      <c r="AP78" s="14"/>
      <c r="AQ78" s="14"/>
      <c r="AR78" s="14"/>
      <c r="AS78" s="14"/>
      <c r="AT78" s="14"/>
      <c r="AU78" s="14"/>
      <c r="AV78" s="14"/>
      <c r="AW78" s="14"/>
      <c r="AX78" s="14"/>
      <c r="AY78" s="14"/>
      <c r="AZ78" s="14"/>
      <c r="BA78" s="14"/>
      <c r="BB78" s="14"/>
      <c r="BC78" s="14"/>
      <c r="BD78" s="14"/>
      <c r="BE78" s="14"/>
      <c r="BF78" s="14"/>
      <c r="BG78" s="14"/>
      <c r="BH78" s="14"/>
      <c r="BI78" s="14"/>
    </row>
    <row r="79" spans="1:61">
      <c r="A79" s="14" t="s">
        <v>505</v>
      </c>
      <c r="B79" s="167">
        <v>46316</v>
      </c>
      <c r="C79" s="14"/>
      <c r="D79" s="167"/>
      <c r="E79" s="14" t="s">
        <v>167</v>
      </c>
      <c r="F79" s="14" t="s">
        <v>557</v>
      </c>
      <c r="G79" s="14" t="s">
        <v>883</v>
      </c>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67">
        <v>46056</v>
      </c>
      <c r="AK79" s="14">
        <v>294.31</v>
      </c>
      <c r="AL79" s="14" t="s">
        <v>562</v>
      </c>
      <c r="AM79" s="14" t="s">
        <v>154</v>
      </c>
      <c r="AN79" s="14">
        <f>IF('Stock Data'!$H$2,IF(ISNUMBER(AK79),AK79,NA()),NA())</f>
        <v>294.31</v>
      </c>
      <c r="AO79" s="14"/>
      <c r="AP79" s="14"/>
      <c r="AQ79" s="14"/>
      <c r="AR79" s="14"/>
      <c r="AS79" s="14"/>
      <c r="AT79" s="14"/>
      <c r="AU79" s="14"/>
      <c r="AV79" s="14"/>
      <c r="AW79" s="14"/>
      <c r="AX79" s="14"/>
      <c r="AY79" s="14"/>
      <c r="AZ79" s="14"/>
      <c r="BA79" s="14"/>
      <c r="BB79" s="14"/>
      <c r="BC79" s="14"/>
      <c r="BD79" s="14"/>
      <c r="BE79" s="14"/>
      <c r="BF79" s="14"/>
      <c r="BG79" s="14"/>
      <c r="BH79" s="14"/>
      <c r="BI79" s="14"/>
    </row>
    <row r="80" spans="1:61">
      <c r="A80" s="14" t="s">
        <v>507</v>
      </c>
      <c r="B80" s="14" t="s">
        <v>884</v>
      </c>
      <c r="C80" s="14"/>
      <c r="D80" s="167"/>
      <c r="E80" s="14" t="s">
        <v>167</v>
      </c>
      <c r="F80" s="14" t="s">
        <v>557</v>
      </c>
      <c r="G80" s="14" t="s">
        <v>885</v>
      </c>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67">
        <v>46057</v>
      </c>
      <c r="AK80" s="14">
        <v>289.05</v>
      </c>
      <c r="AL80" s="14" t="s">
        <v>562</v>
      </c>
      <c r="AM80" s="14" t="s">
        <v>154</v>
      </c>
      <c r="AN80" s="14">
        <f>IF('Stock Data'!$H$2,IF(ISNUMBER(AK80),AK80,NA()),NA())</f>
        <v>289.05</v>
      </c>
      <c r="AO80" s="14"/>
      <c r="AP80" s="14"/>
      <c r="AQ80" s="14"/>
      <c r="AR80" s="14"/>
      <c r="AS80" s="14"/>
      <c r="AT80" s="14"/>
      <c r="AU80" s="14"/>
      <c r="AV80" s="14"/>
      <c r="AW80" s="14"/>
      <c r="AX80" s="14"/>
      <c r="AY80" s="14"/>
      <c r="AZ80" s="14"/>
      <c r="BA80" s="14"/>
      <c r="BB80" s="14"/>
      <c r="BC80" s="14"/>
      <c r="BD80" s="14"/>
      <c r="BE80" s="14"/>
      <c r="BF80" s="14"/>
      <c r="BG80" s="14"/>
      <c r="BH80" s="14"/>
      <c r="BI80" s="14"/>
    </row>
    <row r="81" spans="1:61">
      <c r="A81" s="14" t="s">
        <v>509</v>
      </c>
      <c r="B81" s="14" t="s">
        <v>601</v>
      </c>
      <c r="C81" s="14"/>
      <c r="D81" s="167"/>
      <c r="E81" s="14" t="s">
        <v>167</v>
      </c>
      <c r="F81" s="14" t="s">
        <v>557</v>
      </c>
      <c r="G81" s="14" t="s">
        <v>602</v>
      </c>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67">
        <v>46058</v>
      </c>
      <c r="AK81" s="14">
        <v>289.89</v>
      </c>
      <c r="AL81" s="14" t="s">
        <v>562</v>
      </c>
      <c r="AM81" s="14" t="s">
        <v>154</v>
      </c>
      <c r="AN81" s="14">
        <f>IF('Stock Data'!$H$2,IF(ISNUMBER(AK81),AK81,NA()),NA())</f>
        <v>289.89</v>
      </c>
      <c r="AO81" s="14"/>
      <c r="AP81" s="14"/>
      <c r="AQ81" s="14"/>
      <c r="AR81" s="14"/>
      <c r="AS81" s="14"/>
      <c r="AT81" s="14"/>
      <c r="AU81" s="14"/>
      <c r="AV81" s="14"/>
      <c r="AW81" s="14"/>
      <c r="AX81" s="14"/>
      <c r="AY81" s="14"/>
      <c r="AZ81" s="14"/>
      <c r="BA81" s="14"/>
      <c r="BB81" s="14"/>
      <c r="BC81" s="14"/>
      <c r="BD81" s="14"/>
      <c r="BE81" s="14"/>
      <c r="BF81" s="14"/>
      <c r="BG81" s="14"/>
      <c r="BH81" s="14"/>
      <c r="BI81" s="14"/>
    </row>
    <row r="82" spans="1:61">
      <c r="A82" s="14" t="s">
        <v>511</v>
      </c>
      <c r="B82" s="14" t="s">
        <v>603</v>
      </c>
      <c r="C82" s="14"/>
      <c r="D82" s="167"/>
      <c r="E82" s="14" t="s">
        <v>167</v>
      </c>
      <c r="F82" s="14" t="s">
        <v>557</v>
      </c>
      <c r="G82" s="14" t="s">
        <v>604</v>
      </c>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67">
        <v>46059</v>
      </c>
      <c r="AK82" s="14">
        <v>298.93</v>
      </c>
      <c r="AL82" s="14" t="s">
        <v>562</v>
      </c>
      <c r="AM82" s="14" t="s">
        <v>154</v>
      </c>
      <c r="AN82" s="14">
        <f>IF('Stock Data'!$H$2,IF(ISNUMBER(AK82),AK82,NA()),NA())</f>
        <v>298.93</v>
      </c>
      <c r="AO82" s="14"/>
      <c r="AP82" s="14"/>
      <c r="AQ82" s="14"/>
      <c r="AR82" s="14"/>
      <c r="AS82" s="14"/>
      <c r="AT82" s="14"/>
      <c r="AU82" s="14"/>
      <c r="AV82" s="14"/>
      <c r="AW82" s="14"/>
      <c r="AX82" s="14"/>
      <c r="AY82" s="14"/>
      <c r="AZ82" s="14"/>
      <c r="BA82" s="14"/>
      <c r="BB82" s="14"/>
      <c r="BC82" s="14"/>
      <c r="BD82" s="14"/>
      <c r="BE82" s="14"/>
      <c r="BF82" s="14"/>
      <c r="BG82" s="14"/>
      <c r="BH82" s="14"/>
      <c r="BI82" s="14"/>
    </row>
    <row r="83" spans="1:61">
      <c r="A83" s="14" t="s">
        <v>513</v>
      </c>
      <c r="B83" s="14">
        <v>240.52381</v>
      </c>
      <c r="C83" s="14"/>
      <c r="D83" s="167">
        <v>46305</v>
      </c>
      <c r="E83" s="14" t="s">
        <v>190</v>
      </c>
      <c r="F83" s="14" t="s">
        <v>557</v>
      </c>
      <c r="G83" s="14" t="s">
        <v>932</v>
      </c>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67">
        <v>46062</v>
      </c>
      <c r="AK83" s="14">
        <v>296.33999999999997</v>
      </c>
      <c r="AL83" s="14" t="s">
        <v>562</v>
      </c>
      <c r="AM83" s="14" t="s">
        <v>154</v>
      </c>
      <c r="AN83" s="14">
        <f>IF('Stock Data'!$H$2,IF(ISNUMBER(AK83),AK83,NA()),NA())</f>
        <v>296.33999999999997</v>
      </c>
      <c r="AO83" s="14"/>
      <c r="AP83" s="14"/>
      <c r="AQ83" s="14"/>
      <c r="AR83" s="14"/>
      <c r="AS83" s="14"/>
      <c r="AT83" s="14"/>
      <c r="AU83" s="14"/>
      <c r="AV83" s="14"/>
      <c r="AW83" s="14"/>
      <c r="AX83" s="14"/>
      <c r="AY83" s="14"/>
      <c r="AZ83" s="14"/>
      <c r="BA83" s="14"/>
      <c r="BB83" s="14"/>
      <c r="BC83" s="14"/>
      <c r="BD83" s="14"/>
      <c r="BE83" s="14"/>
      <c r="BF83" s="14"/>
      <c r="BG83" s="14"/>
      <c r="BH83" s="14"/>
      <c r="BI83" s="14"/>
    </row>
    <row r="84" spans="1:61">
      <c r="A84" s="14" t="s">
        <v>516</v>
      </c>
      <c r="B84" s="14">
        <v>174</v>
      </c>
      <c r="C84" s="14"/>
      <c r="D84" s="167">
        <v>46305</v>
      </c>
      <c r="E84" s="14" t="s">
        <v>190</v>
      </c>
      <c r="F84" s="14" t="s">
        <v>557</v>
      </c>
      <c r="G84" s="14" t="s">
        <v>933</v>
      </c>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67">
        <v>46063</v>
      </c>
      <c r="AK84" s="14">
        <v>291.76</v>
      </c>
      <c r="AL84" s="14" t="s">
        <v>562</v>
      </c>
      <c r="AM84" s="14" t="s">
        <v>154</v>
      </c>
      <c r="AN84" s="14">
        <f>IF('Stock Data'!$H$2,IF(ISNUMBER(AK84),AK84,NA()),NA())</f>
        <v>291.76</v>
      </c>
      <c r="AO84" s="14"/>
      <c r="AP84" s="14"/>
      <c r="AQ84" s="14"/>
      <c r="AR84" s="14"/>
      <c r="AS84" s="14"/>
      <c r="AT84" s="14"/>
      <c r="AU84" s="14"/>
      <c r="AV84" s="14"/>
      <c r="AW84" s="14"/>
      <c r="AX84" s="14"/>
      <c r="AY84" s="14"/>
      <c r="AZ84" s="14"/>
      <c r="BA84" s="14"/>
      <c r="BB84" s="14"/>
      <c r="BC84" s="14"/>
      <c r="BD84" s="14"/>
      <c r="BE84" s="14"/>
      <c r="BF84" s="14"/>
      <c r="BG84" s="14"/>
      <c r="BH84" s="14"/>
      <c r="BI84" s="14"/>
    </row>
    <row r="85" spans="1:61">
      <c r="A85" s="14" t="s">
        <v>518</v>
      </c>
      <c r="B85" s="14">
        <v>297</v>
      </c>
      <c r="C85" s="14"/>
      <c r="D85" s="167">
        <v>46305</v>
      </c>
      <c r="E85" s="14" t="s">
        <v>190</v>
      </c>
      <c r="F85" s="14" t="s">
        <v>557</v>
      </c>
      <c r="G85" s="14" t="s">
        <v>934</v>
      </c>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67">
        <v>46064</v>
      </c>
      <c r="AK85" s="14">
        <v>272.81</v>
      </c>
      <c r="AL85" s="14" t="s">
        <v>562</v>
      </c>
      <c r="AM85" s="14" t="s">
        <v>154</v>
      </c>
      <c r="AN85" s="14">
        <f>IF('Stock Data'!$H$2,IF(ISNUMBER(AK85),AK85,NA()),NA())</f>
        <v>272.81</v>
      </c>
      <c r="AO85" s="14"/>
      <c r="AP85" s="14"/>
      <c r="AQ85" s="14"/>
      <c r="AR85" s="14"/>
      <c r="AS85" s="14"/>
      <c r="AT85" s="14"/>
      <c r="AU85" s="14"/>
      <c r="AV85" s="14"/>
      <c r="AW85" s="14"/>
      <c r="AX85" s="14"/>
      <c r="AY85" s="14"/>
      <c r="AZ85" s="14"/>
      <c r="BA85" s="14"/>
      <c r="BB85" s="14"/>
      <c r="BC85" s="14"/>
      <c r="BD85" s="14"/>
      <c r="BE85" s="14"/>
      <c r="BF85" s="14"/>
      <c r="BG85" s="14"/>
      <c r="BH85" s="14"/>
      <c r="BI85" s="14"/>
    </row>
    <row r="86" spans="1:61">
      <c r="A86" s="14" t="s">
        <v>520</v>
      </c>
      <c r="B86" s="14">
        <v>21</v>
      </c>
      <c r="C86" s="14"/>
      <c r="D86" s="167">
        <v>46305</v>
      </c>
      <c r="E86" s="14" t="s">
        <v>190</v>
      </c>
      <c r="F86" s="14" t="s">
        <v>557</v>
      </c>
      <c r="G86" s="14" t="s">
        <v>605</v>
      </c>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67">
        <v>46065</v>
      </c>
      <c r="AK86" s="14">
        <v>259.52</v>
      </c>
      <c r="AL86" s="14" t="s">
        <v>562</v>
      </c>
      <c r="AM86" s="14" t="s">
        <v>154</v>
      </c>
      <c r="AN86" s="14">
        <f>IF('Stock Data'!$H$2,IF(ISNUMBER(AK86),AK86,NA()),NA())</f>
        <v>259.52</v>
      </c>
      <c r="AO86" s="14"/>
      <c r="AP86" s="14"/>
      <c r="AQ86" s="14"/>
      <c r="AR86" s="14"/>
      <c r="AS86" s="14"/>
      <c r="AT86" s="14"/>
      <c r="AU86" s="14"/>
      <c r="AV86" s="14"/>
      <c r="AW86" s="14"/>
      <c r="AX86" s="14"/>
      <c r="AY86" s="14"/>
      <c r="AZ86" s="14"/>
      <c r="BA86" s="14"/>
      <c r="BB86" s="14"/>
      <c r="BC86" s="14"/>
      <c r="BD86" s="14"/>
      <c r="BE86" s="14"/>
      <c r="BF86" s="14"/>
      <c r="BG86" s="14"/>
      <c r="BH86" s="14"/>
      <c r="BI86" s="14"/>
    </row>
    <row r="87" spans="1:61">
      <c r="A87" s="14" t="s">
        <v>522</v>
      </c>
      <c r="B87" s="14" t="s">
        <v>606</v>
      </c>
      <c r="C87" s="14"/>
      <c r="D87" s="167">
        <v>46303</v>
      </c>
      <c r="E87" s="14" t="s">
        <v>186</v>
      </c>
      <c r="F87" s="14" t="s">
        <v>557</v>
      </c>
      <c r="G87" s="14" t="s">
        <v>607</v>
      </c>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67">
        <v>46066</v>
      </c>
      <c r="AK87" s="14">
        <v>262.38</v>
      </c>
      <c r="AL87" s="14" t="s">
        <v>562</v>
      </c>
      <c r="AM87" s="14" t="s">
        <v>154</v>
      </c>
      <c r="AN87" s="14">
        <f>IF('Stock Data'!$H$2,IF(ISNUMBER(AK87),AK87,NA()),NA())</f>
        <v>262.38</v>
      </c>
      <c r="AO87" s="14"/>
      <c r="AP87" s="14"/>
      <c r="AQ87" s="14"/>
      <c r="AR87" s="14"/>
      <c r="AS87" s="14"/>
      <c r="AT87" s="14"/>
      <c r="AU87" s="14"/>
      <c r="AV87" s="14"/>
      <c r="AW87" s="14"/>
      <c r="AX87" s="14"/>
      <c r="AY87" s="14"/>
      <c r="AZ87" s="14"/>
      <c r="BA87" s="14"/>
      <c r="BB87" s="14"/>
      <c r="BC87" s="14"/>
      <c r="BD87" s="14"/>
      <c r="BE87" s="14"/>
      <c r="BF87" s="14"/>
      <c r="BG87" s="14"/>
      <c r="BH87" s="14"/>
      <c r="BI87" s="14"/>
    </row>
    <row r="88" spans="1:61">
      <c r="A88" s="14" t="s">
        <v>86</v>
      </c>
      <c r="B88" s="14" t="s">
        <v>753</v>
      </c>
      <c r="C88" s="14"/>
      <c r="D88" s="167"/>
      <c r="E88" s="14" t="s">
        <v>878</v>
      </c>
      <c r="F88" s="14" t="s">
        <v>608</v>
      </c>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67">
        <v>46070</v>
      </c>
      <c r="AK88" s="14">
        <v>258.31</v>
      </c>
      <c r="AL88" s="14" t="s">
        <v>562</v>
      </c>
      <c r="AM88" s="14" t="s">
        <v>154</v>
      </c>
      <c r="AN88" s="14">
        <f>IF('Stock Data'!$H$2,IF(ISNUMBER(AK88),AK88,NA()),NA())</f>
        <v>258.31</v>
      </c>
      <c r="AO88" s="14"/>
      <c r="AP88" s="14"/>
      <c r="AQ88" s="14"/>
      <c r="AR88" s="14"/>
      <c r="AS88" s="14"/>
      <c r="AT88" s="14"/>
      <c r="AU88" s="14"/>
      <c r="AV88" s="14"/>
      <c r="AW88" s="14"/>
      <c r="AX88" s="14"/>
      <c r="AY88" s="14"/>
      <c r="AZ88" s="14"/>
      <c r="BA88" s="14"/>
      <c r="BB88" s="14"/>
      <c r="BC88" s="14"/>
      <c r="BD88" s="14"/>
      <c r="BE88" s="14"/>
      <c r="BF88" s="14"/>
      <c r="BG88" s="14"/>
      <c r="BH88" s="14"/>
      <c r="BI88" s="14"/>
    </row>
    <row r="89" spans="1:61">
      <c r="A89" s="14" t="s">
        <v>609</v>
      </c>
      <c r="B89" s="14" t="s">
        <v>145</v>
      </c>
      <c r="C89" s="14"/>
      <c r="D89" s="167"/>
      <c r="E89" s="14" t="s">
        <v>878</v>
      </c>
      <c r="F89" s="14" t="s">
        <v>608</v>
      </c>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67">
        <v>46071</v>
      </c>
      <c r="AK89" s="14">
        <v>260.79000000000002</v>
      </c>
      <c r="AL89" s="14" t="s">
        <v>562</v>
      </c>
      <c r="AM89" s="14" t="s">
        <v>154</v>
      </c>
      <c r="AN89" s="14">
        <f>IF('Stock Data'!$H$2,IF(ISNUMBER(AK89),AK89,NA()),NA())</f>
        <v>260.79000000000002</v>
      </c>
      <c r="AO89" s="14"/>
      <c r="AP89" s="14"/>
      <c r="AQ89" s="14"/>
      <c r="AR89" s="14"/>
      <c r="AS89" s="14"/>
      <c r="AT89" s="14"/>
      <c r="AU89" s="14"/>
      <c r="AV89" s="14"/>
      <c r="AW89" s="14"/>
      <c r="AX89" s="14"/>
      <c r="AY89" s="14"/>
      <c r="AZ89" s="14"/>
      <c r="BA89" s="14"/>
      <c r="BB89" s="14"/>
      <c r="BC89" s="14"/>
      <c r="BD89" s="14"/>
      <c r="BE89" s="14"/>
      <c r="BF89" s="14"/>
      <c r="BG89" s="14"/>
      <c r="BH89" s="14"/>
      <c r="BI89" s="14"/>
    </row>
    <row r="90" spans="1:61">
      <c r="A90" s="14" t="s">
        <v>556</v>
      </c>
      <c r="B90" s="14">
        <v>46307.768518518518</v>
      </c>
      <c r="C90" s="14" t="s">
        <v>892</v>
      </c>
      <c r="D90" s="167"/>
      <c r="E90" s="14" t="s">
        <v>893</v>
      </c>
      <c r="F90" s="14" t="s">
        <v>611</v>
      </c>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67">
        <v>46072</v>
      </c>
      <c r="AK90" s="14">
        <v>256.27999999999997</v>
      </c>
      <c r="AL90" s="14" t="s">
        <v>562</v>
      </c>
      <c r="AM90" s="14" t="s">
        <v>154</v>
      </c>
      <c r="AN90" s="14">
        <f>IF('Stock Data'!$H$2,IF(ISNUMBER(AK90),AK90,NA()),NA())</f>
        <v>256.27999999999997</v>
      </c>
      <c r="AO90" s="14"/>
      <c r="AP90" s="14"/>
      <c r="AQ90" s="14"/>
      <c r="AR90" s="14"/>
      <c r="AS90" s="14"/>
      <c r="AT90" s="14"/>
      <c r="AU90" s="14"/>
      <c r="AV90" s="14"/>
      <c r="AW90" s="14"/>
      <c r="AX90" s="14"/>
      <c r="AY90" s="14"/>
      <c r="AZ90" s="14"/>
      <c r="BA90" s="14"/>
      <c r="BB90" s="14"/>
      <c r="BC90" s="14"/>
      <c r="BD90" s="14"/>
      <c r="BE90" s="14"/>
      <c r="BF90" s="14"/>
      <c r="BG90" s="14"/>
      <c r="BH90" s="14"/>
      <c r="BI90" s="14"/>
    </row>
    <row r="91" spans="1:61">
      <c r="A91" s="14" t="s">
        <v>612</v>
      </c>
      <c r="B91" s="14" t="s">
        <v>558</v>
      </c>
      <c r="C91" s="14"/>
      <c r="D91" s="167" t="s">
        <v>558</v>
      </c>
      <c r="E91" s="14" t="s">
        <v>196</v>
      </c>
      <c r="F91" s="14" t="s">
        <v>557</v>
      </c>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67">
        <v>46073</v>
      </c>
      <c r="AK91" s="14">
        <v>257.16000000000003</v>
      </c>
      <c r="AL91" s="14" t="s">
        <v>562</v>
      </c>
      <c r="AM91" s="14" t="s">
        <v>154</v>
      </c>
      <c r="AN91" s="14">
        <f>IF('Stock Data'!$H$2,IF(ISNUMBER(AK91),AK91,NA()),NA())</f>
        <v>257.16000000000003</v>
      </c>
      <c r="AO91" s="14"/>
      <c r="AP91" s="14"/>
      <c r="AQ91" s="14"/>
      <c r="AR91" s="14"/>
      <c r="AS91" s="14"/>
      <c r="AT91" s="14"/>
      <c r="AU91" s="14"/>
      <c r="AV91" s="14"/>
      <c r="AW91" s="14"/>
      <c r="AX91" s="14"/>
      <c r="AY91" s="14"/>
      <c r="AZ91" s="14"/>
      <c r="BA91" s="14"/>
      <c r="BB91" s="14"/>
      <c r="BC91" s="14"/>
      <c r="BD91" s="14"/>
      <c r="BE91" s="14"/>
      <c r="BF91" s="14"/>
      <c r="BG91" s="14"/>
      <c r="BH91" s="14"/>
      <c r="BI91" s="14"/>
    </row>
    <row r="92" spans="1:61">
      <c r="A92" s="14" t="s">
        <v>613</v>
      </c>
      <c r="B92" s="167">
        <v>46304</v>
      </c>
      <c r="C92" s="14"/>
      <c r="D92" s="167">
        <v>46304</v>
      </c>
      <c r="E92" s="14" t="s">
        <v>561</v>
      </c>
      <c r="F92" s="14" t="s">
        <v>618</v>
      </c>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67">
        <v>46076</v>
      </c>
      <c r="AK92" s="14">
        <v>223.35</v>
      </c>
      <c r="AL92" s="14" t="s">
        <v>562</v>
      </c>
      <c r="AM92" s="14" t="s">
        <v>154</v>
      </c>
      <c r="AN92" s="14">
        <f>IF('Stock Data'!$H$2,IF(ISNUMBER(AK92),AK92,NA()),NA())</f>
        <v>223.35</v>
      </c>
      <c r="AO92" s="14"/>
      <c r="AP92" s="14"/>
      <c r="AQ92" s="14"/>
      <c r="AR92" s="14"/>
      <c r="AS92" s="14"/>
      <c r="AT92" s="14"/>
      <c r="AU92" s="14"/>
      <c r="AV92" s="14"/>
      <c r="AW92" s="14"/>
      <c r="AX92" s="14"/>
      <c r="AY92" s="14"/>
      <c r="AZ92" s="14"/>
      <c r="BA92" s="14"/>
      <c r="BB92" s="14"/>
      <c r="BC92" s="14"/>
      <c r="BD92" s="14"/>
      <c r="BE92" s="14"/>
      <c r="BF92" s="14"/>
      <c r="BG92" s="14"/>
      <c r="BH92" s="14"/>
      <c r="BI92" s="14"/>
    </row>
    <row r="93" spans="1:61">
      <c r="A93" s="14" t="s">
        <v>614</v>
      </c>
      <c r="B93" s="14" t="s">
        <v>599</v>
      </c>
      <c r="C93" s="14"/>
      <c r="D93" s="167"/>
      <c r="E93" s="14"/>
      <c r="F93" s="14" t="s">
        <v>600</v>
      </c>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67">
        <v>46077</v>
      </c>
      <c r="AK93" s="14">
        <v>229.32</v>
      </c>
      <c r="AL93" s="14" t="s">
        <v>562</v>
      </c>
      <c r="AM93" s="14" t="s">
        <v>154</v>
      </c>
      <c r="AN93" s="14">
        <f>IF('Stock Data'!$H$2,IF(ISNUMBER(AK93),AK93,NA()),NA())</f>
        <v>229.32</v>
      </c>
      <c r="AO93" s="14"/>
      <c r="AP93" s="14"/>
      <c r="AQ93" s="14"/>
      <c r="AR93" s="14"/>
      <c r="AS93" s="14"/>
      <c r="AT93" s="14"/>
      <c r="AU93" s="14"/>
      <c r="AV93" s="14"/>
      <c r="AW93" s="14"/>
      <c r="AX93" s="14"/>
      <c r="AY93" s="14"/>
      <c r="AZ93" s="14"/>
      <c r="BA93" s="14"/>
      <c r="BB93" s="14"/>
      <c r="BC93" s="14"/>
      <c r="BD93" s="14"/>
      <c r="BE93" s="14"/>
      <c r="BF93" s="14"/>
      <c r="BG93" s="14"/>
      <c r="BH93" s="14"/>
      <c r="BI93" s="14"/>
    </row>
    <row r="94" spans="1:61">
      <c r="A94" s="14" t="s">
        <v>615</v>
      </c>
      <c r="B94" s="14" t="s">
        <v>599</v>
      </c>
      <c r="C94" s="14"/>
      <c r="D94" s="167"/>
      <c r="E94" s="14"/>
      <c r="F94" s="14" t="s">
        <v>600</v>
      </c>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67">
        <v>46078</v>
      </c>
      <c r="AK94" s="14">
        <v>237.54</v>
      </c>
      <c r="AL94" s="14" t="s">
        <v>562</v>
      </c>
      <c r="AM94" s="14" t="s">
        <v>154</v>
      </c>
      <c r="AN94" s="14">
        <f>IF('Stock Data'!$H$2,IF(ISNUMBER(AK94),AK94,NA()),NA())</f>
        <v>237.54</v>
      </c>
      <c r="AO94" s="14"/>
      <c r="AP94" s="14"/>
      <c r="AQ94" s="14"/>
      <c r="AR94" s="14"/>
      <c r="AS94" s="14"/>
      <c r="AT94" s="14"/>
      <c r="AU94" s="14"/>
      <c r="AV94" s="14"/>
      <c r="AW94" s="14"/>
      <c r="AX94" s="14"/>
      <c r="AY94" s="14"/>
      <c r="AZ94" s="14"/>
      <c r="BA94" s="14"/>
      <c r="BB94" s="14"/>
      <c r="BC94" s="14"/>
      <c r="BD94" s="14"/>
      <c r="BE94" s="14"/>
      <c r="BF94" s="14"/>
      <c r="BG94" s="14"/>
      <c r="BH94" s="14"/>
      <c r="BI94" s="14"/>
    </row>
    <row r="95" spans="1:61">
      <c r="A95" s="14" t="s">
        <v>616</v>
      </c>
      <c r="B95" s="14" t="s">
        <v>888</v>
      </c>
      <c r="C95" s="14"/>
      <c r="D95" s="167"/>
      <c r="E95" s="14" t="s">
        <v>889</v>
      </c>
      <c r="F95" s="14" t="s">
        <v>618</v>
      </c>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67">
        <v>46079</v>
      </c>
      <c r="AK95" s="14">
        <v>242.01</v>
      </c>
      <c r="AL95" s="14" t="s">
        <v>562</v>
      </c>
      <c r="AM95" s="14" t="s">
        <v>154</v>
      </c>
      <c r="AN95" s="14">
        <f>IF('Stock Data'!$H$2,IF(ISNUMBER(AK95),AK95,NA()),NA())</f>
        <v>242.01</v>
      </c>
      <c r="AO95" s="14"/>
      <c r="AP95" s="14"/>
      <c r="AQ95" s="14"/>
      <c r="AR95" s="14"/>
      <c r="AS95" s="14"/>
      <c r="AT95" s="14"/>
      <c r="AU95" s="14"/>
      <c r="AV95" s="14"/>
      <c r="AW95" s="14"/>
      <c r="AX95" s="14"/>
      <c r="AY95" s="14"/>
      <c r="AZ95" s="14"/>
      <c r="BA95" s="14"/>
      <c r="BB95" s="14"/>
      <c r="BC95" s="14"/>
      <c r="BD95" s="14"/>
      <c r="BE95" s="14"/>
      <c r="BF95" s="14"/>
      <c r="BG95" s="14"/>
      <c r="BH95" s="14"/>
      <c r="BI95" s="14"/>
    </row>
    <row r="96" spans="1:61">
      <c r="A96" s="14" t="s">
        <v>619</v>
      </c>
      <c r="B96" s="14" t="s">
        <v>620</v>
      </c>
      <c r="C96" s="14"/>
      <c r="D96" s="167"/>
      <c r="E96" s="14" t="s">
        <v>890</v>
      </c>
      <c r="F96" s="14" t="s">
        <v>621</v>
      </c>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67">
        <v>46080</v>
      </c>
      <c r="AK96" s="14">
        <v>240.21</v>
      </c>
      <c r="AL96" s="14" t="s">
        <v>562</v>
      </c>
      <c r="AM96" s="14" t="s">
        <v>154</v>
      </c>
      <c r="AN96" s="14">
        <f>IF('Stock Data'!$H$2,IF(ISNUMBER(AK96),AK96,NA()),NA())</f>
        <v>240.21</v>
      </c>
      <c r="AO96" s="14"/>
      <c r="AP96" s="14"/>
      <c r="AQ96" s="14"/>
      <c r="AR96" s="14"/>
      <c r="AS96" s="14"/>
      <c r="AT96" s="14"/>
      <c r="AU96" s="14"/>
      <c r="AV96" s="14"/>
      <c r="AW96" s="14"/>
      <c r="AX96" s="14"/>
      <c r="AY96" s="14"/>
      <c r="AZ96" s="14"/>
      <c r="BA96" s="14"/>
      <c r="BB96" s="14"/>
      <c r="BC96" s="14"/>
      <c r="BD96" s="14"/>
      <c r="BE96" s="14"/>
      <c r="BF96" s="14"/>
      <c r="BG96" s="14"/>
      <c r="BH96" s="14"/>
      <c r="BI96" s="14"/>
    </row>
    <row r="97" spans="1:61">
      <c r="A97" s="14" t="s">
        <v>622</v>
      </c>
      <c r="B97" s="14" t="s">
        <v>623</v>
      </c>
      <c r="C97" s="14"/>
      <c r="D97" s="167"/>
      <c r="E97" s="14" t="s">
        <v>891</v>
      </c>
      <c r="F97" s="14" t="s">
        <v>617</v>
      </c>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67">
        <v>46083</v>
      </c>
      <c r="AK97" s="14">
        <v>239.37</v>
      </c>
      <c r="AL97" s="14" t="s">
        <v>562</v>
      </c>
      <c r="AM97" s="14" t="s">
        <v>154</v>
      </c>
      <c r="AN97" s="14">
        <f>IF('Stock Data'!$H$2,IF(ISNUMBER(AK97),AK97,NA()),NA())</f>
        <v>239.37</v>
      </c>
      <c r="AO97" s="14"/>
      <c r="AP97" s="14"/>
      <c r="AQ97" s="14"/>
      <c r="AR97" s="14"/>
      <c r="AS97" s="14"/>
      <c r="AT97" s="14"/>
      <c r="AU97" s="14"/>
      <c r="AV97" s="14"/>
      <c r="AW97" s="14"/>
      <c r="AX97" s="14"/>
      <c r="AY97" s="14"/>
      <c r="AZ97" s="14"/>
      <c r="BA97" s="14"/>
      <c r="BB97" s="14"/>
      <c r="BC97" s="14"/>
      <c r="BD97" s="14"/>
      <c r="BE97" s="14"/>
      <c r="BF97" s="14"/>
      <c r="BG97" s="14"/>
      <c r="BH97" s="14"/>
      <c r="BI97" s="14"/>
    </row>
    <row r="98" spans="1:61">
      <c r="A98" s="14" t="s">
        <v>624</v>
      </c>
      <c r="B98" s="14" t="s">
        <v>599</v>
      </c>
      <c r="C98" s="14"/>
      <c r="D98" s="167"/>
      <c r="E98" s="14"/>
      <c r="F98" s="14" t="s">
        <v>600</v>
      </c>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67">
        <v>46084</v>
      </c>
      <c r="AK98" s="14">
        <v>245.28</v>
      </c>
      <c r="AL98" s="14" t="s">
        <v>562</v>
      </c>
      <c r="AM98" s="14" t="s">
        <v>154</v>
      </c>
      <c r="AN98" s="14">
        <f>IF('Stock Data'!$H$2,IF(ISNUMBER(AK98),AK98,NA()),NA())</f>
        <v>245.28</v>
      </c>
      <c r="AO98" s="14"/>
      <c r="AP98" s="14"/>
      <c r="AQ98" s="14"/>
      <c r="AR98" s="14"/>
      <c r="AS98" s="14"/>
      <c r="AT98" s="14"/>
      <c r="AU98" s="14"/>
      <c r="AV98" s="14"/>
      <c r="AW98" s="14"/>
      <c r="AX98" s="14"/>
      <c r="AY98" s="14"/>
      <c r="AZ98" s="14"/>
      <c r="BA98" s="14"/>
      <c r="BB98" s="14"/>
      <c r="BC98" s="14"/>
      <c r="BD98" s="14"/>
      <c r="BE98" s="14"/>
      <c r="BF98" s="14"/>
      <c r="BG98" s="14"/>
      <c r="BH98" s="14"/>
      <c r="BI98" s="14"/>
    </row>
    <row r="99" spans="1:61">
      <c r="A99" s="14" t="s">
        <v>625</v>
      </c>
      <c r="B99" s="14" t="s">
        <v>599</v>
      </c>
      <c r="C99" s="14"/>
      <c r="D99" s="167"/>
      <c r="E99" s="14"/>
      <c r="F99" s="14" t="s">
        <v>600</v>
      </c>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67">
        <v>46085</v>
      </c>
      <c r="AK99" s="14">
        <v>250.06</v>
      </c>
      <c r="AL99" s="14" t="s">
        <v>562</v>
      </c>
      <c r="AM99" s="14" t="s">
        <v>154</v>
      </c>
      <c r="AN99" s="14">
        <f>IF('Stock Data'!$H$2,IF(ISNUMBER(AK99),AK99,NA()),NA())</f>
        <v>250.06</v>
      </c>
      <c r="AO99" s="14"/>
      <c r="AP99" s="14"/>
      <c r="AQ99" s="14"/>
      <c r="AR99" s="14"/>
      <c r="AS99" s="14"/>
      <c r="AT99" s="14"/>
      <c r="AU99" s="14"/>
      <c r="AV99" s="14"/>
      <c r="AW99" s="14"/>
      <c r="AX99" s="14"/>
      <c r="AY99" s="14"/>
      <c r="AZ99" s="14"/>
      <c r="BA99" s="14"/>
      <c r="BB99" s="14"/>
      <c r="BC99" s="14"/>
      <c r="BD99" s="14"/>
      <c r="BE99" s="14"/>
      <c r="BF99" s="14"/>
      <c r="BG99" s="14"/>
      <c r="BH99" s="14"/>
      <c r="BI99" s="14"/>
    </row>
    <row r="100" spans="1:61">
      <c r="A100" s="14" t="s">
        <v>626</v>
      </c>
      <c r="B100" s="14" t="s">
        <v>599</v>
      </c>
      <c r="C100" s="14"/>
      <c r="D100" s="167"/>
      <c r="E100" s="14"/>
      <c r="F100" s="14" t="s">
        <v>600</v>
      </c>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67">
        <v>46086</v>
      </c>
      <c r="AK100" s="14">
        <v>256.55</v>
      </c>
      <c r="AL100" s="14" t="s">
        <v>562</v>
      </c>
      <c r="AM100" s="14" t="s">
        <v>154</v>
      </c>
      <c r="AN100" s="14">
        <f>IF('Stock Data'!$H$2,IF(ISNUMBER(AK100),AK100,NA()),NA())</f>
        <v>256.55</v>
      </c>
      <c r="AO100" s="14"/>
      <c r="AP100" s="14"/>
      <c r="AQ100" s="14"/>
      <c r="AR100" s="14"/>
      <c r="AS100" s="14"/>
      <c r="AT100" s="14"/>
      <c r="AU100" s="14"/>
      <c r="AV100" s="14"/>
      <c r="AW100" s="14"/>
      <c r="AX100" s="14"/>
      <c r="AY100" s="14"/>
      <c r="AZ100" s="14"/>
      <c r="BA100" s="14"/>
      <c r="BB100" s="14"/>
      <c r="BC100" s="14"/>
      <c r="BD100" s="14"/>
      <c r="BE100" s="14"/>
      <c r="BF100" s="14"/>
      <c r="BG100" s="14"/>
      <c r="BH100" s="14"/>
      <c r="BI100" s="14"/>
    </row>
    <row r="101" spans="1:61">
      <c r="A101" s="14" t="s">
        <v>627</v>
      </c>
      <c r="B101" s="14" t="s">
        <v>628</v>
      </c>
      <c r="C101" s="14"/>
      <c r="D101" s="167"/>
      <c r="E101" s="14" t="s">
        <v>629</v>
      </c>
      <c r="F101" s="14" t="s">
        <v>630</v>
      </c>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67">
        <v>46087</v>
      </c>
      <c r="AK101" s="14">
        <v>258.85000000000002</v>
      </c>
      <c r="AL101" s="14" t="s">
        <v>562</v>
      </c>
      <c r="AM101" s="14" t="s">
        <v>154</v>
      </c>
      <c r="AN101" s="14">
        <f>IF('Stock Data'!$H$2,IF(ISNUMBER(AK101),AK101,NA()),NA())</f>
        <v>258.85000000000002</v>
      </c>
      <c r="AO101" s="14"/>
      <c r="AP101" s="14"/>
      <c r="AQ101" s="14"/>
      <c r="AR101" s="14"/>
      <c r="AS101" s="14"/>
      <c r="AT101" s="14"/>
      <c r="AU101" s="14"/>
      <c r="AV101" s="14"/>
      <c r="AW101" s="14"/>
      <c r="AX101" s="14"/>
      <c r="AY101" s="14"/>
      <c r="AZ101" s="14"/>
      <c r="BA101" s="14"/>
      <c r="BB101" s="14"/>
      <c r="BC101" s="14"/>
      <c r="BD101" s="14"/>
      <c r="BE101" s="14"/>
      <c r="BF101" s="14"/>
      <c r="BG101" s="14"/>
      <c r="BH101" s="14"/>
      <c r="BI101" s="14"/>
    </row>
    <row r="102" spans="1:61">
      <c r="A102" s="14" t="s">
        <v>631</v>
      </c>
      <c r="B102" s="14" t="s">
        <v>628</v>
      </c>
      <c r="C102" s="14"/>
      <c r="D102" s="167"/>
      <c r="E102" s="14" t="s">
        <v>629</v>
      </c>
      <c r="F102" s="14" t="s">
        <v>630</v>
      </c>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67">
        <v>46090</v>
      </c>
      <c r="AK102" s="14">
        <v>253.33</v>
      </c>
      <c r="AL102" s="14" t="s">
        <v>562</v>
      </c>
      <c r="AM102" s="14" t="s">
        <v>154</v>
      </c>
      <c r="AN102" s="14">
        <f>IF('Stock Data'!$H$2,IF(ISNUMBER(AK102),AK102,NA()),NA())</f>
        <v>253.33</v>
      </c>
      <c r="AO102" s="14"/>
      <c r="AP102" s="14"/>
      <c r="AQ102" s="14"/>
      <c r="AR102" s="14"/>
      <c r="AS102" s="14"/>
      <c r="AT102" s="14"/>
      <c r="AU102" s="14"/>
      <c r="AV102" s="14"/>
      <c r="AW102" s="14"/>
      <c r="AX102" s="14"/>
      <c r="AY102" s="14"/>
      <c r="AZ102" s="14"/>
      <c r="BA102" s="14"/>
      <c r="BB102" s="14"/>
      <c r="BC102" s="14"/>
      <c r="BD102" s="14"/>
      <c r="BE102" s="14"/>
      <c r="BF102" s="14"/>
      <c r="BG102" s="14"/>
      <c r="BH102" s="14"/>
      <c r="BI102" s="14"/>
    </row>
    <row r="103" spans="1:61">
      <c r="A103" s="14" t="s">
        <v>632</v>
      </c>
      <c r="B103" s="14" t="s">
        <v>557</v>
      </c>
      <c r="C103" s="14" t="s">
        <v>880</v>
      </c>
      <c r="D103" s="167">
        <v>46296.510520833333</v>
      </c>
      <c r="E103" s="14" t="s">
        <v>589</v>
      </c>
      <c r="F103" s="14" t="s">
        <v>566</v>
      </c>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67">
        <v>46091</v>
      </c>
      <c r="AK103" s="14">
        <v>250.2</v>
      </c>
      <c r="AL103" s="14" t="s">
        <v>562</v>
      </c>
      <c r="AM103" s="14" t="s">
        <v>154</v>
      </c>
      <c r="AN103" s="14">
        <f>IF('Stock Data'!$H$2,IF(ISNUMBER(AK103),AK103,NA()),NA())</f>
        <v>250.2</v>
      </c>
      <c r="AO103" s="14"/>
      <c r="AP103" s="14"/>
      <c r="AQ103" s="14"/>
      <c r="AR103" s="14"/>
      <c r="AS103" s="14"/>
      <c r="AT103" s="14"/>
      <c r="AU103" s="14"/>
      <c r="AV103" s="14"/>
      <c r="AW103" s="14"/>
      <c r="AX103" s="14"/>
      <c r="AY103" s="14"/>
      <c r="AZ103" s="14"/>
      <c r="BA103" s="14"/>
      <c r="BB103" s="14"/>
      <c r="BC103" s="14"/>
      <c r="BD103" s="14"/>
      <c r="BE103" s="14"/>
      <c r="BF103" s="14"/>
      <c r="BG103" s="14"/>
      <c r="BH103" s="14"/>
      <c r="BI103" s="14"/>
    </row>
    <row r="104" spans="1:61">
      <c r="A104" s="14" t="s">
        <v>633</v>
      </c>
      <c r="B104" s="14" t="s">
        <v>753</v>
      </c>
      <c r="C104" s="14"/>
      <c r="D104" s="167"/>
      <c r="E104" s="14" t="s">
        <v>589</v>
      </c>
      <c r="F104" s="14" t="s">
        <v>879</v>
      </c>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67">
        <v>46092</v>
      </c>
      <c r="AK104" s="14">
        <v>248.87</v>
      </c>
      <c r="AL104" s="14" t="s">
        <v>562</v>
      </c>
      <c r="AM104" s="14" t="s">
        <v>154</v>
      </c>
      <c r="AN104" s="14">
        <f>IF('Stock Data'!$H$2,IF(ISNUMBER(AK104),AK104,NA()),NA())</f>
        <v>248.87</v>
      </c>
      <c r="AO104" s="14"/>
      <c r="AP104" s="14"/>
      <c r="AQ104" s="14"/>
      <c r="AR104" s="14"/>
      <c r="AS104" s="14"/>
      <c r="AT104" s="14"/>
      <c r="AU104" s="14"/>
      <c r="AV104" s="14"/>
      <c r="AW104" s="14"/>
      <c r="AX104" s="14"/>
      <c r="AY104" s="14"/>
      <c r="AZ104" s="14"/>
      <c r="BA104" s="14"/>
      <c r="BB104" s="14"/>
      <c r="BC104" s="14"/>
      <c r="BD104" s="14"/>
      <c r="BE104" s="14"/>
      <c r="BF104" s="14"/>
      <c r="BG104" s="14"/>
      <c r="BH104" s="14"/>
      <c r="BI104" s="14"/>
    </row>
    <row r="105" spans="1:61">
      <c r="A105" s="14" t="s">
        <v>634</v>
      </c>
      <c r="B105" s="14" t="s">
        <v>635</v>
      </c>
      <c r="C105" s="14" t="s">
        <v>880</v>
      </c>
      <c r="D105" s="167"/>
      <c r="E105" s="14" t="s">
        <v>589</v>
      </c>
      <c r="F105" s="14" t="s">
        <v>557</v>
      </c>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67">
        <v>46093</v>
      </c>
      <c r="AK105" s="14">
        <v>247.68</v>
      </c>
      <c r="AL105" s="14" t="s">
        <v>562</v>
      </c>
      <c r="AM105" s="14" t="s">
        <v>154</v>
      </c>
      <c r="AN105" s="14">
        <f>IF('Stock Data'!$H$2,IF(ISNUMBER(AK105),AK105,NA()),NA())</f>
        <v>247.68</v>
      </c>
      <c r="AO105" s="14"/>
      <c r="AP105" s="14"/>
      <c r="AQ105" s="14"/>
      <c r="AR105" s="14"/>
      <c r="AS105" s="14"/>
      <c r="AT105" s="14"/>
      <c r="AU105" s="14"/>
      <c r="AV105" s="14"/>
      <c r="AW105" s="14"/>
      <c r="AX105" s="14"/>
      <c r="AY105" s="14"/>
      <c r="AZ105" s="14"/>
      <c r="BA105" s="14"/>
      <c r="BB105" s="14"/>
      <c r="BC105" s="14"/>
      <c r="BD105" s="14"/>
      <c r="BE105" s="14"/>
      <c r="BF105" s="14"/>
      <c r="BG105" s="14"/>
      <c r="BH105" s="14"/>
      <c r="BI105" s="14"/>
    </row>
    <row r="106" spans="1:61">
      <c r="A106" s="14" t="s">
        <v>636</v>
      </c>
      <c r="B106" s="14">
        <v>46296.510520833333</v>
      </c>
      <c r="C106" s="14" t="s">
        <v>610</v>
      </c>
      <c r="D106" s="167">
        <v>46296.510520833333</v>
      </c>
      <c r="E106" s="14" t="s">
        <v>589</v>
      </c>
      <c r="F106" s="14" t="s">
        <v>557</v>
      </c>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67">
        <v>46094</v>
      </c>
      <c r="AK106" s="14">
        <v>246.28</v>
      </c>
      <c r="AL106" s="14" t="s">
        <v>562</v>
      </c>
      <c r="AM106" s="14" t="s">
        <v>154</v>
      </c>
      <c r="AN106" s="14">
        <f>IF('Stock Data'!$H$2,IF(ISNUMBER(AK106),AK106,NA()),NA())</f>
        <v>246.28</v>
      </c>
      <c r="AO106" s="14"/>
      <c r="AP106" s="14"/>
      <c r="AQ106" s="14"/>
      <c r="AR106" s="14"/>
      <c r="AS106" s="14"/>
      <c r="AT106" s="14"/>
      <c r="AU106" s="14"/>
      <c r="AV106" s="14"/>
      <c r="AW106" s="14"/>
      <c r="AX106" s="14"/>
      <c r="AY106" s="14"/>
      <c r="AZ106" s="14"/>
      <c r="BA106" s="14"/>
      <c r="BB106" s="14"/>
      <c r="BC106" s="14"/>
      <c r="BD106" s="14"/>
      <c r="BE106" s="14"/>
      <c r="BF106" s="14"/>
      <c r="BG106" s="14"/>
      <c r="BH106" s="14"/>
      <c r="BI106" s="14"/>
    </row>
    <row r="107" spans="1:61">
      <c r="A107" s="14" t="s">
        <v>637</v>
      </c>
      <c r="B107" s="14" t="s">
        <v>589</v>
      </c>
      <c r="C107" s="14"/>
      <c r="D107" s="167"/>
      <c r="E107" s="14" t="s">
        <v>638</v>
      </c>
      <c r="F107" s="14" t="s">
        <v>611</v>
      </c>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67">
        <v>46097</v>
      </c>
      <c r="AK107" s="14">
        <v>249.25</v>
      </c>
      <c r="AL107" s="14" t="s">
        <v>562</v>
      </c>
      <c r="AM107" s="14" t="s">
        <v>154</v>
      </c>
      <c r="AN107" s="14">
        <f>IF('Stock Data'!$H$2,IF(ISNUMBER(AK107),AK107,NA()),NA())</f>
        <v>249.25</v>
      </c>
      <c r="AO107" s="14"/>
      <c r="AP107" s="14"/>
      <c r="AQ107" s="14"/>
      <c r="AR107" s="14"/>
      <c r="AS107" s="14"/>
      <c r="AT107" s="14"/>
      <c r="AU107" s="14"/>
      <c r="AV107" s="14"/>
      <c r="AW107" s="14"/>
      <c r="AX107" s="14"/>
      <c r="AY107" s="14"/>
      <c r="AZ107" s="14"/>
      <c r="BA107" s="14"/>
      <c r="BB107" s="14"/>
      <c r="BC107" s="14"/>
      <c r="BD107" s="14"/>
      <c r="BE107" s="14"/>
      <c r="BF107" s="14"/>
      <c r="BG107" s="14"/>
      <c r="BH107" s="14"/>
      <c r="BI107" s="14"/>
    </row>
    <row r="108" spans="1:61">
      <c r="A108" s="14"/>
      <c r="B108" s="14"/>
      <c r="C108" s="14"/>
      <c r="D108" s="167"/>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67">
        <v>46098</v>
      </c>
      <c r="AK108" s="14">
        <v>256.11</v>
      </c>
      <c r="AL108" s="14" t="s">
        <v>562</v>
      </c>
      <c r="AM108" s="14" t="s">
        <v>154</v>
      </c>
      <c r="AN108" s="14">
        <f>IF('Stock Data'!$H$2,IF(ISNUMBER(AK108),AK108,NA()),NA())</f>
        <v>256.11</v>
      </c>
      <c r="AO108" s="14"/>
      <c r="AP108" s="14"/>
      <c r="AQ108" s="14"/>
      <c r="AR108" s="14"/>
      <c r="AS108" s="14"/>
      <c r="AT108" s="14"/>
      <c r="AU108" s="14"/>
      <c r="AV108" s="14"/>
      <c r="AW108" s="14"/>
      <c r="AX108" s="14"/>
      <c r="AY108" s="14"/>
      <c r="AZ108" s="14"/>
      <c r="BA108" s="14"/>
      <c r="BB108" s="14"/>
      <c r="BC108" s="14"/>
      <c r="BD108" s="14"/>
      <c r="BE108" s="14"/>
      <c r="BF108" s="14"/>
      <c r="BG108" s="14"/>
      <c r="BH108" s="14"/>
      <c r="BI108" s="14"/>
    </row>
    <row r="109" spans="1:61">
      <c r="A109" s="14"/>
      <c r="B109" s="14"/>
      <c r="C109" s="14"/>
      <c r="D109" s="167"/>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67">
        <v>46099</v>
      </c>
      <c r="AK109" s="14">
        <v>251.6</v>
      </c>
      <c r="AL109" s="14" t="s">
        <v>562</v>
      </c>
      <c r="AM109" s="14" t="s">
        <v>154</v>
      </c>
      <c r="AN109" s="14">
        <f>IF('Stock Data'!$H$2,IF(ISNUMBER(AK109),AK109,NA()),NA())</f>
        <v>251.6</v>
      </c>
      <c r="AO109" s="14"/>
      <c r="AP109" s="14"/>
      <c r="AQ109" s="14"/>
      <c r="AR109" s="14"/>
      <c r="AS109" s="14"/>
      <c r="AT109" s="14"/>
      <c r="AU109" s="14"/>
      <c r="AV109" s="14"/>
      <c r="AW109" s="14"/>
      <c r="AX109" s="14"/>
      <c r="AY109" s="14"/>
      <c r="AZ109" s="14"/>
      <c r="BA109" s="14"/>
      <c r="BB109" s="14"/>
      <c r="BC109" s="14"/>
      <c r="BD109" s="14"/>
      <c r="BE109" s="14"/>
      <c r="BF109" s="14"/>
      <c r="BG109" s="14"/>
      <c r="BH109" s="14"/>
      <c r="BI109" s="14"/>
    </row>
    <row r="110" spans="1:61">
      <c r="A110" s="14"/>
      <c r="B110" s="14"/>
      <c r="C110" s="14"/>
      <c r="D110" s="167"/>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67">
        <v>46100</v>
      </c>
      <c r="AK110" s="14">
        <v>250.37</v>
      </c>
      <c r="AL110" s="14" t="s">
        <v>562</v>
      </c>
      <c r="AM110" s="14" t="s">
        <v>154</v>
      </c>
      <c r="AN110" s="14">
        <f>IF('Stock Data'!$H$2,IF(ISNUMBER(AK110),AK110,NA()),NA())</f>
        <v>250.37</v>
      </c>
      <c r="AO110" s="14"/>
      <c r="AP110" s="14"/>
      <c r="AQ110" s="14"/>
      <c r="AR110" s="14"/>
      <c r="AS110" s="14"/>
      <c r="AT110" s="14"/>
      <c r="AU110" s="14"/>
      <c r="AV110" s="14"/>
      <c r="AW110" s="14"/>
      <c r="AX110" s="14"/>
      <c r="AY110" s="14"/>
      <c r="AZ110" s="14"/>
      <c r="BA110" s="14"/>
      <c r="BB110" s="14"/>
      <c r="BC110" s="14"/>
      <c r="BD110" s="14"/>
      <c r="BE110" s="14"/>
      <c r="BF110" s="14"/>
      <c r="BG110" s="14"/>
      <c r="BH110" s="14"/>
      <c r="BI110" s="14"/>
    </row>
    <row r="111" spans="1:61">
      <c r="A111" s="14"/>
      <c r="B111" s="14"/>
      <c r="C111" s="14"/>
      <c r="D111" s="167"/>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67">
        <v>46101</v>
      </c>
      <c r="AK111" s="14">
        <v>241.77</v>
      </c>
      <c r="AL111" s="14" t="s">
        <v>562</v>
      </c>
      <c r="AM111" s="14" t="s">
        <v>154</v>
      </c>
      <c r="AN111" s="14">
        <f>IF('Stock Data'!$H$2,IF(ISNUMBER(AK111),AK111,NA()),NA())</f>
        <v>241.77</v>
      </c>
      <c r="AO111" s="14"/>
      <c r="AP111" s="14"/>
      <c r="AQ111" s="14"/>
      <c r="AR111" s="14"/>
      <c r="AS111" s="14"/>
      <c r="AT111" s="14"/>
      <c r="AU111" s="14"/>
      <c r="AV111" s="14"/>
      <c r="AW111" s="14"/>
      <c r="AX111" s="14"/>
      <c r="AY111" s="14"/>
      <c r="AZ111" s="14"/>
      <c r="BA111" s="14"/>
      <c r="BB111" s="14"/>
      <c r="BC111" s="14"/>
      <c r="BD111" s="14"/>
      <c r="BE111" s="14"/>
      <c r="BF111" s="14"/>
      <c r="BG111" s="14"/>
      <c r="BH111" s="14"/>
      <c r="BI111" s="14"/>
    </row>
    <row r="112" spans="1:61">
      <c r="A112" s="14"/>
      <c r="B112" s="14"/>
      <c r="C112" s="14"/>
      <c r="D112" s="167"/>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67">
        <v>46104</v>
      </c>
      <c r="AK112" s="14">
        <v>248.44</v>
      </c>
      <c r="AL112" s="14" t="s">
        <v>562</v>
      </c>
      <c r="AM112" s="14" t="s">
        <v>154</v>
      </c>
      <c r="AN112" s="14">
        <f>IF('Stock Data'!$H$2,IF(ISNUMBER(AK112),AK112,NA()),NA())</f>
        <v>248.44</v>
      </c>
      <c r="AO112" s="14"/>
      <c r="AP112" s="14"/>
      <c r="AQ112" s="14"/>
      <c r="AR112" s="14"/>
      <c r="AS112" s="14"/>
      <c r="AT112" s="14"/>
      <c r="AU112" s="14"/>
      <c r="AV112" s="14"/>
      <c r="AW112" s="14"/>
      <c r="AX112" s="14"/>
      <c r="AY112" s="14"/>
      <c r="AZ112" s="14"/>
      <c r="BA112" s="14"/>
      <c r="BB112" s="14"/>
      <c r="BC112" s="14"/>
      <c r="BD112" s="14"/>
      <c r="BE112" s="14"/>
      <c r="BF112" s="14"/>
      <c r="BG112" s="14"/>
      <c r="BH112" s="14"/>
      <c r="BI112" s="14"/>
    </row>
    <row r="113" spans="1:61">
      <c r="A113" s="14"/>
      <c r="B113" s="14"/>
      <c r="C113" s="14"/>
      <c r="D113" s="167"/>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67">
        <v>46105</v>
      </c>
      <c r="AK113" s="14">
        <v>240.59</v>
      </c>
      <c r="AL113" s="14" t="s">
        <v>562</v>
      </c>
      <c r="AM113" s="14" t="s">
        <v>154</v>
      </c>
      <c r="AN113" s="14">
        <f>IF('Stock Data'!$H$2,IF(ISNUMBER(AK113),AK113,NA()),NA())</f>
        <v>240.59</v>
      </c>
      <c r="AO113" s="14"/>
      <c r="AP113" s="14"/>
      <c r="AQ113" s="14"/>
      <c r="AR113" s="14"/>
      <c r="AS113" s="14"/>
      <c r="AT113" s="14"/>
      <c r="AU113" s="14"/>
      <c r="AV113" s="14"/>
      <c r="AW113" s="14"/>
      <c r="AX113" s="14"/>
      <c r="AY113" s="14"/>
      <c r="AZ113" s="14"/>
      <c r="BA113" s="14"/>
      <c r="BB113" s="14"/>
      <c r="BC113" s="14"/>
      <c r="BD113" s="14"/>
      <c r="BE113" s="14"/>
      <c r="BF113" s="14"/>
      <c r="BG113" s="14"/>
      <c r="BH113" s="14"/>
      <c r="BI113" s="14"/>
    </row>
    <row r="114" spans="1:61">
      <c r="A114" s="14"/>
      <c r="B114" s="14"/>
      <c r="C114" s="14"/>
      <c r="D114" s="167"/>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67">
        <v>46106</v>
      </c>
      <c r="AK114" s="14">
        <v>241.39</v>
      </c>
      <c r="AL114" s="14" t="s">
        <v>562</v>
      </c>
      <c r="AM114" s="14" t="s">
        <v>154</v>
      </c>
      <c r="AN114" s="14">
        <f>IF('Stock Data'!$H$2,IF(ISNUMBER(AK114),AK114,NA()),NA())</f>
        <v>241.39</v>
      </c>
      <c r="AO114" s="14"/>
      <c r="AP114" s="14"/>
      <c r="AQ114" s="14"/>
      <c r="AR114" s="14"/>
      <c r="AS114" s="14"/>
      <c r="AT114" s="14"/>
      <c r="AU114" s="14"/>
      <c r="AV114" s="14"/>
      <c r="AW114" s="14"/>
      <c r="AX114" s="14"/>
      <c r="AY114" s="14"/>
      <c r="AZ114" s="14"/>
      <c r="BA114" s="14"/>
      <c r="BB114" s="14"/>
      <c r="BC114" s="14"/>
      <c r="BD114" s="14"/>
      <c r="BE114" s="14"/>
      <c r="BF114" s="14"/>
      <c r="BG114" s="14"/>
      <c r="BH114" s="14"/>
      <c r="BI114" s="14"/>
    </row>
    <row r="115" spans="1:61">
      <c r="A115" s="14"/>
      <c r="B115" s="14"/>
      <c r="C115" s="14"/>
      <c r="D115" s="167"/>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67">
        <v>46107</v>
      </c>
      <c r="AK115" s="14">
        <v>241.67</v>
      </c>
      <c r="AL115" s="14" t="s">
        <v>562</v>
      </c>
      <c r="AM115" s="14" t="s">
        <v>154</v>
      </c>
      <c r="AN115" s="14">
        <f>IF('Stock Data'!$H$2,IF(ISNUMBER(AK115),AK115,NA()),NA())</f>
        <v>241.67</v>
      </c>
      <c r="AO115" s="14"/>
      <c r="AP115" s="14"/>
      <c r="AQ115" s="14"/>
      <c r="AR115" s="14"/>
      <c r="AS115" s="14"/>
      <c r="AT115" s="14"/>
      <c r="AU115" s="14"/>
      <c r="AV115" s="14"/>
      <c r="AW115" s="14"/>
      <c r="AX115" s="14"/>
      <c r="AY115" s="14"/>
      <c r="AZ115" s="14"/>
      <c r="BA115" s="14"/>
      <c r="BB115" s="14"/>
      <c r="BC115" s="14"/>
      <c r="BD115" s="14"/>
      <c r="BE115" s="14"/>
      <c r="BF115" s="14"/>
      <c r="BG115" s="14"/>
      <c r="BH115" s="14"/>
      <c r="BI115" s="14"/>
    </row>
    <row r="116" spans="1:61">
      <c r="A116" s="14"/>
      <c r="B116" s="14"/>
      <c r="C116" s="14"/>
      <c r="D116" s="167"/>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67">
        <v>46108</v>
      </c>
      <c r="AK116" s="14">
        <v>236.34</v>
      </c>
      <c r="AL116" s="14" t="s">
        <v>562</v>
      </c>
      <c r="AM116" s="14" t="s">
        <v>154</v>
      </c>
      <c r="AN116" s="14">
        <f>IF('Stock Data'!$H$2,IF(ISNUMBER(AK116),AK116,NA()),NA())</f>
        <v>236.34</v>
      </c>
      <c r="AO116" s="14"/>
      <c r="AP116" s="14"/>
      <c r="AQ116" s="14"/>
      <c r="AR116" s="14"/>
      <c r="AS116" s="14"/>
      <c r="AT116" s="14"/>
      <c r="AU116" s="14"/>
      <c r="AV116" s="14"/>
      <c r="AW116" s="14"/>
      <c r="AX116" s="14"/>
      <c r="AY116" s="14"/>
      <c r="AZ116" s="14"/>
      <c r="BA116" s="14"/>
      <c r="BB116" s="14"/>
      <c r="BC116" s="14"/>
      <c r="BD116" s="14"/>
      <c r="BE116" s="14"/>
      <c r="BF116" s="14"/>
      <c r="BG116" s="14"/>
      <c r="BH116" s="14"/>
      <c r="BI116" s="14"/>
    </row>
    <row r="117" spans="1:61">
      <c r="A117" s="14"/>
      <c r="B117" s="14"/>
      <c r="C117" s="14"/>
      <c r="D117" s="167"/>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67">
        <v>46111</v>
      </c>
      <c r="AK117" s="14">
        <v>237.25</v>
      </c>
      <c r="AL117" s="14" t="s">
        <v>562</v>
      </c>
      <c r="AM117" s="14" t="s">
        <v>154</v>
      </c>
      <c r="AN117" s="14">
        <f>IF('Stock Data'!$H$2,IF(ISNUMBER(AK117),AK117,NA()),NA())</f>
        <v>237.25</v>
      </c>
      <c r="AO117" s="14"/>
      <c r="AP117" s="14"/>
      <c r="AQ117" s="14"/>
      <c r="AR117" s="14"/>
      <c r="AS117" s="14"/>
      <c r="AT117" s="14"/>
      <c r="AU117" s="14"/>
      <c r="AV117" s="14"/>
      <c r="AW117" s="14"/>
      <c r="AX117" s="14"/>
      <c r="AY117" s="14"/>
      <c r="AZ117" s="14"/>
      <c r="BA117" s="14"/>
      <c r="BB117" s="14"/>
      <c r="BC117" s="14"/>
      <c r="BD117" s="14"/>
      <c r="BE117" s="14"/>
      <c r="BF117" s="14"/>
      <c r="BG117" s="14"/>
      <c r="BH117" s="14"/>
      <c r="BI117" s="14"/>
    </row>
    <row r="118" spans="1:61">
      <c r="A118" s="14"/>
      <c r="B118" s="14"/>
      <c r="C118" s="14"/>
      <c r="D118" s="167"/>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67">
        <v>46112</v>
      </c>
      <c r="AK118" s="14">
        <v>242.39</v>
      </c>
      <c r="AL118" s="14" t="s">
        <v>562</v>
      </c>
      <c r="AM118" s="14" t="s">
        <v>154</v>
      </c>
      <c r="AN118" s="14">
        <f>IF('Stock Data'!$H$2,IF(ISNUMBER(AK118),AK118,NA()),NA())</f>
        <v>242.39</v>
      </c>
      <c r="AO118" s="14"/>
      <c r="AP118" s="14"/>
      <c r="AQ118" s="14"/>
      <c r="AR118" s="14"/>
      <c r="AS118" s="14"/>
      <c r="AT118" s="14"/>
      <c r="AU118" s="14"/>
      <c r="AV118" s="14"/>
      <c r="AW118" s="14"/>
      <c r="AX118" s="14"/>
      <c r="AY118" s="14"/>
      <c r="AZ118" s="14"/>
      <c r="BA118" s="14"/>
      <c r="BB118" s="14"/>
      <c r="BC118" s="14"/>
      <c r="BD118" s="14"/>
      <c r="BE118" s="14"/>
      <c r="BF118" s="14"/>
      <c r="BG118" s="14"/>
      <c r="BH118" s="14"/>
      <c r="BI118" s="14"/>
    </row>
    <row r="119" spans="1:61">
      <c r="A119" s="14"/>
      <c r="B119" s="14"/>
      <c r="C119" s="14"/>
      <c r="D119" s="167"/>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67">
        <v>46113</v>
      </c>
      <c r="AK119" s="14">
        <v>243.14</v>
      </c>
      <c r="AL119" s="14" t="s">
        <v>562</v>
      </c>
      <c r="AM119" s="14" t="s">
        <v>154</v>
      </c>
      <c r="AN119" s="14">
        <f>IF('Stock Data'!$H$2,IF(ISNUMBER(AK119),AK119,NA()),NA())</f>
        <v>243.14</v>
      </c>
      <c r="AO119" s="14"/>
      <c r="AP119" s="14"/>
      <c r="AQ119" s="14"/>
      <c r="AR119" s="14"/>
      <c r="AS119" s="14"/>
      <c r="AT119" s="14"/>
      <c r="AU119" s="14"/>
      <c r="AV119" s="14"/>
      <c r="AW119" s="14"/>
      <c r="AX119" s="14"/>
      <c r="AY119" s="14"/>
      <c r="AZ119" s="14"/>
      <c r="BA119" s="14"/>
      <c r="BB119" s="14"/>
      <c r="BC119" s="14"/>
      <c r="BD119" s="14"/>
      <c r="BE119" s="14"/>
      <c r="BF119" s="14"/>
      <c r="BG119" s="14"/>
      <c r="BH119" s="14"/>
      <c r="BI119" s="14"/>
    </row>
    <row r="120" spans="1:61">
      <c r="A120" s="14"/>
      <c r="B120" s="14"/>
      <c r="C120" s="14"/>
      <c r="D120" s="167"/>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67">
        <v>46114</v>
      </c>
      <c r="AK120" s="14">
        <v>248.16</v>
      </c>
      <c r="AL120" s="14" t="s">
        <v>562</v>
      </c>
      <c r="AM120" s="14" t="s">
        <v>154</v>
      </c>
      <c r="AN120" s="14">
        <f>IF('Stock Data'!$H$2,IF(ISNUMBER(AK120),AK120,NA()),NA())</f>
        <v>248.16</v>
      </c>
      <c r="AO120" s="14"/>
      <c r="AP120" s="14"/>
      <c r="AQ120" s="14"/>
      <c r="AR120" s="14"/>
      <c r="AS120" s="14"/>
      <c r="AT120" s="14"/>
      <c r="AU120" s="14"/>
      <c r="AV120" s="14"/>
      <c r="AW120" s="14"/>
      <c r="AX120" s="14"/>
      <c r="AY120" s="14"/>
      <c r="AZ120" s="14"/>
      <c r="BA120" s="14"/>
      <c r="BB120" s="14"/>
      <c r="BC120" s="14"/>
      <c r="BD120" s="14"/>
      <c r="BE120" s="14"/>
      <c r="BF120" s="14"/>
      <c r="BG120" s="14"/>
      <c r="BH120" s="14"/>
      <c r="BI120" s="14"/>
    </row>
    <row r="121" spans="1:61">
      <c r="A121" s="14"/>
      <c r="B121" s="14"/>
      <c r="C121" s="14"/>
      <c r="D121" s="167"/>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67">
        <v>46118</v>
      </c>
      <c r="AK121" s="14">
        <v>246.74</v>
      </c>
      <c r="AL121" s="14" t="s">
        <v>562</v>
      </c>
      <c r="AM121" s="14" t="s">
        <v>154</v>
      </c>
      <c r="AN121" s="14">
        <f>IF('Stock Data'!$H$2,IF(ISNUMBER(AK121),AK121,NA()),NA())</f>
        <v>246.74</v>
      </c>
      <c r="AO121" s="14"/>
      <c r="AP121" s="14"/>
      <c r="AQ121" s="14"/>
      <c r="AR121" s="14"/>
      <c r="AS121" s="14"/>
      <c r="AT121" s="14"/>
      <c r="AU121" s="14"/>
      <c r="AV121" s="14"/>
      <c r="AW121" s="14"/>
      <c r="AX121" s="14"/>
      <c r="AY121" s="14"/>
      <c r="AZ121" s="14"/>
      <c r="BA121" s="14"/>
      <c r="BB121" s="14"/>
      <c r="BC121" s="14"/>
      <c r="BD121" s="14"/>
      <c r="BE121" s="14"/>
      <c r="BF121" s="14"/>
      <c r="BG121" s="14"/>
      <c r="BH121" s="14"/>
      <c r="BI121" s="14"/>
    </row>
    <row r="122" spans="1:61">
      <c r="A122" s="14"/>
      <c r="B122" s="14"/>
      <c r="C122" s="14"/>
      <c r="D122" s="167"/>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67">
        <v>46119</v>
      </c>
      <c r="AK122" s="14">
        <v>245.07</v>
      </c>
      <c r="AL122" s="14" t="s">
        <v>562</v>
      </c>
      <c r="AM122" s="14" t="s">
        <v>154</v>
      </c>
      <c r="AN122" s="14">
        <f>IF('Stock Data'!$H$2,IF(ISNUMBER(AK122),AK122,NA()),NA())</f>
        <v>245.07</v>
      </c>
      <c r="AO122" s="14"/>
      <c r="AP122" s="14"/>
      <c r="AQ122" s="14"/>
      <c r="AR122" s="14"/>
      <c r="AS122" s="14"/>
      <c r="AT122" s="14"/>
      <c r="AU122" s="14"/>
      <c r="AV122" s="14"/>
      <c r="AW122" s="14"/>
      <c r="AX122" s="14"/>
      <c r="AY122" s="14"/>
      <c r="AZ122" s="14"/>
      <c r="BA122" s="14"/>
      <c r="BB122" s="14"/>
      <c r="BC122" s="14"/>
      <c r="BD122" s="14"/>
      <c r="BE122" s="14"/>
      <c r="BF122" s="14"/>
      <c r="BG122" s="14"/>
      <c r="BH122" s="14"/>
      <c r="BI122" s="14"/>
    </row>
    <row r="123" spans="1:61">
      <c r="A123" s="14"/>
      <c r="B123" s="14"/>
      <c r="C123" s="14"/>
      <c r="D123" s="167"/>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67">
        <v>46120</v>
      </c>
      <c r="AK123" s="14">
        <v>241.74</v>
      </c>
      <c r="AL123" s="14" t="s">
        <v>562</v>
      </c>
      <c r="AM123" s="14" t="s">
        <v>154</v>
      </c>
      <c r="AN123" s="14">
        <f>IF('Stock Data'!$H$2,IF(ISNUMBER(AK123),AK123,NA()),NA())</f>
        <v>241.74</v>
      </c>
      <c r="AO123" s="14"/>
      <c r="AP123" s="14"/>
      <c r="AQ123" s="14"/>
      <c r="AR123" s="14"/>
      <c r="AS123" s="14"/>
      <c r="AT123" s="14"/>
      <c r="AU123" s="14"/>
      <c r="AV123" s="14"/>
      <c r="AW123" s="14"/>
      <c r="AX123" s="14"/>
      <c r="AY123" s="14"/>
      <c r="AZ123" s="14"/>
      <c r="BA123" s="14"/>
      <c r="BB123" s="14"/>
      <c r="BC123" s="14"/>
      <c r="BD123" s="14"/>
      <c r="BE123" s="14"/>
      <c r="BF123" s="14"/>
      <c r="BG123" s="14"/>
      <c r="BH123" s="14"/>
      <c r="BI123" s="14"/>
    </row>
    <row r="124" spans="1:61">
      <c r="A124" s="14"/>
      <c r="B124" s="14"/>
      <c r="C124" s="14"/>
      <c r="D124" s="167"/>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67">
        <v>46121</v>
      </c>
      <c r="AK124" s="14">
        <v>237.18</v>
      </c>
      <c r="AL124" s="14" t="s">
        <v>562</v>
      </c>
      <c r="AM124" s="14" t="s">
        <v>154</v>
      </c>
      <c r="AN124" s="14">
        <f>IF('Stock Data'!$H$2,IF(ISNUMBER(AK124),AK124,NA()),NA())</f>
        <v>237.18</v>
      </c>
      <c r="AO124" s="14"/>
      <c r="AP124" s="14"/>
      <c r="AQ124" s="14"/>
      <c r="AR124" s="14"/>
      <c r="AS124" s="14"/>
      <c r="AT124" s="14"/>
      <c r="AU124" s="14"/>
      <c r="AV124" s="14"/>
      <c r="AW124" s="14"/>
      <c r="AX124" s="14"/>
      <c r="AY124" s="14"/>
      <c r="AZ124" s="14"/>
      <c r="BA124" s="14"/>
      <c r="BB124" s="14"/>
      <c r="BC124" s="14"/>
      <c r="BD124" s="14"/>
      <c r="BE124" s="14"/>
      <c r="BF124" s="14"/>
      <c r="BG124" s="14"/>
      <c r="BH124" s="14"/>
      <c r="BI124" s="14"/>
    </row>
    <row r="125" spans="1:61">
      <c r="A125" s="14"/>
      <c r="B125" s="14"/>
      <c r="C125" s="14"/>
      <c r="D125" s="167"/>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67">
        <v>46122</v>
      </c>
      <c r="AK125" s="14">
        <v>230.76</v>
      </c>
      <c r="AL125" s="14" t="s">
        <v>562</v>
      </c>
      <c r="AM125" s="14" t="s">
        <v>154</v>
      </c>
      <c r="AN125" s="14">
        <f>IF('Stock Data'!$H$2,IF(ISNUMBER(AK125),AK125,NA()),NA())</f>
        <v>230.76</v>
      </c>
      <c r="AO125" s="14"/>
      <c r="AP125" s="14"/>
      <c r="AQ125" s="14"/>
      <c r="AR125" s="14"/>
      <c r="AS125" s="14"/>
      <c r="AT125" s="14"/>
      <c r="AU125" s="14"/>
      <c r="AV125" s="14"/>
      <c r="AW125" s="14"/>
      <c r="AX125" s="14"/>
      <c r="AY125" s="14"/>
      <c r="AZ125" s="14"/>
      <c r="BA125" s="14"/>
      <c r="BB125" s="14"/>
      <c r="BC125" s="14"/>
      <c r="BD125" s="14"/>
      <c r="BE125" s="14"/>
      <c r="BF125" s="14"/>
      <c r="BG125" s="14"/>
      <c r="BH125" s="14"/>
      <c r="BI125" s="14"/>
    </row>
    <row r="126" spans="1:61">
      <c r="A126" s="14"/>
      <c r="B126" s="14"/>
      <c r="C126" s="14"/>
      <c r="D126" s="167"/>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67">
        <v>46125</v>
      </c>
      <c r="AK126" s="14">
        <v>237.82</v>
      </c>
      <c r="AL126" s="14" t="s">
        <v>562</v>
      </c>
      <c r="AM126" s="14" t="s">
        <v>154</v>
      </c>
      <c r="AN126" s="14">
        <f>IF('Stock Data'!$H$2,IF(ISNUMBER(AK126),AK126,NA()),NA())</f>
        <v>237.82</v>
      </c>
      <c r="AO126" s="14"/>
      <c r="AP126" s="14"/>
      <c r="AQ126" s="14"/>
      <c r="AR126" s="14"/>
      <c r="AS126" s="14"/>
      <c r="AT126" s="14"/>
      <c r="AU126" s="14"/>
      <c r="AV126" s="14"/>
      <c r="AW126" s="14"/>
      <c r="AX126" s="14"/>
      <c r="AY126" s="14"/>
      <c r="AZ126" s="14"/>
      <c r="BA126" s="14"/>
      <c r="BB126" s="14"/>
      <c r="BC126" s="14"/>
      <c r="BD126" s="14"/>
      <c r="BE126" s="14"/>
      <c r="BF126" s="14"/>
      <c r="BG126" s="14"/>
      <c r="BH126" s="14"/>
      <c r="BI126" s="14"/>
    </row>
    <row r="127" spans="1:61">
      <c r="A127" s="14"/>
      <c r="B127" s="14"/>
      <c r="C127" s="14"/>
      <c r="D127" s="167"/>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67">
        <v>46126</v>
      </c>
      <c r="AK127" s="14">
        <v>240.27</v>
      </c>
      <c r="AL127" s="14" t="s">
        <v>562</v>
      </c>
      <c r="AM127" s="14" t="s">
        <v>154</v>
      </c>
      <c r="AN127" s="14">
        <f>IF('Stock Data'!$H$2,IF(ISNUMBER(AK127),AK127,NA()),NA())</f>
        <v>240.27</v>
      </c>
      <c r="AO127" s="14"/>
      <c r="AP127" s="14"/>
      <c r="AQ127" s="14"/>
      <c r="AR127" s="14"/>
      <c r="AS127" s="14"/>
      <c r="AT127" s="14"/>
      <c r="AU127" s="14"/>
      <c r="AV127" s="14"/>
      <c r="AW127" s="14"/>
      <c r="AX127" s="14"/>
      <c r="AY127" s="14"/>
      <c r="AZ127" s="14"/>
      <c r="BA127" s="14"/>
      <c r="BB127" s="14"/>
      <c r="BC127" s="14"/>
      <c r="BD127" s="14"/>
      <c r="BE127" s="14"/>
      <c r="BF127" s="14"/>
      <c r="BG127" s="14"/>
      <c r="BH127" s="14"/>
      <c r="BI127" s="14"/>
    </row>
    <row r="128" spans="1:61">
      <c r="A128" s="14"/>
      <c r="B128" s="14"/>
      <c r="C128" s="14"/>
      <c r="D128" s="167"/>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67">
        <v>46127</v>
      </c>
      <c r="AK128" s="14">
        <v>244.8</v>
      </c>
      <c r="AL128" s="14" t="s">
        <v>562</v>
      </c>
      <c r="AM128" s="14" t="s">
        <v>154</v>
      </c>
      <c r="AN128" s="14">
        <f>IF('Stock Data'!$H$2,IF(ISNUMBER(AK128),AK128,NA()),NA())</f>
        <v>244.8</v>
      </c>
      <c r="AO128" s="14"/>
      <c r="AP128" s="14"/>
      <c r="AQ128" s="14"/>
      <c r="AR128" s="14"/>
      <c r="AS128" s="14"/>
      <c r="AT128" s="14"/>
      <c r="AU128" s="14"/>
      <c r="AV128" s="14"/>
      <c r="AW128" s="14"/>
      <c r="AX128" s="14"/>
      <c r="AY128" s="14"/>
      <c r="AZ128" s="14"/>
      <c r="BA128" s="14"/>
      <c r="BB128" s="14"/>
      <c r="BC128" s="14"/>
      <c r="BD128" s="14"/>
      <c r="BE128" s="14"/>
      <c r="BF128" s="14"/>
      <c r="BG128" s="14"/>
      <c r="BH128" s="14"/>
      <c r="BI128" s="14"/>
    </row>
    <row r="129" spans="1:61">
      <c r="A129" s="14"/>
      <c r="B129" s="14"/>
      <c r="C129" s="14"/>
      <c r="D129" s="167"/>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67">
        <v>46128</v>
      </c>
      <c r="AK129" s="14">
        <v>251</v>
      </c>
      <c r="AL129" s="14" t="s">
        <v>562</v>
      </c>
      <c r="AM129" s="14" t="s">
        <v>154</v>
      </c>
      <c r="AN129" s="14">
        <f>IF('Stock Data'!$H$2,IF(ISNUMBER(AK129),AK129,NA()),NA())</f>
        <v>251</v>
      </c>
      <c r="AO129" s="14"/>
      <c r="AP129" s="14"/>
      <c r="AQ129" s="14"/>
      <c r="AR129" s="14"/>
      <c r="AS129" s="14"/>
      <c r="AT129" s="14"/>
      <c r="AU129" s="14"/>
      <c r="AV129" s="14"/>
      <c r="AW129" s="14"/>
      <c r="AX129" s="14"/>
      <c r="AY129" s="14"/>
      <c r="AZ129" s="14"/>
      <c r="BA129" s="14"/>
      <c r="BB129" s="14"/>
      <c r="BC129" s="14"/>
      <c r="BD129" s="14"/>
      <c r="BE129" s="14"/>
      <c r="BF129" s="14"/>
      <c r="BG129" s="14"/>
      <c r="BH129" s="14"/>
      <c r="BI129" s="14"/>
    </row>
    <row r="130" spans="1:61">
      <c r="A130" s="14"/>
      <c r="B130" s="14"/>
      <c r="C130" s="14"/>
      <c r="D130" s="167"/>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67">
        <v>46129</v>
      </c>
      <c r="AK130" s="14">
        <v>253.47</v>
      </c>
      <c r="AL130" s="14" t="s">
        <v>562</v>
      </c>
      <c r="AM130" s="14" t="s">
        <v>154</v>
      </c>
      <c r="AN130" s="14">
        <f>IF('Stock Data'!$H$2,IF(ISNUMBER(AK130),AK130,NA()),NA())</f>
        <v>253.47</v>
      </c>
      <c r="AO130" s="14"/>
      <c r="AP130" s="14"/>
      <c r="AQ130" s="14"/>
      <c r="AR130" s="14"/>
      <c r="AS130" s="14"/>
      <c r="AT130" s="14"/>
      <c r="AU130" s="14"/>
      <c r="AV130" s="14"/>
      <c r="AW130" s="14"/>
      <c r="AX130" s="14"/>
      <c r="AY130" s="14"/>
      <c r="AZ130" s="14"/>
      <c r="BA130" s="14"/>
      <c r="BB130" s="14"/>
      <c r="BC130" s="14"/>
      <c r="BD130" s="14"/>
      <c r="BE130" s="14"/>
      <c r="BF130" s="14"/>
      <c r="BG130" s="14"/>
      <c r="BH130" s="14"/>
      <c r="BI130" s="14"/>
    </row>
    <row r="131" spans="1:61">
      <c r="A131" s="14"/>
      <c r="B131" s="14"/>
      <c r="C131" s="14"/>
      <c r="D131" s="167"/>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67">
        <v>46132</v>
      </c>
      <c r="AK131" s="14">
        <v>253.71</v>
      </c>
      <c r="AL131" s="14" t="s">
        <v>562</v>
      </c>
      <c r="AM131" s="14" t="s">
        <v>154</v>
      </c>
      <c r="AN131" s="14">
        <f>IF('Stock Data'!$H$2,IF(ISNUMBER(AK131),AK131,NA()),NA())</f>
        <v>253.71</v>
      </c>
      <c r="AO131" s="14"/>
      <c r="AP131" s="14"/>
      <c r="AQ131" s="14"/>
      <c r="AR131" s="14"/>
      <c r="AS131" s="14"/>
      <c r="AT131" s="14"/>
      <c r="AU131" s="14"/>
      <c r="AV131" s="14"/>
      <c r="AW131" s="14"/>
      <c r="AX131" s="14"/>
      <c r="AY131" s="14"/>
      <c r="AZ131" s="14"/>
      <c r="BA131" s="14"/>
      <c r="BB131" s="14"/>
      <c r="BC131" s="14"/>
      <c r="BD131" s="14"/>
      <c r="BE131" s="14"/>
      <c r="BF131" s="14"/>
      <c r="BG131" s="14"/>
      <c r="BH131" s="14"/>
      <c r="BI131" s="14"/>
    </row>
    <row r="132" spans="1:61">
      <c r="A132" s="14"/>
      <c r="B132" s="14"/>
      <c r="C132" s="14"/>
      <c r="D132" s="167"/>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67">
        <v>46133</v>
      </c>
      <c r="AK132" s="14">
        <v>255.68</v>
      </c>
      <c r="AL132" s="14" t="s">
        <v>562</v>
      </c>
      <c r="AM132" s="14" t="s">
        <v>154</v>
      </c>
      <c r="AN132" s="14">
        <f>IF('Stock Data'!$H$2,IF(ISNUMBER(AK132),AK132,NA()),NA())</f>
        <v>255.68</v>
      </c>
      <c r="AO132" s="14"/>
      <c r="AP132" s="14"/>
      <c r="AQ132" s="14"/>
      <c r="AR132" s="14"/>
      <c r="AS132" s="14"/>
      <c r="AT132" s="14"/>
      <c r="AU132" s="14"/>
      <c r="AV132" s="14"/>
      <c r="AW132" s="14"/>
      <c r="AX132" s="14"/>
      <c r="AY132" s="14"/>
      <c r="AZ132" s="14"/>
      <c r="BA132" s="14"/>
      <c r="BB132" s="14"/>
      <c r="BC132" s="14"/>
      <c r="BD132" s="14"/>
      <c r="BE132" s="14"/>
      <c r="BF132" s="14"/>
      <c r="BG132" s="14"/>
      <c r="BH132" s="14"/>
      <c r="BI132" s="14"/>
    </row>
    <row r="133" spans="1:61">
      <c r="A133" s="14"/>
      <c r="B133" s="14"/>
      <c r="C133" s="14"/>
      <c r="D133" s="167"/>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67">
        <v>46134</v>
      </c>
      <c r="AK133" s="14">
        <v>251.86</v>
      </c>
      <c r="AL133" s="14" t="s">
        <v>562</v>
      </c>
      <c r="AM133" s="14" t="s">
        <v>154</v>
      </c>
      <c r="AN133" s="14">
        <f>IF('Stock Data'!$H$2,IF(ISNUMBER(AK133),AK133,NA()),NA())</f>
        <v>251.86</v>
      </c>
      <c r="AO133" s="14"/>
      <c r="AP133" s="14"/>
      <c r="AQ133" s="14"/>
      <c r="AR133" s="14"/>
      <c r="AS133" s="14"/>
      <c r="AT133" s="14"/>
      <c r="AU133" s="14"/>
      <c r="AV133" s="14"/>
      <c r="AW133" s="14"/>
      <c r="AX133" s="14"/>
      <c r="AY133" s="14"/>
      <c r="AZ133" s="14"/>
      <c r="BA133" s="14"/>
      <c r="BB133" s="14"/>
      <c r="BC133" s="14"/>
      <c r="BD133" s="14"/>
      <c r="BE133" s="14"/>
      <c r="BF133" s="14"/>
      <c r="BG133" s="14"/>
      <c r="BH133" s="14"/>
      <c r="BI133" s="14"/>
    </row>
    <row r="134" spans="1:61">
      <c r="A134" s="14"/>
      <c r="B134" s="14"/>
      <c r="C134" s="14"/>
      <c r="D134" s="167"/>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67">
        <v>46135</v>
      </c>
      <c r="AK134" s="14">
        <v>231.08</v>
      </c>
      <c r="AL134" s="14" t="s">
        <v>562</v>
      </c>
      <c r="AM134" s="14" t="s">
        <v>154</v>
      </c>
      <c r="AN134" s="14">
        <f>IF('Stock Data'!$H$2,IF(ISNUMBER(AK134),AK134,NA()),NA())</f>
        <v>231.08</v>
      </c>
      <c r="AO134" s="14"/>
      <c r="AP134" s="14"/>
      <c r="AQ134" s="14"/>
      <c r="AR134" s="14"/>
      <c r="AS134" s="14"/>
      <c r="AT134" s="14"/>
      <c r="AU134" s="14"/>
      <c r="AV134" s="14"/>
      <c r="AW134" s="14"/>
      <c r="AX134" s="14"/>
      <c r="AY134" s="14"/>
      <c r="AZ134" s="14"/>
      <c r="BA134" s="14"/>
      <c r="BB134" s="14"/>
      <c r="BC134" s="14"/>
      <c r="BD134" s="14"/>
      <c r="BE134" s="14"/>
      <c r="BF134" s="14"/>
      <c r="BG134" s="14"/>
      <c r="BH134" s="14"/>
      <c r="BI134" s="14"/>
    </row>
    <row r="135" spans="1:61">
      <c r="A135" s="14"/>
      <c r="B135" s="14"/>
      <c r="C135" s="14"/>
      <c r="D135" s="167"/>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67">
        <v>46136</v>
      </c>
      <c r="AK135" s="14">
        <v>231.98</v>
      </c>
      <c r="AL135" s="14" t="s">
        <v>562</v>
      </c>
      <c r="AM135" s="14" t="s">
        <v>154</v>
      </c>
      <c r="AN135" s="14">
        <f>IF('Stock Data'!$H$2,IF(ISNUMBER(AK135),AK135,NA()),NA())</f>
        <v>231.98</v>
      </c>
      <c r="AO135" s="14"/>
      <c r="AP135" s="14"/>
      <c r="AQ135" s="14"/>
      <c r="AR135" s="14"/>
      <c r="AS135" s="14"/>
      <c r="AT135" s="14"/>
      <c r="AU135" s="14"/>
      <c r="AV135" s="14"/>
      <c r="AW135" s="14"/>
      <c r="AX135" s="14"/>
      <c r="AY135" s="14"/>
      <c r="AZ135" s="14"/>
      <c r="BA135" s="14"/>
      <c r="BB135" s="14"/>
      <c r="BC135" s="14"/>
      <c r="BD135" s="14"/>
      <c r="BE135" s="14"/>
      <c r="BF135" s="14"/>
      <c r="BG135" s="14"/>
      <c r="BH135" s="14"/>
      <c r="BI135" s="14"/>
    </row>
    <row r="136" spans="1:61">
      <c r="A136" s="14"/>
      <c r="B136" s="14"/>
      <c r="C136" s="14"/>
      <c r="D136" s="167"/>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67">
        <v>46139</v>
      </c>
      <c r="AK136" s="14">
        <v>228.05</v>
      </c>
      <c r="AL136" s="14" t="s">
        <v>562</v>
      </c>
      <c r="AM136" s="14" t="s">
        <v>154</v>
      </c>
      <c r="AN136" s="14">
        <f>IF('Stock Data'!$H$2,IF(ISNUMBER(AK136),AK136,NA()),NA())</f>
        <v>228.05</v>
      </c>
      <c r="AO136" s="14"/>
      <c r="AP136" s="14"/>
      <c r="AQ136" s="14"/>
      <c r="AR136" s="14"/>
      <c r="AS136" s="14"/>
      <c r="AT136" s="14"/>
      <c r="AU136" s="14"/>
      <c r="AV136" s="14"/>
      <c r="AW136" s="14"/>
      <c r="AX136" s="14"/>
      <c r="AY136" s="14"/>
      <c r="AZ136" s="14"/>
      <c r="BA136" s="14"/>
      <c r="BB136" s="14"/>
      <c r="BC136" s="14"/>
      <c r="BD136" s="14"/>
      <c r="BE136" s="14"/>
      <c r="BF136" s="14"/>
      <c r="BG136" s="14"/>
      <c r="BH136" s="14"/>
      <c r="BI136" s="14"/>
    </row>
    <row r="137" spans="1:61">
      <c r="A137" s="14"/>
      <c r="B137" s="14"/>
      <c r="C137" s="14"/>
      <c r="D137" s="167"/>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67">
        <v>46140</v>
      </c>
      <c r="AK137" s="14">
        <v>233.04</v>
      </c>
      <c r="AL137" s="14" t="s">
        <v>562</v>
      </c>
      <c r="AM137" s="14" t="s">
        <v>154</v>
      </c>
      <c r="AN137" s="14">
        <f>IF('Stock Data'!$H$2,IF(ISNUMBER(AK137),AK137,NA()),NA())</f>
        <v>233.04</v>
      </c>
      <c r="AO137" s="14"/>
      <c r="AP137" s="14"/>
      <c r="AQ137" s="14"/>
      <c r="AR137" s="14"/>
      <c r="AS137" s="14"/>
      <c r="AT137" s="14"/>
      <c r="AU137" s="14"/>
      <c r="AV137" s="14"/>
      <c r="AW137" s="14"/>
      <c r="AX137" s="14"/>
      <c r="AY137" s="14"/>
      <c r="AZ137" s="14"/>
      <c r="BA137" s="14"/>
      <c r="BB137" s="14"/>
      <c r="BC137" s="14"/>
      <c r="BD137" s="14"/>
      <c r="BE137" s="14"/>
      <c r="BF137" s="14"/>
      <c r="BG137" s="14"/>
      <c r="BH137" s="14"/>
      <c r="BI137" s="14"/>
    </row>
    <row r="138" spans="1:61">
      <c r="A138" s="14"/>
      <c r="B138" s="14"/>
      <c r="C138" s="14"/>
      <c r="D138" s="167"/>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67">
        <v>46141</v>
      </c>
      <c r="AK138" s="14">
        <v>227.1</v>
      </c>
      <c r="AL138" s="14" t="s">
        <v>562</v>
      </c>
      <c r="AM138" s="14" t="s">
        <v>154</v>
      </c>
      <c r="AN138" s="14">
        <f>IF('Stock Data'!$H$2,IF(ISNUMBER(AK138),AK138,NA()),NA())</f>
        <v>227.1</v>
      </c>
      <c r="AO138" s="14"/>
      <c r="AP138" s="14"/>
      <c r="AQ138" s="14"/>
      <c r="AR138" s="14"/>
      <c r="AS138" s="14"/>
      <c r="AT138" s="14"/>
      <c r="AU138" s="14"/>
      <c r="AV138" s="14"/>
      <c r="AW138" s="14"/>
      <c r="AX138" s="14"/>
      <c r="AY138" s="14"/>
      <c r="AZ138" s="14"/>
      <c r="BA138" s="14"/>
      <c r="BB138" s="14"/>
      <c r="BC138" s="14"/>
      <c r="BD138" s="14"/>
      <c r="BE138" s="14"/>
      <c r="BF138" s="14"/>
      <c r="BG138" s="14"/>
      <c r="BH138" s="14"/>
      <c r="BI138" s="14"/>
    </row>
    <row r="139" spans="1:61">
      <c r="A139" s="14"/>
      <c r="B139" s="14"/>
      <c r="C139" s="14"/>
      <c r="D139" s="167"/>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67">
        <v>46142</v>
      </c>
      <c r="AK139" s="14">
        <v>230.98</v>
      </c>
      <c r="AL139" s="14" t="s">
        <v>562</v>
      </c>
      <c r="AM139" s="14" t="s">
        <v>154</v>
      </c>
      <c r="AN139" s="14">
        <f>IF('Stock Data'!$H$2,IF(ISNUMBER(AK139),AK139,NA()),NA())</f>
        <v>230.98</v>
      </c>
      <c r="AO139" s="14"/>
      <c r="AP139" s="14"/>
      <c r="AQ139" s="14"/>
      <c r="AR139" s="14"/>
      <c r="AS139" s="14"/>
      <c r="AT139" s="14"/>
      <c r="AU139" s="14"/>
      <c r="AV139" s="14"/>
      <c r="AW139" s="14"/>
      <c r="AX139" s="14"/>
      <c r="AY139" s="14"/>
      <c r="AZ139" s="14"/>
      <c r="BA139" s="14"/>
      <c r="BB139" s="14"/>
      <c r="BC139" s="14"/>
      <c r="BD139" s="14"/>
      <c r="BE139" s="14"/>
      <c r="BF139" s="14"/>
      <c r="BG139" s="14"/>
      <c r="BH139" s="14"/>
      <c r="BI139" s="14"/>
    </row>
    <row r="140" spans="1:61">
      <c r="A140" s="14"/>
      <c r="B140" s="14"/>
      <c r="C140" s="14"/>
      <c r="D140" s="167"/>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67">
        <v>46143</v>
      </c>
      <c r="AK140" s="14">
        <v>232.2</v>
      </c>
      <c r="AL140" s="14" t="s">
        <v>562</v>
      </c>
      <c r="AM140" s="14" t="s">
        <v>154</v>
      </c>
      <c r="AN140" s="14">
        <f>IF('Stock Data'!$H$2,IF(ISNUMBER(AK140),AK140,NA()),NA())</f>
        <v>232.2</v>
      </c>
      <c r="AO140" s="14"/>
      <c r="AP140" s="14"/>
      <c r="AQ140" s="14"/>
      <c r="AR140" s="14"/>
      <c r="AS140" s="14"/>
      <c r="AT140" s="14"/>
      <c r="AU140" s="14"/>
      <c r="AV140" s="14"/>
      <c r="AW140" s="14"/>
      <c r="AX140" s="14"/>
      <c r="AY140" s="14"/>
      <c r="AZ140" s="14"/>
      <c r="BA140" s="14"/>
      <c r="BB140" s="14"/>
      <c r="BC140" s="14"/>
      <c r="BD140" s="14"/>
      <c r="BE140" s="14"/>
      <c r="BF140" s="14"/>
      <c r="BG140" s="14"/>
      <c r="BH140" s="14"/>
      <c r="BI140" s="14"/>
    </row>
    <row r="141" spans="1:61">
      <c r="A141" s="14"/>
      <c r="B141" s="14"/>
      <c r="C141" s="14"/>
      <c r="D141" s="167"/>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67">
        <v>46146</v>
      </c>
      <c r="AK141" s="14">
        <v>229.48</v>
      </c>
      <c r="AL141" s="14" t="s">
        <v>562</v>
      </c>
      <c r="AM141" s="14" t="s">
        <v>154</v>
      </c>
      <c r="AN141" s="14">
        <f>IF('Stock Data'!$H$2,IF(ISNUMBER(AK141),AK141,NA()),NA())</f>
        <v>229.48</v>
      </c>
      <c r="AO141" s="14"/>
      <c r="AP141" s="14"/>
      <c r="AQ141" s="14"/>
      <c r="AR141" s="14"/>
      <c r="AS141" s="14"/>
      <c r="AT141" s="14"/>
      <c r="AU141" s="14"/>
      <c r="AV141" s="14"/>
      <c r="AW141" s="14"/>
      <c r="AX141" s="14"/>
      <c r="AY141" s="14"/>
      <c r="AZ141" s="14"/>
      <c r="BA141" s="14"/>
      <c r="BB141" s="14"/>
      <c r="BC141" s="14"/>
      <c r="BD141" s="14"/>
      <c r="BE141" s="14"/>
      <c r="BF141" s="14"/>
      <c r="BG141" s="14"/>
      <c r="BH141" s="14"/>
      <c r="BI141" s="14"/>
    </row>
    <row r="142" spans="1:61">
      <c r="A142" s="14"/>
      <c r="B142" s="14"/>
      <c r="C142" s="14"/>
      <c r="D142" s="167"/>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67">
        <v>46147</v>
      </c>
      <c r="AK142" s="14">
        <v>229.03</v>
      </c>
      <c r="AL142" s="14" t="s">
        <v>562</v>
      </c>
      <c r="AM142" s="14" t="s">
        <v>154</v>
      </c>
      <c r="AN142" s="14">
        <f>IF('Stock Data'!$H$2,IF(ISNUMBER(AK142),AK142,NA()),NA())</f>
        <v>229.03</v>
      </c>
      <c r="AO142" s="14"/>
      <c r="AP142" s="14"/>
      <c r="AQ142" s="14"/>
      <c r="AR142" s="14"/>
      <c r="AS142" s="14"/>
      <c r="AT142" s="14"/>
      <c r="AU142" s="14"/>
      <c r="AV142" s="14"/>
      <c r="AW142" s="14"/>
      <c r="AX142" s="14"/>
      <c r="AY142" s="14"/>
      <c r="AZ142" s="14"/>
      <c r="BA142" s="14"/>
      <c r="BB142" s="14"/>
      <c r="BC142" s="14"/>
      <c r="BD142" s="14"/>
      <c r="BE142" s="14"/>
      <c r="BF142" s="14"/>
      <c r="BG142" s="14"/>
      <c r="BH142" s="14"/>
      <c r="BI142" s="14"/>
    </row>
    <row r="143" spans="1:61">
      <c r="A143" s="14"/>
      <c r="B143" s="14"/>
      <c r="C143" s="14"/>
      <c r="D143" s="167"/>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67">
        <v>46148</v>
      </c>
      <c r="AK143" s="14">
        <v>225.74</v>
      </c>
      <c r="AL143" s="14" t="s">
        <v>562</v>
      </c>
      <c r="AM143" s="14" t="s">
        <v>154</v>
      </c>
      <c r="AN143" s="14">
        <f>IF('Stock Data'!$H$2,IF(ISNUMBER(AK143),AK143,NA()),NA())</f>
        <v>225.74</v>
      </c>
      <c r="AO143" s="14"/>
      <c r="AP143" s="14"/>
      <c r="AQ143" s="14"/>
      <c r="AR143" s="14"/>
      <c r="AS143" s="14"/>
      <c r="AT143" s="14"/>
      <c r="AU143" s="14"/>
      <c r="AV143" s="14"/>
      <c r="AW143" s="14"/>
      <c r="AX143" s="14"/>
      <c r="AY143" s="14"/>
      <c r="AZ143" s="14"/>
      <c r="BA143" s="14"/>
      <c r="BB143" s="14"/>
      <c r="BC143" s="14"/>
      <c r="BD143" s="14"/>
      <c r="BE143" s="14"/>
      <c r="BF143" s="14"/>
      <c r="BG143" s="14"/>
      <c r="BH143" s="14"/>
      <c r="BI143" s="14"/>
    </row>
    <row r="144" spans="1:61">
      <c r="A144" s="14"/>
      <c r="B144" s="14"/>
      <c r="C144" s="14"/>
      <c r="D144" s="167"/>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67">
        <v>46149</v>
      </c>
      <c r="AK144" s="14">
        <v>231.31</v>
      </c>
      <c r="AL144" s="14" t="s">
        <v>562</v>
      </c>
      <c r="AM144" s="14" t="s">
        <v>154</v>
      </c>
      <c r="AN144" s="14">
        <f>IF('Stock Data'!$H$2,IF(ISNUMBER(AK144),AK144,NA()),NA())</f>
        <v>231.31</v>
      </c>
      <c r="AO144" s="14"/>
      <c r="AP144" s="14"/>
      <c r="AQ144" s="14"/>
      <c r="AR144" s="14"/>
      <c r="AS144" s="14"/>
      <c r="AT144" s="14"/>
      <c r="AU144" s="14"/>
      <c r="AV144" s="14"/>
      <c r="AW144" s="14"/>
      <c r="AX144" s="14"/>
      <c r="AY144" s="14"/>
      <c r="AZ144" s="14"/>
      <c r="BA144" s="14"/>
      <c r="BB144" s="14"/>
      <c r="BC144" s="14"/>
      <c r="BD144" s="14"/>
      <c r="BE144" s="14"/>
      <c r="BF144" s="14"/>
      <c r="BG144" s="14"/>
      <c r="BH144" s="14"/>
      <c r="BI144" s="14"/>
    </row>
    <row r="145" spans="1:61">
      <c r="A145" s="14"/>
      <c r="B145" s="14"/>
      <c r="C145" s="14"/>
      <c r="D145" s="167"/>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67">
        <v>46150</v>
      </c>
      <c r="AK145" s="14">
        <v>229.76</v>
      </c>
      <c r="AL145" s="14" t="s">
        <v>562</v>
      </c>
      <c r="AM145" s="14" t="s">
        <v>154</v>
      </c>
      <c r="AN145" s="14">
        <f>IF('Stock Data'!$H$2,IF(ISNUMBER(AK145),AK145,NA()),NA())</f>
        <v>229.76</v>
      </c>
      <c r="AO145" s="14"/>
      <c r="AP145" s="14"/>
      <c r="AQ145" s="14"/>
      <c r="AR145" s="14"/>
      <c r="AS145" s="14"/>
      <c r="AT145" s="14"/>
      <c r="AU145" s="14"/>
      <c r="AV145" s="14"/>
      <c r="AW145" s="14"/>
      <c r="AX145" s="14"/>
      <c r="AY145" s="14"/>
      <c r="AZ145" s="14"/>
      <c r="BA145" s="14"/>
      <c r="BB145" s="14"/>
      <c r="BC145" s="14"/>
      <c r="BD145" s="14"/>
      <c r="BE145" s="14"/>
      <c r="BF145" s="14"/>
      <c r="BG145" s="14"/>
      <c r="BH145" s="14"/>
      <c r="BI145" s="14"/>
    </row>
    <row r="146" spans="1:61">
      <c r="A146" s="14"/>
      <c r="B146" s="14"/>
      <c r="C146" s="14"/>
      <c r="D146" s="167"/>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67">
        <v>46153</v>
      </c>
      <c r="AK146" s="14">
        <v>223.55</v>
      </c>
      <c r="AL146" s="14" t="s">
        <v>562</v>
      </c>
      <c r="AM146" s="14" t="s">
        <v>154</v>
      </c>
      <c r="AN146" s="14">
        <f>IF('Stock Data'!$H$2,IF(ISNUMBER(AK146),AK146,NA()),NA())</f>
        <v>223.55</v>
      </c>
      <c r="AO146" s="14"/>
      <c r="AP146" s="14"/>
      <c r="AQ146" s="14"/>
      <c r="AR146" s="14"/>
      <c r="AS146" s="14"/>
      <c r="AT146" s="14"/>
      <c r="AU146" s="14"/>
      <c r="AV146" s="14"/>
      <c r="AW146" s="14"/>
      <c r="AX146" s="14"/>
      <c r="AY146" s="14"/>
      <c r="AZ146" s="14"/>
      <c r="BA146" s="14"/>
      <c r="BB146" s="14"/>
      <c r="BC146" s="14"/>
      <c r="BD146" s="14"/>
      <c r="BE146" s="14"/>
      <c r="BF146" s="14"/>
      <c r="BG146" s="14"/>
      <c r="BH146" s="14"/>
      <c r="BI146" s="14"/>
    </row>
    <row r="147" spans="1:61">
      <c r="A147" s="14"/>
      <c r="B147" s="14"/>
      <c r="C147" s="14"/>
      <c r="D147" s="167"/>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67">
        <v>46154</v>
      </c>
      <c r="AK147" s="14">
        <v>219.22</v>
      </c>
      <c r="AL147" s="14" t="s">
        <v>562</v>
      </c>
      <c r="AM147" s="14" t="s">
        <v>154</v>
      </c>
      <c r="AN147" s="14">
        <f>IF('Stock Data'!$H$2,IF(ISNUMBER(AK147),AK147,NA()),NA())</f>
        <v>219.22</v>
      </c>
      <c r="AO147" s="14"/>
      <c r="AP147" s="14"/>
      <c r="AQ147" s="14"/>
      <c r="AR147" s="14"/>
      <c r="AS147" s="14"/>
      <c r="AT147" s="14"/>
      <c r="AU147" s="14"/>
      <c r="AV147" s="14"/>
      <c r="AW147" s="14"/>
      <c r="AX147" s="14"/>
      <c r="AY147" s="14"/>
      <c r="AZ147" s="14"/>
      <c r="BA147" s="14"/>
      <c r="BB147" s="14"/>
      <c r="BC147" s="14"/>
      <c r="BD147" s="14"/>
      <c r="BE147" s="14"/>
      <c r="BF147" s="14"/>
      <c r="BG147" s="14"/>
      <c r="BH147" s="14"/>
      <c r="BI147" s="14"/>
    </row>
    <row r="148" spans="1:61">
      <c r="A148" s="14"/>
      <c r="B148" s="14"/>
      <c r="C148" s="14"/>
      <c r="D148" s="167"/>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67">
        <v>46155</v>
      </c>
      <c r="AK148" s="14">
        <v>214.64</v>
      </c>
      <c r="AL148" s="14" t="s">
        <v>562</v>
      </c>
      <c r="AM148" s="14" t="s">
        <v>154</v>
      </c>
      <c r="AN148" s="14">
        <f>IF('Stock Data'!$H$2,IF(ISNUMBER(AK148),AK148,NA()),NA())</f>
        <v>214.64</v>
      </c>
      <c r="AO148" s="14"/>
      <c r="AP148" s="14"/>
      <c r="AQ148" s="14"/>
      <c r="AR148" s="14"/>
      <c r="AS148" s="14"/>
      <c r="AT148" s="14"/>
      <c r="AU148" s="14"/>
      <c r="AV148" s="14"/>
      <c r="AW148" s="14"/>
      <c r="AX148" s="14"/>
      <c r="AY148" s="14"/>
      <c r="AZ148" s="14"/>
      <c r="BA148" s="14"/>
      <c r="BB148" s="14"/>
      <c r="BC148" s="14"/>
      <c r="BD148" s="14"/>
      <c r="BE148" s="14"/>
      <c r="BF148" s="14"/>
      <c r="BG148" s="14"/>
      <c r="BH148" s="14"/>
      <c r="BI148" s="14"/>
    </row>
    <row r="149" spans="1:61">
      <c r="A149" s="14"/>
      <c r="B149" s="14"/>
      <c r="C149" s="14"/>
      <c r="D149" s="167"/>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67">
        <v>46156</v>
      </c>
      <c r="AK149" s="14">
        <v>218.37</v>
      </c>
      <c r="AL149" s="14" t="s">
        <v>562</v>
      </c>
      <c r="AM149" s="14" t="s">
        <v>154</v>
      </c>
      <c r="AN149" s="14">
        <f>IF('Stock Data'!$H$2,IF(ISNUMBER(AK149),AK149,NA()),NA())</f>
        <v>218.37</v>
      </c>
      <c r="AO149" s="14"/>
      <c r="AP149" s="14"/>
      <c r="AQ149" s="14"/>
      <c r="AR149" s="14"/>
      <c r="AS149" s="14"/>
      <c r="AT149" s="14"/>
      <c r="AU149" s="14"/>
      <c r="AV149" s="14"/>
      <c r="AW149" s="14"/>
      <c r="AX149" s="14"/>
      <c r="AY149" s="14"/>
      <c r="AZ149" s="14"/>
      <c r="BA149" s="14"/>
      <c r="BB149" s="14"/>
      <c r="BC149" s="14"/>
      <c r="BD149" s="14"/>
      <c r="BE149" s="14"/>
      <c r="BF149" s="14"/>
      <c r="BG149" s="14"/>
      <c r="BH149" s="14"/>
      <c r="BI149" s="14"/>
    </row>
    <row r="150" spans="1:61">
      <c r="A150" s="14"/>
      <c r="B150" s="14"/>
      <c r="C150" s="14"/>
      <c r="D150" s="167"/>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67">
        <v>46157</v>
      </c>
      <c r="AK150" s="14">
        <v>219.3</v>
      </c>
      <c r="AL150" s="14" t="s">
        <v>562</v>
      </c>
      <c r="AM150" s="14" t="s">
        <v>154</v>
      </c>
      <c r="AN150" s="14">
        <f>IF('Stock Data'!$H$2,IF(ISNUMBER(AK150),AK150,NA()),NA())</f>
        <v>219.3</v>
      </c>
      <c r="AO150" s="14"/>
      <c r="AP150" s="14"/>
      <c r="AQ150" s="14"/>
      <c r="AR150" s="14"/>
      <c r="AS150" s="14"/>
      <c r="AT150" s="14"/>
      <c r="AU150" s="14"/>
      <c r="AV150" s="14"/>
      <c r="AW150" s="14"/>
      <c r="AX150" s="14"/>
      <c r="AY150" s="14"/>
      <c r="AZ150" s="14"/>
      <c r="BA150" s="14"/>
      <c r="BB150" s="14"/>
      <c r="BC150" s="14"/>
      <c r="BD150" s="14"/>
      <c r="BE150" s="14"/>
      <c r="BF150" s="14"/>
      <c r="BG150" s="14"/>
      <c r="BH150" s="14"/>
      <c r="BI150" s="14"/>
    </row>
    <row r="151" spans="1:61">
      <c r="A151" s="14"/>
      <c r="B151" s="14"/>
      <c r="C151" s="14"/>
      <c r="D151" s="167"/>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67">
        <v>46160</v>
      </c>
      <c r="AK151" s="14">
        <v>222.75</v>
      </c>
      <c r="AL151" s="14" t="s">
        <v>562</v>
      </c>
      <c r="AM151" s="14" t="s">
        <v>154</v>
      </c>
      <c r="AN151" s="14">
        <f>IF('Stock Data'!$H$2,IF(ISNUMBER(AK151),AK151,NA()),NA())</f>
        <v>222.75</v>
      </c>
      <c r="AO151" s="14"/>
      <c r="AP151" s="14"/>
      <c r="AQ151" s="14"/>
      <c r="AR151" s="14"/>
      <c r="AS151" s="14"/>
      <c r="AT151" s="14"/>
      <c r="AU151" s="14"/>
      <c r="AV151" s="14"/>
      <c r="AW151" s="14"/>
      <c r="AX151" s="14"/>
      <c r="AY151" s="14"/>
      <c r="AZ151" s="14"/>
      <c r="BA151" s="14"/>
      <c r="BB151" s="14"/>
      <c r="BC151" s="14"/>
      <c r="BD151" s="14"/>
      <c r="BE151" s="14"/>
      <c r="BF151" s="14"/>
      <c r="BG151" s="14"/>
      <c r="BH151" s="14"/>
      <c r="BI151" s="14"/>
    </row>
    <row r="152" spans="1:61">
      <c r="A152" s="14"/>
      <c r="B152" s="14"/>
      <c r="C152" s="14"/>
      <c r="D152" s="167"/>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67">
        <v>46161</v>
      </c>
      <c r="AK152" s="14">
        <v>222.33</v>
      </c>
      <c r="AL152" s="14" t="s">
        <v>562</v>
      </c>
      <c r="AM152" s="14" t="s">
        <v>154</v>
      </c>
      <c r="AN152" s="14">
        <f>IF('Stock Data'!$H$2,IF(ISNUMBER(AK152),AK152,NA()),NA())</f>
        <v>222.33</v>
      </c>
      <c r="AO152" s="14"/>
      <c r="AP152" s="14"/>
      <c r="AQ152" s="14"/>
      <c r="AR152" s="14"/>
      <c r="AS152" s="14"/>
      <c r="AT152" s="14"/>
      <c r="AU152" s="14"/>
      <c r="AV152" s="14"/>
      <c r="AW152" s="14"/>
      <c r="AX152" s="14"/>
      <c r="AY152" s="14"/>
      <c r="AZ152" s="14"/>
      <c r="BA152" s="14"/>
      <c r="BB152" s="14"/>
      <c r="BC152" s="14"/>
      <c r="BD152" s="14"/>
      <c r="BE152" s="14"/>
      <c r="BF152" s="14"/>
      <c r="BG152" s="14"/>
      <c r="BH152" s="14"/>
      <c r="BI152" s="14"/>
    </row>
    <row r="153" spans="1:61">
      <c r="A153" s="14"/>
      <c r="B153" s="14"/>
      <c r="C153" s="14"/>
      <c r="D153" s="167"/>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67">
        <v>46162</v>
      </c>
      <c r="AK153" s="14">
        <v>225</v>
      </c>
      <c r="AL153" s="14" t="s">
        <v>562</v>
      </c>
      <c r="AM153" s="14" t="s">
        <v>154</v>
      </c>
      <c r="AN153" s="14">
        <f>IF('Stock Data'!$H$2,IF(ISNUMBER(AK153),AK153,NA()),NA())</f>
        <v>225</v>
      </c>
      <c r="AO153" s="14"/>
      <c r="AP153" s="14"/>
      <c r="AQ153" s="14"/>
      <c r="AR153" s="14"/>
      <c r="AS153" s="14"/>
      <c r="AT153" s="14"/>
      <c r="AU153" s="14"/>
      <c r="AV153" s="14"/>
      <c r="AW153" s="14"/>
      <c r="AX153" s="14"/>
      <c r="AY153" s="14"/>
      <c r="AZ153" s="14"/>
      <c r="BA153" s="14"/>
      <c r="BB153" s="14"/>
      <c r="BC153" s="14"/>
      <c r="BD153" s="14"/>
      <c r="BE153" s="14"/>
      <c r="BF153" s="14"/>
      <c r="BG153" s="14"/>
      <c r="BH153" s="14"/>
      <c r="BI153" s="14"/>
    </row>
    <row r="154" spans="1:61">
      <c r="A154" s="14"/>
      <c r="B154" s="14"/>
      <c r="C154" s="14"/>
      <c r="D154" s="167"/>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67">
        <v>46163</v>
      </c>
      <c r="AK154" s="14">
        <v>252.97</v>
      </c>
      <c r="AL154" s="14" t="s">
        <v>562</v>
      </c>
      <c r="AM154" s="14" t="s">
        <v>154</v>
      </c>
      <c r="AN154" s="14">
        <f>IF('Stock Data'!$H$2,IF(ISNUMBER(AK154),AK154,NA()),NA())</f>
        <v>252.97</v>
      </c>
      <c r="AO154" s="14"/>
      <c r="AP154" s="14"/>
      <c r="AQ154" s="14"/>
      <c r="AR154" s="14"/>
      <c r="AS154" s="14"/>
      <c r="AT154" s="14"/>
      <c r="AU154" s="14"/>
      <c r="AV154" s="14"/>
      <c r="AW154" s="14"/>
      <c r="AX154" s="14"/>
      <c r="AY154" s="14"/>
      <c r="AZ154" s="14"/>
      <c r="BA154" s="14"/>
      <c r="BB154" s="14"/>
      <c r="BC154" s="14"/>
      <c r="BD154" s="14"/>
      <c r="BE154" s="14"/>
      <c r="BF154" s="14"/>
      <c r="BG154" s="14"/>
      <c r="BH154" s="14"/>
      <c r="BI154" s="14"/>
    </row>
    <row r="155" spans="1:61">
      <c r="A155" s="14"/>
      <c r="B155" s="14"/>
      <c r="C155" s="14"/>
      <c r="D155" s="167"/>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67">
        <v>46164</v>
      </c>
      <c r="AK155" s="14">
        <v>253.84</v>
      </c>
      <c r="AL155" s="14" t="s">
        <v>562</v>
      </c>
      <c r="AM155" s="14" t="s">
        <v>154</v>
      </c>
      <c r="AN155" s="14">
        <f>IF('Stock Data'!$H$2,IF(ISNUMBER(AK155),AK155,NA()),NA())</f>
        <v>253.84</v>
      </c>
      <c r="AO155" s="14"/>
      <c r="AP155" s="14"/>
      <c r="AQ155" s="14"/>
      <c r="AR155" s="14"/>
      <c r="AS155" s="14"/>
      <c r="AT155" s="14"/>
      <c r="AU155" s="14"/>
      <c r="AV155" s="14"/>
      <c r="AW155" s="14"/>
      <c r="AX155" s="14"/>
      <c r="AY155" s="14"/>
      <c r="AZ155" s="14"/>
      <c r="BA155" s="14"/>
      <c r="BB155" s="14"/>
      <c r="BC155" s="14"/>
      <c r="BD155" s="14"/>
      <c r="BE155" s="14"/>
      <c r="BF155" s="14"/>
      <c r="BG155" s="14"/>
      <c r="BH155" s="14"/>
      <c r="BI155" s="14"/>
    </row>
    <row r="156" spans="1:61">
      <c r="A156" s="14"/>
      <c r="B156" s="14"/>
      <c r="C156" s="14"/>
      <c r="D156" s="167"/>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67">
        <v>46168</v>
      </c>
      <c r="AK156" s="14">
        <v>250.69</v>
      </c>
      <c r="AL156" s="14" t="s">
        <v>562</v>
      </c>
      <c r="AM156" s="14" t="s">
        <v>154</v>
      </c>
      <c r="AN156" s="14">
        <f>IF('Stock Data'!$H$2,IF(ISNUMBER(AK156),AK156,NA()),NA())</f>
        <v>250.69</v>
      </c>
      <c r="AO156" s="14"/>
      <c r="AP156" s="14"/>
      <c r="AQ156" s="14"/>
      <c r="AR156" s="14"/>
      <c r="AS156" s="14"/>
      <c r="AT156" s="14"/>
      <c r="AU156" s="14"/>
      <c r="AV156" s="14"/>
      <c r="AW156" s="14"/>
      <c r="AX156" s="14"/>
      <c r="AY156" s="14"/>
      <c r="AZ156" s="14"/>
      <c r="BA156" s="14"/>
      <c r="BB156" s="14"/>
      <c r="BC156" s="14"/>
      <c r="BD156" s="14"/>
      <c r="BE156" s="14"/>
      <c r="BF156" s="14"/>
      <c r="BG156" s="14"/>
      <c r="BH156" s="14"/>
      <c r="BI156" s="14"/>
    </row>
    <row r="157" spans="1:61">
      <c r="A157" s="14"/>
      <c r="B157" s="14"/>
      <c r="C157" s="14"/>
      <c r="D157" s="167"/>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67">
        <v>46169</v>
      </c>
      <c r="AK157" s="14">
        <v>255.2</v>
      </c>
      <c r="AL157" s="14" t="s">
        <v>562</v>
      </c>
      <c r="AM157" s="14" t="s">
        <v>154</v>
      </c>
      <c r="AN157" s="14">
        <f>IF('Stock Data'!$H$2,IF(ISNUMBER(AK157),AK157,NA()),NA())</f>
        <v>255.2</v>
      </c>
      <c r="AO157" s="14"/>
      <c r="AP157" s="14"/>
      <c r="AQ157" s="14"/>
      <c r="AR157" s="14"/>
      <c r="AS157" s="14"/>
      <c r="AT157" s="14"/>
      <c r="AU157" s="14"/>
      <c r="AV157" s="14"/>
      <c r="AW157" s="14"/>
      <c r="AX157" s="14"/>
      <c r="AY157" s="14"/>
      <c r="AZ157" s="14"/>
      <c r="BA157" s="14"/>
      <c r="BB157" s="14"/>
      <c r="BC157" s="14"/>
      <c r="BD157" s="14"/>
      <c r="BE157" s="14"/>
      <c r="BF157" s="14"/>
      <c r="BG157" s="14"/>
      <c r="BH157" s="14"/>
      <c r="BI157" s="14"/>
    </row>
    <row r="158" spans="1:61">
      <c r="A158" s="14"/>
      <c r="B158" s="14"/>
      <c r="C158" s="14"/>
      <c r="D158" s="167"/>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67">
        <v>46170</v>
      </c>
      <c r="AK158" s="14">
        <v>264.22000000000003</v>
      </c>
      <c r="AL158" s="14" t="s">
        <v>562</v>
      </c>
      <c r="AM158" s="14" t="s">
        <v>154</v>
      </c>
      <c r="AN158" s="14">
        <f>IF('Stock Data'!$H$2,IF(ISNUMBER(AK158),AK158,NA()),NA())</f>
        <v>264.22000000000003</v>
      </c>
      <c r="AO158" s="14"/>
      <c r="AP158" s="14"/>
      <c r="AQ158" s="14"/>
      <c r="AR158" s="14"/>
      <c r="AS158" s="14"/>
      <c r="AT158" s="14"/>
      <c r="AU158" s="14"/>
      <c r="AV158" s="14"/>
      <c r="AW158" s="14"/>
      <c r="AX158" s="14"/>
      <c r="AY158" s="14"/>
      <c r="AZ158" s="14"/>
      <c r="BA158" s="14"/>
      <c r="BB158" s="14"/>
      <c r="BC158" s="14"/>
      <c r="BD158" s="14"/>
      <c r="BE158" s="14"/>
      <c r="BF158" s="14"/>
      <c r="BG158" s="14"/>
      <c r="BH158" s="14"/>
      <c r="BI158" s="14"/>
    </row>
    <row r="159" spans="1:61">
      <c r="A159" s="14"/>
      <c r="B159" s="14"/>
      <c r="C159" s="14"/>
      <c r="D159" s="167"/>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67">
        <v>46171</v>
      </c>
      <c r="AK159" s="14">
        <v>297.8</v>
      </c>
      <c r="AL159" s="14" t="s">
        <v>562</v>
      </c>
      <c r="AM159" s="14" t="s">
        <v>154</v>
      </c>
      <c r="AN159" s="14">
        <f>IF('Stock Data'!$H$2,IF(ISNUMBER(AK159),AK159,NA()),NA())</f>
        <v>297.8</v>
      </c>
      <c r="AO159" s="14"/>
      <c r="AP159" s="14"/>
      <c r="AQ159" s="14"/>
      <c r="AR159" s="14"/>
      <c r="AS159" s="14"/>
      <c r="AT159" s="14"/>
      <c r="AU159" s="14"/>
      <c r="AV159" s="14"/>
      <c r="AW159" s="14"/>
      <c r="AX159" s="14"/>
      <c r="AY159" s="14"/>
      <c r="AZ159" s="14"/>
      <c r="BA159" s="14"/>
      <c r="BB159" s="14"/>
      <c r="BC159" s="14"/>
      <c r="BD159" s="14"/>
      <c r="BE159" s="14"/>
      <c r="BF159" s="14"/>
      <c r="BG159" s="14"/>
      <c r="BH159" s="14"/>
      <c r="BI159" s="14"/>
    </row>
    <row r="160" spans="1:61">
      <c r="A160" s="14"/>
      <c r="B160" s="14"/>
      <c r="C160" s="14"/>
      <c r="D160" s="167"/>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67">
        <v>46174</v>
      </c>
      <c r="AK160" s="14">
        <v>320.42</v>
      </c>
      <c r="AL160" s="14" t="s">
        <v>562</v>
      </c>
      <c r="AM160" s="14" t="s">
        <v>154</v>
      </c>
      <c r="AN160" s="14">
        <f>IF('Stock Data'!$H$2,IF(ISNUMBER(AK160),AK160,NA()),NA())</f>
        <v>320.42</v>
      </c>
      <c r="AO160" s="14"/>
      <c r="AP160" s="14"/>
      <c r="AQ160" s="14"/>
      <c r="AR160" s="14"/>
      <c r="AS160" s="14"/>
      <c r="AT160" s="14"/>
      <c r="AU160" s="14"/>
      <c r="AV160" s="14"/>
      <c r="AW160" s="14"/>
      <c r="AX160" s="14"/>
      <c r="AY160" s="14"/>
      <c r="AZ160" s="14"/>
      <c r="BA160" s="14"/>
      <c r="BB160" s="14"/>
      <c r="BC160" s="14"/>
      <c r="BD160" s="14"/>
      <c r="BE160" s="14"/>
      <c r="BF160" s="14"/>
      <c r="BG160" s="14"/>
      <c r="BH160" s="14"/>
      <c r="BI160" s="14"/>
    </row>
    <row r="161" spans="1:61">
      <c r="A161" s="14"/>
      <c r="B161" s="14"/>
      <c r="C161" s="14"/>
      <c r="D161" s="167"/>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67">
        <v>46175</v>
      </c>
      <c r="AK161" s="14">
        <v>329.23</v>
      </c>
      <c r="AL161" s="14" t="s">
        <v>562</v>
      </c>
      <c r="AM161" s="14" t="s">
        <v>154</v>
      </c>
      <c r="AN161" s="14">
        <f>IF('Stock Data'!$H$2,IF(ISNUMBER(AK161),AK161,NA()),NA())</f>
        <v>329.23</v>
      </c>
      <c r="AO161" s="14"/>
      <c r="AP161" s="14"/>
      <c r="AQ161" s="14"/>
      <c r="AR161" s="14"/>
      <c r="AS161" s="14"/>
      <c r="AT161" s="14"/>
      <c r="AU161" s="14"/>
      <c r="AV161" s="14"/>
      <c r="AW161" s="14"/>
      <c r="AX161" s="14"/>
      <c r="AY161" s="14"/>
      <c r="AZ161" s="14"/>
      <c r="BA161" s="14"/>
      <c r="BB161" s="14"/>
      <c r="BC161" s="14"/>
      <c r="BD161" s="14"/>
      <c r="BE161" s="14"/>
      <c r="BF161" s="14"/>
      <c r="BG161" s="14"/>
      <c r="BH161" s="14"/>
      <c r="BI161" s="14"/>
    </row>
    <row r="162" spans="1:61">
      <c r="A162" s="14"/>
      <c r="B162" s="14"/>
      <c r="C162" s="14"/>
      <c r="D162" s="167"/>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67">
        <v>46176</v>
      </c>
      <c r="AK162" s="14">
        <v>305.63</v>
      </c>
      <c r="AL162" s="14" t="s">
        <v>562</v>
      </c>
      <c r="AM162" s="14" t="s">
        <v>154</v>
      </c>
      <c r="AN162" s="14">
        <f>IF('Stock Data'!$H$2,IF(ISNUMBER(AK162),AK162,NA()),NA())</f>
        <v>305.63</v>
      </c>
      <c r="AO162" s="14"/>
      <c r="AP162" s="14"/>
      <c r="AQ162" s="14"/>
      <c r="AR162" s="14"/>
      <c r="AS162" s="14"/>
      <c r="AT162" s="14"/>
      <c r="AU162" s="14"/>
      <c r="AV162" s="14"/>
      <c r="AW162" s="14"/>
      <c r="AX162" s="14"/>
      <c r="AY162" s="14"/>
      <c r="AZ162" s="14"/>
      <c r="BA162" s="14"/>
      <c r="BB162" s="14"/>
      <c r="BC162" s="14"/>
      <c r="BD162" s="14"/>
      <c r="BE162" s="14"/>
      <c r="BF162" s="14"/>
      <c r="BG162" s="14"/>
      <c r="BH162" s="14"/>
      <c r="BI162" s="14"/>
    </row>
    <row r="163" spans="1:61">
      <c r="A163" s="14"/>
      <c r="B163" s="14"/>
      <c r="C163" s="14"/>
      <c r="D163" s="167"/>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67">
        <v>46177</v>
      </c>
      <c r="AK163" s="14">
        <v>301.77</v>
      </c>
      <c r="AL163" s="14" t="s">
        <v>562</v>
      </c>
      <c r="AM163" s="14" t="s">
        <v>154</v>
      </c>
      <c r="AN163" s="14">
        <f>IF('Stock Data'!$H$2,IF(ISNUMBER(AK163),AK163,NA()),NA())</f>
        <v>301.77</v>
      </c>
      <c r="AO163" s="14"/>
      <c r="AP163" s="14"/>
      <c r="AQ163" s="14"/>
      <c r="AR163" s="14"/>
      <c r="AS163" s="14"/>
      <c r="AT163" s="14"/>
      <c r="AU163" s="14"/>
      <c r="AV163" s="14"/>
      <c r="AW163" s="14"/>
      <c r="AX163" s="14"/>
      <c r="AY163" s="14"/>
      <c r="AZ163" s="14"/>
      <c r="BA163" s="14"/>
      <c r="BB163" s="14"/>
      <c r="BC163" s="14"/>
      <c r="BD163" s="14"/>
      <c r="BE163" s="14"/>
      <c r="BF163" s="14"/>
      <c r="BG163" s="14"/>
      <c r="BH163" s="14"/>
      <c r="BI163" s="14"/>
    </row>
    <row r="164" spans="1:61">
      <c r="A164" s="14"/>
      <c r="B164" s="14"/>
      <c r="C164" s="14"/>
      <c r="D164" s="167"/>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67">
        <v>46178</v>
      </c>
      <c r="AK164" s="14">
        <v>284.83999999999997</v>
      </c>
      <c r="AL164" s="14" t="s">
        <v>562</v>
      </c>
      <c r="AM164" s="14" t="s">
        <v>154</v>
      </c>
      <c r="AN164" s="14">
        <f>IF('Stock Data'!$H$2,IF(ISNUMBER(AK164),AK164,NA()),NA())</f>
        <v>284.83999999999997</v>
      </c>
      <c r="AO164" s="14"/>
      <c r="AP164" s="14"/>
      <c r="AQ164" s="14"/>
      <c r="AR164" s="14"/>
      <c r="AS164" s="14"/>
      <c r="AT164" s="14"/>
      <c r="AU164" s="14"/>
      <c r="AV164" s="14"/>
      <c r="AW164" s="14"/>
      <c r="AX164" s="14"/>
      <c r="AY164" s="14"/>
      <c r="AZ164" s="14"/>
      <c r="BA164" s="14"/>
      <c r="BB164" s="14"/>
      <c r="BC164" s="14"/>
      <c r="BD164" s="14"/>
      <c r="BE164" s="14"/>
      <c r="BF164" s="14"/>
      <c r="BG164" s="14"/>
      <c r="BH164" s="14"/>
      <c r="BI164" s="14"/>
    </row>
    <row r="165" spans="1:61">
      <c r="A165" s="14"/>
      <c r="B165" s="14"/>
      <c r="C165" s="14"/>
      <c r="D165" s="167"/>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67">
        <v>46181</v>
      </c>
      <c r="AK165" s="14">
        <v>280.82</v>
      </c>
      <c r="AL165" s="14" t="s">
        <v>562</v>
      </c>
      <c r="AM165" s="14" t="s">
        <v>154</v>
      </c>
      <c r="AN165" s="14">
        <f>IF('Stock Data'!$H$2,IF(ISNUMBER(AK165),AK165,NA()),NA())</f>
        <v>280.82</v>
      </c>
      <c r="AO165" s="14"/>
      <c r="AP165" s="14"/>
      <c r="AQ165" s="14"/>
      <c r="AR165" s="14"/>
      <c r="AS165" s="14"/>
      <c r="AT165" s="14"/>
      <c r="AU165" s="14"/>
      <c r="AV165" s="14"/>
      <c r="AW165" s="14"/>
      <c r="AX165" s="14"/>
      <c r="AY165" s="14"/>
      <c r="AZ165" s="14"/>
      <c r="BA165" s="14"/>
      <c r="BB165" s="14"/>
      <c r="BC165" s="14"/>
      <c r="BD165" s="14"/>
      <c r="BE165" s="14"/>
      <c r="BF165" s="14"/>
      <c r="BG165" s="14"/>
      <c r="BH165" s="14"/>
      <c r="BI165" s="14"/>
    </row>
    <row r="166" spans="1:61">
      <c r="A166" s="14"/>
      <c r="B166" s="14"/>
      <c r="C166" s="14"/>
      <c r="D166" s="167"/>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67">
        <v>46182</v>
      </c>
      <c r="AK166" s="14">
        <v>277.49</v>
      </c>
      <c r="AL166" s="14" t="s">
        <v>562</v>
      </c>
      <c r="AM166" s="14" t="s">
        <v>154</v>
      </c>
      <c r="AN166" s="14">
        <f>IF('Stock Data'!$H$2,IF(ISNUMBER(AK166),AK166,NA()),NA())</f>
        <v>277.49</v>
      </c>
      <c r="AO166" s="14"/>
      <c r="AP166" s="14"/>
      <c r="AQ166" s="14"/>
      <c r="AR166" s="14"/>
      <c r="AS166" s="14"/>
      <c r="AT166" s="14"/>
      <c r="AU166" s="14"/>
      <c r="AV166" s="14"/>
      <c r="AW166" s="14"/>
      <c r="AX166" s="14"/>
      <c r="AY166" s="14"/>
      <c r="AZ166" s="14"/>
      <c r="BA166" s="14"/>
      <c r="BB166" s="14"/>
      <c r="BC166" s="14"/>
      <c r="BD166" s="14"/>
      <c r="BE166" s="14"/>
      <c r="BF166" s="14"/>
      <c r="BG166" s="14"/>
      <c r="BH166" s="14"/>
      <c r="BI166" s="14"/>
    </row>
    <row r="167" spans="1:61">
      <c r="A167" s="14"/>
      <c r="B167" s="14"/>
      <c r="C167" s="14"/>
      <c r="D167" s="167"/>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67">
        <v>46183</v>
      </c>
      <c r="AK167" s="14">
        <v>272.36</v>
      </c>
      <c r="AL167" s="14" t="s">
        <v>562</v>
      </c>
      <c r="AM167" s="14" t="s">
        <v>154</v>
      </c>
      <c r="AN167" s="14">
        <f>IF('Stock Data'!$H$2,IF(ISNUMBER(AK167),AK167,NA()),NA())</f>
        <v>272.36</v>
      </c>
      <c r="AO167" s="14"/>
      <c r="AP167" s="14"/>
      <c r="AQ167" s="14"/>
      <c r="AR167" s="14"/>
      <c r="AS167" s="14"/>
      <c r="AT167" s="14"/>
      <c r="AU167" s="14"/>
      <c r="AV167" s="14"/>
      <c r="AW167" s="14"/>
      <c r="AX167" s="14"/>
      <c r="AY167" s="14"/>
      <c r="AZ167" s="14"/>
      <c r="BA167" s="14"/>
      <c r="BB167" s="14"/>
      <c r="BC167" s="14"/>
      <c r="BD167" s="14"/>
      <c r="BE167" s="14"/>
      <c r="BF167" s="14"/>
      <c r="BG167" s="14"/>
      <c r="BH167" s="14"/>
      <c r="BI167" s="14"/>
    </row>
    <row r="168" spans="1:61">
      <c r="A168" s="14"/>
      <c r="B168" s="14"/>
      <c r="C168" s="14"/>
      <c r="D168" s="167"/>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67">
        <v>46184</v>
      </c>
      <c r="AK168" s="14">
        <v>274.85000000000002</v>
      </c>
      <c r="AL168" s="14" t="s">
        <v>562</v>
      </c>
      <c r="AM168" s="14" t="s">
        <v>154</v>
      </c>
      <c r="AN168" s="14">
        <f>IF('Stock Data'!$H$2,IF(ISNUMBER(AK168),AK168,NA()),NA())</f>
        <v>274.85000000000002</v>
      </c>
      <c r="AO168" s="14"/>
      <c r="AP168" s="14"/>
      <c r="AQ168" s="14"/>
      <c r="AR168" s="14"/>
      <c r="AS168" s="14"/>
      <c r="AT168" s="14"/>
      <c r="AU168" s="14"/>
      <c r="AV168" s="14"/>
      <c r="AW168" s="14"/>
      <c r="AX168" s="14"/>
      <c r="AY168" s="14"/>
      <c r="AZ168" s="14"/>
      <c r="BA168" s="14"/>
      <c r="BB168" s="14"/>
      <c r="BC168" s="14"/>
      <c r="BD168" s="14"/>
      <c r="BE168" s="14"/>
      <c r="BF168" s="14"/>
      <c r="BG168" s="14"/>
      <c r="BH168" s="14"/>
      <c r="BI168" s="14"/>
    </row>
    <row r="169" spans="1:61">
      <c r="A169" s="14"/>
      <c r="B169" s="14"/>
      <c r="C169" s="14"/>
      <c r="D169" s="167"/>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67">
        <v>46185</v>
      </c>
      <c r="AK169" s="14">
        <v>272.24</v>
      </c>
      <c r="AL169" s="14" t="s">
        <v>562</v>
      </c>
      <c r="AM169" s="14" t="s">
        <v>154</v>
      </c>
      <c r="AN169" s="14">
        <f>IF('Stock Data'!$H$2,IF(ISNUMBER(AK169),AK169,NA()),NA())</f>
        <v>272.24</v>
      </c>
      <c r="AO169" s="14"/>
      <c r="AP169" s="14"/>
      <c r="AQ169" s="14"/>
      <c r="AR169" s="14"/>
      <c r="AS169" s="14"/>
      <c r="AT169" s="14"/>
      <c r="AU169" s="14"/>
      <c r="AV169" s="14"/>
      <c r="AW169" s="14"/>
      <c r="AX169" s="14"/>
      <c r="AY169" s="14"/>
      <c r="AZ169" s="14"/>
      <c r="BA169" s="14"/>
      <c r="BB169" s="14"/>
      <c r="BC169" s="14"/>
      <c r="BD169" s="14"/>
      <c r="BE169" s="14"/>
      <c r="BF169" s="14"/>
      <c r="BG169" s="14"/>
      <c r="BH169" s="14"/>
      <c r="BI169" s="14"/>
    </row>
    <row r="170" spans="1:61">
      <c r="A170" s="14"/>
      <c r="B170" s="14"/>
      <c r="C170" s="14"/>
      <c r="D170" s="167"/>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67">
        <v>46188</v>
      </c>
      <c r="AK170" s="14">
        <v>268.70999999999998</v>
      </c>
      <c r="AL170" s="14" t="s">
        <v>562</v>
      </c>
      <c r="AM170" s="14" t="s">
        <v>154</v>
      </c>
      <c r="AN170" s="14">
        <f>IF('Stock Data'!$H$2,IF(ISNUMBER(AK170),AK170,NA()),NA())</f>
        <v>268.70999999999998</v>
      </c>
      <c r="AO170" s="14"/>
      <c r="AP170" s="14"/>
      <c r="AQ170" s="14"/>
      <c r="AR170" s="14"/>
      <c r="AS170" s="14"/>
      <c r="AT170" s="14"/>
      <c r="AU170" s="14"/>
      <c r="AV170" s="14"/>
      <c r="AW170" s="14"/>
      <c r="AX170" s="14"/>
      <c r="AY170" s="14"/>
      <c r="AZ170" s="14"/>
      <c r="BA170" s="14"/>
      <c r="BB170" s="14"/>
      <c r="BC170" s="14"/>
      <c r="BD170" s="14"/>
      <c r="BE170" s="14"/>
      <c r="BF170" s="14"/>
      <c r="BG170" s="14"/>
      <c r="BH170" s="14"/>
      <c r="BI170" s="14"/>
    </row>
    <row r="171" spans="1:61">
      <c r="A171" s="14"/>
      <c r="B171" s="14"/>
      <c r="C171" s="14"/>
      <c r="D171" s="167"/>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67">
        <v>46189</v>
      </c>
      <c r="AK171" s="14">
        <v>270.81</v>
      </c>
      <c r="AL171" s="14" t="s">
        <v>562</v>
      </c>
      <c r="AM171" s="14" t="s">
        <v>154</v>
      </c>
      <c r="AN171" s="14">
        <f>IF('Stock Data'!$H$2,IF(ISNUMBER(AK171),AK171,NA()),NA())</f>
        <v>270.81</v>
      </c>
      <c r="AO171" s="14"/>
      <c r="AP171" s="14"/>
      <c r="AQ171" s="14"/>
      <c r="AR171" s="14"/>
      <c r="AS171" s="14"/>
      <c r="AT171" s="14"/>
      <c r="AU171" s="14"/>
      <c r="AV171" s="14"/>
      <c r="AW171" s="14"/>
      <c r="AX171" s="14"/>
      <c r="AY171" s="14"/>
      <c r="AZ171" s="14"/>
      <c r="BA171" s="14"/>
      <c r="BB171" s="14"/>
      <c r="BC171" s="14"/>
      <c r="BD171" s="14"/>
      <c r="BE171" s="14"/>
      <c r="BF171" s="14"/>
      <c r="BG171" s="14"/>
      <c r="BH171" s="14"/>
      <c r="BI171" s="14"/>
    </row>
    <row r="172" spans="1:61">
      <c r="A172" s="14"/>
      <c r="B172" s="14"/>
      <c r="C172" s="14"/>
      <c r="D172" s="167"/>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67">
        <v>46190</v>
      </c>
      <c r="AK172" s="14">
        <v>262.35000000000002</v>
      </c>
      <c r="AL172" s="14" t="s">
        <v>562</v>
      </c>
      <c r="AM172" s="14" t="s">
        <v>154</v>
      </c>
      <c r="AN172" s="14">
        <f>IF('Stock Data'!$H$2,IF(ISNUMBER(AK172),AK172,NA()),NA())</f>
        <v>262.35000000000002</v>
      </c>
      <c r="AO172" s="14"/>
      <c r="AP172" s="14"/>
      <c r="AQ172" s="14"/>
      <c r="AR172" s="14"/>
      <c r="AS172" s="14"/>
      <c r="AT172" s="14"/>
      <c r="AU172" s="14"/>
      <c r="AV172" s="14"/>
      <c r="AW172" s="14"/>
      <c r="AX172" s="14"/>
      <c r="AY172" s="14"/>
      <c r="AZ172" s="14"/>
      <c r="BA172" s="14"/>
      <c r="BB172" s="14"/>
      <c r="BC172" s="14"/>
      <c r="BD172" s="14"/>
      <c r="BE172" s="14"/>
      <c r="BF172" s="14"/>
      <c r="BG172" s="14"/>
      <c r="BH172" s="14"/>
      <c r="BI172" s="14"/>
    </row>
    <row r="173" spans="1:61">
      <c r="A173" s="14"/>
      <c r="B173" s="14"/>
      <c r="C173" s="14"/>
      <c r="D173" s="167"/>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67">
        <v>46191</v>
      </c>
      <c r="AK173" s="14">
        <v>249.1</v>
      </c>
      <c r="AL173" s="14" t="s">
        <v>562</v>
      </c>
      <c r="AM173" s="14" t="s">
        <v>154</v>
      </c>
      <c r="AN173" s="14">
        <f>IF('Stock Data'!$H$2,IF(ISNUMBER(AK173),AK173,NA()),NA())</f>
        <v>249.1</v>
      </c>
      <c r="AO173" s="14"/>
      <c r="AP173" s="14"/>
      <c r="AQ173" s="14"/>
      <c r="AR173" s="14"/>
      <c r="AS173" s="14"/>
      <c r="AT173" s="14"/>
      <c r="AU173" s="14"/>
      <c r="AV173" s="14"/>
      <c r="AW173" s="14"/>
      <c r="AX173" s="14"/>
      <c r="AY173" s="14"/>
      <c r="AZ173" s="14"/>
      <c r="BA173" s="14"/>
      <c r="BB173" s="14"/>
      <c r="BC173" s="14"/>
      <c r="BD173" s="14"/>
      <c r="BE173" s="14"/>
      <c r="BF173" s="14"/>
      <c r="BG173" s="14"/>
      <c r="BH173" s="14"/>
      <c r="BI173" s="14"/>
    </row>
    <row r="174" spans="1:61">
      <c r="A174" s="14"/>
      <c r="B174" s="14"/>
      <c r="C174" s="14"/>
      <c r="D174" s="167"/>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67">
        <v>46195</v>
      </c>
      <c r="AK174" s="14">
        <v>252.22</v>
      </c>
      <c r="AL174" s="14" t="s">
        <v>562</v>
      </c>
      <c r="AM174" s="14" t="s">
        <v>154</v>
      </c>
      <c r="AN174" s="14">
        <f>IF('Stock Data'!$H$2,IF(ISNUMBER(AK174),AK174,NA()),NA())</f>
        <v>252.22</v>
      </c>
      <c r="AO174" s="14"/>
      <c r="AP174" s="14"/>
      <c r="AQ174" s="14"/>
      <c r="AR174" s="14"/>
      <c r="AS174" s="14"/>
      <c r="AT174" s="14"/>
      <c r="AU174" s="14"/>
      <c r="AV174" s="14"/>
      <c r="AW174" s="14"/>
      <c r="AX174" s="14"/>
      <c r="AY174" s="14"/>
      <c r="AZ174" s="14"/>
      <c r="BA174" s="14"/>
      <c r="BB174" s="14"/>
      <c r="BC174" s="14"/>
      <c r="BD174" s="14"/>
      <c r="BE174" s="14"/>
      <c r="BF174" s="14"/>
      <c r="BG174" s="14"/>
      <c r="BH174" s="14"/>
      <c r="BI174" s="14"/>
    </row>
    <row r="175" spans="1:61">
      <c r="A175" s="14"/>
      <c r="B175" s="14"/>
      <c r="C175" s="14"/>
      <c r="D175" s="167"/>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67">
        <v>46196</v>
      </c>
      <c r="AK175" s="14">
        <v>264.94</v>
      </c>
      <c r="AL175" s="14" t="s">
        <v>562</v>
      </c>
      <c r="AM175" s="14" t="s">
        <v>154</v>
      </c>
      <c r="AN175" s="14">
        <f>IF('Stock Data'!$H$2,IF(ISNUMBER(AK175),AK175,NA()),NA())</f>
        <v>264.94</v>
      </c>
      <c r="AO175" s="14"/>
      <c r="AP175" s="14"/>
      <c r="AQ175" s="14"/>
      <c r="AR175" s="14"/>
      <c r="AS175" s="14"/>
      <c r="AT175" s="14"/>
      <c r="AU175" s="14"/>
      <c r="AV175" s="14"/>
      <c r="AW175" s="14"/>
      <c r="AX175" s="14"/>
      <c r="AY175" s="14"/>
      <c r="AZ175" s="14"/>
      <c r="BA175" s="14"/>
      <c r="BB175" s="14"/>
      <c r="BC175" s="14"/>
      <c r="BD175" s="14"/>
      <c r="BE175" s="14"/>
      <c r="BF175" s="14"/>
      <c r="BG175" s="14"/>
      <c r="BH175" s="14"/>
      <c r="BI175" s="14"/>
    </row>
    <row r="176" spans="1:61">
      <c r="A176" s="14"/>
      <c r="B176" s="14"/>
      <c r="C176" s="14"/>
      <c r="D176" s="167"/>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67">
        <v>46197</v>
      </c>
      <c r="AK176" s="14">
        <v>262.95999999999998</v>
      </c>
      <c r="AL176" s="14" t="s">
        <v>562</v>
      </c>
      <c r="AM176" s="14" t="s">
        <v>154</v>
      </c>
      <c r="AN176" s="14">
        <f>IF('Stock Data'!$H$2,IF(ISNUMBER(AK176),AK176,NA()),NA())</f>
        <v>262.95999999999998</v>
      </c>
      <c r="AO176" s="14"/>
      <c r="AP176" s="14"/>
      <c r="AQ176" s="14"/>
      <c r="AR176" s="14"/>
      <c r="AS176" s="14"/>
      <c r="AT176" s="14"/>
      <c r="AU176" s="14"/>
      <c r="AV176" s="14"/>
      <c r="AW176" s="14"/>
      <c r="AX176" s="14"/>
      <c r="AY176" s="14"/>
      <c r="AZ176" s="14"/>
      <c r="BA176" s="14"/>
      <c r="BB176" s="14"/>
      <c r="BC176" s="14"/>
      <c r="BD176" s="14"/>
      <c r="BE176" s="14"/>
      <c r="BF176" s="14"/>
      <c r="BG176" s="14"/>
      <c r="BH176" s="14"/>
      <c r="BI176" s="14"/>
    </row>
    <row r="177" spans="1:61">
      <c r="A177" s="14"/>
      <c r="B177" s="14"/>
      <c r="C177" s="14"/>
      <c r="D177" s="167"/>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67">
        <v>46198</v>
      </c>
      <c r="AK177" s="14">
        <v>258.27</v>
      </c>
      <c r="AL177" s="14" t="s">
        <v>562</v>
      </c>
      <c r="AM177" s="14" t="s">
        <v>154</v>
      </c>
      <c r="AN177" s="14">
        <f>IF('Stock Data'!$H$2,IF(ISNUMBER(AK177),AK177,NA()),NA())</f>
        <v>258.27</v>
      </c>
      <c r="AO177" s="14"/>
      <c r="AP177" s="14"/>
      <c r="AQ177" s="14"/>
      <c r="AR177" s="14"/>
      <c r="AS177" s="14"/>
      <c r="AT177" s="14"/>
      <c r="AU177" s="14"/>
      <c r="AV177" s="14"/>
      <c r="AW177" s="14"/>
      <c r="AX177" s="14"/>
      <c r="AY177" s="14"/>
      <c r="AZ177" s="14"/>
      <c r="BA177" s="14"/>
      <c r="BB177" s="14"/>
      <c r="BC177" s="14"/>
      <c r="BD177" s="14"/>
      <c r="BE177" s="14"/>
      <c r="BF177" s="14"/>
      <c r="BG177" s="14"/>
      <c r="BH177" s="14"/>
      <c r="BI177" s="14"/>
    </row>
    <row r="178" spans="1:61">
      <c r="A178" s="14"/>
      <c r="B178" s="14"/>
      <c r="C178" s="14"/>
      <c r="D178" s="167"/>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67">
        <v>46199</v>
      </c>
      <c r="AK178" s="14">
        <v>271.63</v>
      </c>
      <c r="AL178" s="14" t="s">
        <v>562</v>
      </c>
      <c r="AM178" s="14" t="s">
        <v>154</v>
      </c>
      <c r="AN178" s="14">
        <f>IF('Stock Data'!$H$2,IF(ISNUMBER(AK178),AK178,NA()),NA())</f>
        <v>271.63</v>
      </c>
      <c r="AO178" s="14"/>
      <c r="AP178" s="14"/>
      <c r="AQ178" s="14"/>
      <c r="AR178" s="14"/>
      <c r="AS178" s="14"/>
      <c r="AT178" s="14"/>
      <c r="AU178" s="14"/>
      <c r="AV178" s="14"/>
      <c r="AW178" s="14"/>
      <c r="AX178" s="14"/>
      <c r="AY178" s="14"/>
      <c r="AZ178" s="14"/>
      <c r="BA178" s="14"/>
      <c r="BB178" s="14"/>
      <c r="BC178" s="14"/>
      <c r="BD178" s="14"/>
      <c r="BE178" s="14"/>
      <c r="BF178" s="14"/>
      <c r="BG178" s="14"/>
      <c r="BH178" s="14"/>
      <c r="BI178" s="14"/>
    </row>
    <row r="179" spans="1:61">
      <c r="A179" s="14"/>
      <c r="B179" s="14"/>
      <c r="C179" s="14"/>
      <c r="D179" s="167"/>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67">
        <v>46202</v>
      </c>
      <c r="AK179" s="14">
        <v>278</v>
      </c>
      <c r="AL179" s="14" t="s">
        <v>562</v>
      </c>
      <c r="AM179" s="14" t="s">
        <v>154</v>
      </c>
      <c r="AN179" s="14">
        <f>IF('Stock Data'!$H$2,IF(ISNUMBER(AK179),AK179,NA()),NA())</f>
        <v>278</v>
      </c>
      <c r="AO179" s="14"/>
      <c r="AP179" s="14"/>
      <c r="AQ179" s="14"/>
      <c r="AR179" s="14"/>
      <c r="AS179" s="14"/>
      <c r="AT179" s="14"/>
      <c r="AU179" s="14"/>
      <c r="AV179" s="14"/>
      <c r="AW179" s="14"/>
      <c r="AX179" s="14"/>
      <c r="AY179" s="14"/>
      <c r="AZ179" s="14"/>
      <c r="BA179" s="14"/>
      <c r="BB179" s="14"/>
      <c r="BC179" s="14"/>
      <c r="BD179" s="14"/>
      <c r="BE179" s="14"/>
      <c r="BF179" s="14"/>
      <c r="BG179" s="14"/>
      <c r="BH179" s="14"/>
      <c r="BI179" s="14"/>
    </row>
    <row r="180" spans="1:61">
      <c r="A180" s="14"/>
      <c r="B180" s="14"/>
      <c r="C180" s="14"/>
      <c r="D180" s="167"/>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67">
        <v>46203</v>
      </c>
      <c r="AK180" s="14">
        <v>281.20999999999998</v>
      </c>
      <c r="AL180" s="14" t="s">
        <v>562</v>
      </c>
      <c r="AM180" s="14" t="s">
        <v>154</v>
      </c>
      <c r="AN180" s="14">
        <f>IF('Stock Data'!$H$2,IF(ISNUMBER(AK180),AK180,NA()),NA())</f>
        <v>281.20999999999998</v>
      </c>
      <c r="AO180" s="14"/>
      <c r="AP180" s="14"/>
      <c r="AQ180" s="14"/>
      <c r="AR180" s="14"/>
      <c r="AS180" s="14"/>
      <c r="AT180" s="14"/>
      <c r="AU180" s="14"/>
      <c r="AV180" s="14"/>
      <c r="AW180" s="14"/>
      <c r="AX180" s="14"/>
      <c r="AY180" s="14"/>
      <c r="AZ180" s="14"/>
      <c r="BA180" s="14"/>
      <c r="BB180" s="14"/>
      <c r="BC180" s="14"/>
      <c r="BD180" s="14"/>
      <c r="BE180" s="14"/>
      <c r="BF180" s="14"/>
      <c r="BG180" s="14"/>
      <c r="BH180" s="14"/>
      <c r="BI180" s="14"/>
    </row>
    <row r="181" spans="1:61">
      <c r="A181" s="14"/>
      <c r="B181" s="14"/>
      <c r="C181" s="14"/>
      <c r="D181" s="167"/>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67">
        <v>46204</v>
      </c>
      <c r="AK181" s="14">
        <v>286.25</v>
      </c>
      <c r="AL181" s="14" t="s">
        <v>562</v>
      </c>
      <c r="AM181" s="14" t="s">
        <v>154</v>
      </c>
      <c r="AN181" s="14">
        <f>IF('Stock Data'!$H$2,IF(ISNUMBER(AK181),AK181,NA()),NA())</f>
        <v>286.25</v>
      </c>
      <c r="AO181" s="14"/>
      <c r="AP181" s="14"/>
      <c r="AQ181" s="14"/>
      <c r="AR181" s="14"/>
      <c r="AS181" s="14"/>
      <c r="AT181" s="14"/>
      <c r="AU181" s="14"/>
      <c r="AV181" s="14"/>
      <c r="AW181" s="14"/>
      <c r="AX181" s="14"/>
      <c r="AY181" s="14"/>
      <c r="AZ181" s="14"/>
      <c r="BA181" s="14"/>
      <c r="BB181" s="14"/>
      <c r="BC181" s="14"/>
      <c r="BD181" s="14"/>
      <c r="BE181" s="14"/>
      <c r="BF181" s="14"/>
      <c r="BG181" s="14"/>
      <c r="BH181" s="14"/>
      <c r="BI181" s="14"/>
    </row>
    <row r="182" spans="1:61">
      <c r="A182" s="14"/>
      <c r="B182" s="14"/>
      <c r="C182" s="14"/>
      <c r="D182" s="167"/>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67">
        <v>46205</v>
      </c>
      <c r="AK182" s="14">
        <v>289.52</v>
      </c>
      <c r="AL182" s="14" t="s">
        <v>562</v>
      </c>
      <c r="AM182" s="14" t="s">
        <v>154</v>
      </c>
      <c r="AN182" s="14">
        <f>IF('Stock Data'!$H$2,IF(ISNUMBER(AK182),AK182,NA()),NA())</f>
        <v>289.52</v>
      </c>
      <c r="AO182" s="14"/>
      <c r="AP182" s="14"/>
      <c r="AQ182" s="14"/>
      <c r="AR182" s="14"/>
      <c r="AS182" s="14"/>
      <c r="AT182" s="14"/>
      <c r="AU182" s="14"/>
      <c r="AV182" s="14"/>
      <c r="AW182" s="14"/>
      <c r="AX182" s="14"/>
      <c r="AY182" s="14"/>
      <c r="AZ182" s="14"/>
      <c r="BA182" s="14"/>
      <c r="BB182" s="14"/>
      <c r="BC182" s="14"/>
      <c r="BD182" s="14"/>
      <c r="BE182" s="14"/>
      <c r="BF182" s="14"/>
      <c r="BG182" s="14"/>
      <c r="BH182" s="14"/>
      <c r="BI182" s="14"/>
    </row>
    <row r="183" spans="1:61">
      <c r="A183" s="14"/>
      <c r="B183" s="14"/>
      <c r="C183" s="14"/>
      <c r="D183" s="167"/>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67">
        <v>46209</v>
      </c>
      <c r="AK183" s="14">
        <v>299.52</v>
      </c>
      <c r="AL183" s="14" t="s">
        <v>562</v>
      </c>
      <c r="AM183" s="14" t="s">
        <v>154</v>
      </c>
      <c r="AN183" s="14">
        <f>IF('Stock Data'!$H$2,IF(ISNUMBER(AK183),AK183,NA()),NA())</f>
        <v>299.52</v>
      </c>
      <c r="AO183" s="14"/>
      <c r="AP183" s="14"/>
      <c r="AQ183" s="14"/>
      <c r="AR183" s="14"/>
      <c r="AS183" s="14"/>
      <c r="AT183" s="14"/>
      <c r="AU183" s="14"/>
      <c r="AV183" s="14"/>
      <c r="AW183" s="14"/>
      <c r="AX183" s="14"/>
      <c r="AY183" s="14"/>
      <c r="AZ183" s="14"/>
      <c r="BA183" s="14"/>
      <c r="BB183" s="14"/>
      <c r="BC183" s="14"/>
      <c r="BD183" s="14"/>
      <c r="BE183" s="14"/>
      <c r="BF183" s="14"/>
      <c r="BG183" s="14"/>
      <c r="BH183" s="14"/>
      <c r="BI183" s="14"/>
    </row>
    <row r="184" spans="1:61">
      <c r="A184" s="14"/>
      <c r="B184" s="14"/>
      <c r="C184" s="14"/>
      <c r="D184" s="167"/>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67">
        <v>46210</v>
      </c>
      <c r="AK184" s="14">
        <v>306.13</v>
      </c>
      <c r="AL184" s="14" t="s">
        <v>562</v>
      </c>
      <c r="AM184" s="14" t="s">
        <v>154</v>
      </c>
      <c r="AN184" s="14">
        <f>IF('Stock Data'!$H$2,IF(ISNUMBER(AK184),AK184,NA()),NA())</f>
        <v>306.13</v>
      </c>
      <c r="AO184" s="14"/>
      <c r="AP184" s="14"/>
      <c r="AQ184" s="14"/>
      <c r="AR184" s="14"/>
      <c r="AS184" s="14"/>
      <c r="AT184" s="14"/>
      <c r="AU184" s="14"/>
      <c r="AV184" s="14"/>
      <c r="AW184" s="14"/>
      <c r="AX184" s="14"/>
      <c r="AY184" s="14"/>
      <c r="AZ184" s="14"/>
      <c r="BA184" s="14"/>
      <c r="BB184" s="14"/>
      <c r="BC184" s="14"/>
      <c r="BD184" s="14"/>
      <c r="BE184" s="14"/>
      <c r="BF184" s="14"/>
      <c r="BG184" s="14"/>
      <c r="BH184" s="14"/>
      <c r="BI184" s="14"/>
    </row>
    <row r="185" spans="1:61">
      <c r="A185" s="14"/>
      <c r="B185" s="14"/>
      <c r="C185" s="14"/>
      <c r="D185" s="167"/>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67">
        <v>46211</v>
      </c>
      <c r="AK185" s="14">
        <v>302.05</v>
      </c>
      <c r="AL185" s="14" t="s">
        <v>562</v>
      </c>
      <c r="AM185" s="14" t="s">
        <v>154</v>
      </c>
      <c r="AN185" s="14">
        <f>IF('Stock Data'!$H$2,IF(ISNUMBER(AK185),AK185,NA()),NA())</f>
        <v>302.05</v>
      </c>
      <c r="AO185" s="14"/>
      <c r="AP185" s="14"/>
      <c r="AQ185" s="14"/>
      <c r="AR185" s="14"/>
      <c r="AS185" s="14"/>
      <c r="AT185" s="14"/>
      <c r="AU185" s="14"/>
      <c r="AV185" s="14"/>
      <c r="AW185" s="14"/>
      <c r="AX185" s="14"/>
      <c r="AY185" s="14"/>
      <c r="AZ185" s="14"/>
      <c r="BA185" s="14"/>
      <c r="BB185" s="14"/>
      <c r="BC185" s="14"/>
      <c r="BD185" s="14"/>
      <c r="BE185" s="14"/>
      <c r="BF185" s="14"/>
      <c r="BG185" s="14"/>
      <c r="BH185" s="14"/>
      <c r="BI185" s="14"/>
    </row>
    <row r="186" spans="1:61">
      <c r="A186" s="14"/>
      <c r="B186" s="14"/>
      <c r="C186" s="14"/>
      <c r="D186" s="167"/>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67">
        <v>46212</v>
      </c>
      <c r="AK186" s="14">
        <v>295.3</v>
      </c>
      <c r="AL186" s="14" t="s">
        <v>562</v>
      </c>
      <c r="AM186" s="14" t="s">
        <v>154</v>
      </c>
      <c r="AN186" s="14">
        <f>IF('Stock Data'!$H$2,IF(ISNUMBER(AK186),AK186,NA()),NA())</f>
        <v>295.3</v>
      </c>
      <c r="AO186" s="14"/>
      <c r="AP186" s="14"/>
      <c r="AQ186" s="14"/>
      <c r="AR186" s="14"/>
      <c r="AS186" s="14"/>
      <c r="AT186" s="14"/>
      <c r="AU186" s="14"/>
      <c r="AV186" s="14"/>
      <c r="AW186" s="14"/>
      <c r="AX186" s="14"/>
      <c r="AY186" s="14"/>
      <c r="AZ186" s="14"/>
      <c r="BA186" s="14"/>
      <c r="BB186" s="14"/>
      <c r="BC186" s="14"/>
      <c r="BD186" s="14"/>
      <c r="BE186" s="14"/>
      <c r="BF186" s="14"/>
      <c r="BG186" s="14"/>
      <c r="BH186" s="14"/>
      <c r="BI186" s="14"/>
    </row>
    <row r="187" spans="1:61">
      <c r="A187" s="14"/>
      <c r="B187" s="14"/>
      <c r="C187" s="14"/>
      <c r="D187" s="167"/>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67">
        <v>46213</v>
      </c>
      <c r="AK187" s="14">
        <v>287.56</v>
      </c>
      <c r="AL187" s="14" t="s">
        <v>562</v>
      </c>
      <c r="AM187" s="14" t="s">
        <v>154</v>
      </c>
      <c r="AN187" s="14">
        <f>IF('Stock Data'!$H$2,IF(ISNUMBER(AK187),AK187,NA()),NA())</f>
        <v>287.56</v>
      </c>
      <c r="AO187" s="14"/>
      <c r="AP187" s="14"/>
      <c r="AQ187" s="14"/>
      <c r="AR187" s="14"/>
      <c r="AS187" s="14"/>
      <c r="AT187" s="14"/>
      <c r="AU187" s="14"/>
      <c r="AV187" s="14"/>
      <c r="AW187" s="14"/>
      <c r="AX187" s="14"/>
      <c r="AY187" s="14"/>
      <c r="AZ187" s="14"/>
      <c r="BA187" s="14"/>
      <c r="BB187" s="14"/>
      <c r="BC187" s="14"/>
      <c r="BD187" s="14"/>
      <c r="BE187" s="14"/>
      <c r="BF187" s="14"/>
      <c r="BG187" s="14"/>
      <c r="BH187" s="14"/>
      <c r="BI187" s="14"/>
    </row>
    <row r="188" spans="1:61">
      <c r="A188" s="14"/>
      <c r="B188" s="14"/>
      <c r="C188" s="14"/>
      <c r="D188" s="167"/>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67">
        <v>46216</v>
      </c>
      <c r="AK188" s="14">
        <v>290.23</v>
      </c>
      <c r="AL188" s="14" t="s">
        <v>562</v>
      </c>
      <c r="AM188" s="14" t="s">
        <v>154</v>
      </c>
      <c r="AN188" s="14">
        <f>IF('Stock Data'!$H$2,IF(ISNUMBER(AK188),AK188,NA()),NA())</f>
        <v>290.23</v>
      </c>
      <c r="AO188" s="14"/>
      <c r="AP188" s="14"/>
      <c r="AQ188" s="14"/>
      <c r="AR188" s="14"/>
      <c r="AS188" s="14"/>
      <c r="AT188" s="14"/>
      <c r="AU188" s="14"/>
      <c r="AV188" s="14"/>
      <c r="AW188" s="14"/>
      <c r="AX188" s="14"/>
      <c r="AY188" s="14"/>
      <c r="AZ188" s="14"/>
      <c r="BA188" s="14"/>
      <c r="BB188" s="14"/>
      <c r="BC188" s="14"/>
      <c r="BD188" s="14"/>
      <c r="BE188" s="14"/>
      <c r="BF188" s="14"/>
      <c r="BG188" s="14"/>
      <c r="BH188" s="14"/>
      <c r="BI188" s="14"/>
    </row>
    <row r="189" spans="1:61">
      <c r="A189" s="14"/>
      <c r="B189" s="14"/>
      <c r="C189" s="14"/>
      <c r="D189" s="167"/>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67">
        <v>46217</v>
      </c>
      <c r="AK189" s="14">
        <v>217.07</v>
      </c>
      <c r="AL189" s="14" t="s">
        <v>562</v>
      </c>
      <c r="AM189" s="14" t="s">
        <v>154</v>
      </c>
      <c r="AN189" s="14">
        <f>IF('Stock Data'!$H$2,IF(ISNUMBER(AK189),AK189,NA()),NA())</f>
        <v>217.07</v>
      </c>
      <c r="AO189" s="14"/>
      <c r="AP189" s="14"/>
      <c r="AQ189" s="14"/>
      <c r="AR189" s="14"/>
      <c r="AS189" s="14"/>
      <c r="AT189" s="14"/>
      <c r="AU189" s="14"/>
      <c r="AV189" s="14"/>
      <c r="AW189" s="14"/>
      <c r="AX189" s="14"/>
      <c r="AY189" s="14"/>
      <c r="AZ189" s="14"/>
      <c r="BA189" s="14"/>
      <c r="BB189" s="14"/>
      <c r="BC189" s="14"/>
      <c r="BD189" s="14"/>
      <c r="BE189" s="14"/>
      <c r="BF189" s="14"/>
      <c r="BG189" s="14"/>
      <c r="BH189" s="14"/>
      <c r="BI189" s="14"/>
    </row>
    <row r="190" spans="1:61">
      <c r="A190" s="14"/>
      <c r="B190" s="14"/>
      <c r="C190" s="14"/>
      <c r="D190" s="167"/>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67">
        <v>46218</v>
      </c>
      <c r="AK190" s="14">
        <v>211.2</v>
      </c>
      <c r="AL190" s="14" t="s">
        <v>562</v>
      </c>
      <c r="AM190" s="14" t="s">
        <v>154</v>
      </c>
      <c r="AN190" s="14">
        <f>IF('Stock Data'!$H$2,IF(ISNUMBER(AK190),AK190,NA()),NA())</f>
        <v>211.2</v>
      </c>
      <c r="AO190" s="14"/>
      <c r="AP190" s="14"/>
      <c r="AQ190" s="14"/>
      <c r="AR190" s="14"/>
      <c r="AS190" s="14"/>
      <c r="AT190" s="14"/>
      <c r="AU190" s="14"/>
      <c r="AV190" s="14"/>
      <c r="AW190" s="14"/>
      <c r="AX190" s="14"/>
      <c r="AY190" s="14"/>
      <c r="AZ190" s="14"/>
      <c r="BA190" s="14"/>
      <c r="BB190" s="14"/>
      <c r="BC190" s="14"/>
      <c r="BD190" s="14"/>
      <c r="BE190" s="14"/>
      <c r="BF190" s="14"/>
      <c r="BG190" s="14"/>
      <c r="BH190" s="14"/>
      <c r="BI190" s="14"/>
    </row>
    <row r="191" spans="1:61">
      <c r="A191" s="14"/>
      <c r="B191" s="14"/>
      <c r="C191" s="14"/>
      <c r="D191" s="167"/>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67">
        <v>46219</v>
      </c>
      <c r="AK191" s="14">
        <v>219.05</v>
      </c>
      <c r="AL191" s="14" t="s">
        <v>562</v>
      </c>
      <c r="AM191" s="14" t="s">
        <v>154</v>
      </c>
      <c r="AN191" s="14">
        <f>IF('Stock Data'!$H$2,IF(ISNUMBER(AK191),AK191,NA()),NA())</f>
        <v>219.05</v>
      </c>
      <c r="AO191" s="14"/>
      <c r="AP191" s="14"/>
      <c r="AQ191" s="14"/>
      <c r="AR191" s="14"/>
      <c r="AS191" s="14"/>
      <c r="AT191" s="14"/>
      <c r="AU191" s="14"/>
      <c r="AV191" s="14"/>
      <c r="AW191" s="14"/>
      <c r="AX191" s="14"/>
      <c r="AY191" s="14"/>
      <c r="AZ191" s="14"/>
      <c r="BA191" s="14"/>
      <c r="BB191" s="14"/>
      <c r="BC191" s="14"/>
      <c r="BD191" s="14"/>
      <c r="BE191" s="14"/>
      <c r="BF191" s="14"/>
      <c r="BG191" s="14"/>
      <c r="BH191" s="14"/>
      <c r="BI191" s="14"/>
    </row>
    <row r="192" spans="1:61">
      <c r="A192" s="14"/>
      <c r="B192" s="14"/>
      <c r="C192" s="14"/>
      <c r="D192" s="167"/>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67">
        <v>46220</v>
      </c>
      <c r="AK192" s="14">
        <v>212.67</v>
      </c>
      <c r="AL192" s="14" t="s">
        <v>562</v>
      </c>
      <c r="AM192" s="14" t="s">
        <v>154</v>
      </c>
      <c r="AN192" s="14">
        <f>IF('Stock Data'!$H$2,IF(ISNUMBER(AK192),AK192,NA()),NA())</f>
        <v>212.67</v>
      </c>
      <c r="AO192" s="14"/>
      <c r="AP192" s="14"/>
      <c r="AQ192" s="14"/>
      <c r="AR192" s="14"/>
      <c r="AS192" s="14"/>
      <c r="AT192" s="14"/>
      <c r="AU192" s="14"/>
      <c r="AV192" s="14"/>
      <c r="AW192" s="14"/>
      <c r="AX192" s="14"/>
      <c r="AY192" s="14"/>
      <c r="AZ192" s="14"/>
      <c r="BA192" s="14"/>
      <c r="BB192" s="14"/>
      <c r="BC192" s="14"/>
      <c r="BD192" s="14"/>
      <c r="BE192" s="14"/>
      <c r="BF192" s="14"/>
      <c r="BG192" s="14"/>
      <c r="BH192" s="14"/>
      <c r="BI192" s="14"/>
    </row>
    <row r="193" spans="1:61">
      <c r="A193" s="14"/>
      <c r="B193" s="14"/>
      <c r="C193" s="14"/>
      <c r="D193" s="167"/>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67">
        <v>46223</v>
      </c>
      <c r="AK193" s="14">
        <v>213</v>
      </c>
      <c r="AL193" s="14" t="s">
        <v>562</v>
      </c>
      <c r="AM193" s="14" t="s">
        <v>154</v>
      </c>
      <c r="AN193" s="14">
        <f>IF('Stock Data'!$H$2,IF(ISNUMBER(AK193),AK193,NA()),NA())</f>
        <v>213</v>
      </c>
      <c r="AO193" s="14"/>
      <c r="AP193" s="14"/>
      <c r="AQ193" s="14"/>
      <c r="AR193" s="14"/>
      <c r="AS193" s="14"/>
      <c r="AT193" s="14"/>
      <c r="AU193" s="14"/>
      <c r="AV193" s="14"/>
      <c r="AW193" s="14"/>
      <c r="AX193" s="14"/>
      <c r="AY193" s="14"/>
      <c r="AZ193" s="14"/>
      <c r="BA193" s="14"/>
      <c r="BB193" s="14"/>
      <c r="BC193" s="14"/>
      <c r="BD193" s="14"/>
      <c r="BE193" s="14"/>
      <c r="BF193" s="14"/>
      <c r="BG193" s="14"/>
      <c r="BH193" s="14"/>
      <c r="BI193" s="14"/>
    </row>
    <row r="194" spans="1:61">
      <c r="A194" s="14"/>
      <c r="B194" s="14"/>
      <c r="C194" s="14"/>
      <c r="D194" s="167"/>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67">
        <v>46224</v>
      </c>
      <c r="AK194" s="14">
        <v>210.5</v>
      </c>
      <c r="AL194" s="14" t="s">
        <v>562</v>
      </c>
      <c r="AM194" s="14" t="s">
        <v>154</v>
      </c>
      <c r="AN194" s="14">
        <f>IF('Stock Data'!$H$2,IF(ISNUMBER(AK194),AK194,NA()),NA())</f>
        <v>210.5</v>
      </c>
      <c r="AO194" s="14"/>
      <c r="AP194" s="14"/>
      <c r="AQ194" s="14"/>
      <c r="AR194" s="14"/>
      <c r="AS194" s="14"/>
      <c r="AT194" s="14"/>
      <c r="AU194" s="14"/>
      <c r="AV194" s="14"/>
      <c r="AW194" s="14"/>
      <c r="AX194" s="14"/>
      <c r="AY194" s="14"/>
      <c r="AZ194" s="14"/>
      <c r="BA194" s="14"/>
      <c r="BB194" s="14"/>
      <c r="BC194" s="14"/>
      <c r="BD194" s="14"/>
      <c r="BE194" s="14"/>
      <c r="BF194" s="14"/>
      <c r="BG194" s="14"/>
      <c r="BH194" s="14"/>
      <c r="BI194" s="14"/>
    </row>
    <row r="195" spans="1:61">
      <c r="A195" s="14"/>
      <c r="B195" s="14"/>
      <c r="C195" s="14"/>
      <c r="D195" s="167"/>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67">
        <v>46225</v>
      </c>
      <c r="AK195" s="14">
        <v>205.77</v>
      </c>
      <c r="AL195" s="14" t="s">
        <v>562</v>
      </c>
      <c r="AM195" s="14" t="s">
        <v>154</v>
      </c>
      <c r="AN195" s="14">
        <f>IF('Stock Data'!$H$2,IF(ISNUMBER(AK195),AK195,NA()),NA())</f>
        <v>205.77</v>
      </c>
      <c r="AO195" s="14"/>
      <c r="AP195" s="14"/>
      <c r="AQ195" s="14"/>
      <c r="AR195" s="14"/>
      <c r="AS195" s="14"/>
      <c r="AT195" s="14"/>
      <c r="AU195" s="14"/>
      <c r="AV195" s="14"/>
      <c r="AW195" s="14"/>
      <c r="AX195" s="14"/>
      <c r="AY195" s="14"/>
      <c r="AZ195" s="14"/>
      <c r="BA195" s="14"/>
      <c r="BB195" s="14"/>
      <c r="BC195" s="14"/>
      <c r="BD195" s="14"/>
      <c r="BE195" s="14"/>
      <c r="BF195" s="14"/>
      <c r="BG195" s="14"/>
      <c r="BH195" s="14"/>
      <c r="BI195" s="14"/>
    </row>
    <row r="196" spans="1:61">
      <c r="A196" s="14"/>
      <c r="B196" s="14"/>
      <c r="C196" s="14"/>
      <c r="D196" s="167"/>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67">
        <v>46226</v>
      </c>
      <c r="AK196" s="14">
        <v>206.65</v>
      </c>
      <c r="AL196" s="14" t="s">
        <v>562</v>
      </c>
      <c r="AM196" s="14" t="s">
        <v>154</v>
      </c>
      <c r="AN196" s="14">
        <f>IF('Stock Data'!$H$2,IF(ISNUMBER(AK196),AK196,NA()),NA())</f>
        <v>206.65</v>
      </c>
      <c r="AO196" s="14"/>
      <c r="AP196" s="14"/>
      <c r="AQ196" s="14"/>
      <c r="AR196" s="14"/>
      <c r="AS196" s="14"/>
      <c r="AT196" s="14"/>
      <c r="AU196" s="14"/>
      <c r="AV196" s="14"/>
      <c r="AW196" s="14"/>
      <c r="AX196" s="14"/>
      <c r="AY196" s="14"/>
      <c r="AZ196" s="14"/>
      <c r="BA196" s="14"/>
      <c r="BB196" s="14"/>
      <c r="BC196" s="14"/>
      <c r="BD196" s="14"/>
      <c r="BE196" s="14"/>
      <c r="BF196" s="14"/>
      <c r="BG196" s="14"/>
      <c r="BH196" s="14"/>
      <c r="BI196" s="14"/>
    </row>
    <row r="197" spans="1:61">
      <c r="A197" s="14"/>
      <c r="B197" s="14"/>
      <c r="C197" s="14"/>
      <c r="D197" s="167"/>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67">
        <v>46227</v>
      </c>
      <c r="AK197" s="14">
        <v>214.19</v>
      </c>
      <c r="AL197" s="14" t="s">
        <v>562</v>
      </c>
      <c r="AM197" s="14" t="s">
        <v>154</v>
      </c>
      <c r="AN197" s="14">
        <f>IF('Stock Data'!$H$2,IF(ISNUMBER(AK197),AK197,NA()),NA())</f>
        <v>214.19</v>
      </c>
      <c r="AO197" s="14"/>
      <c r="AP197" s="14"/>
      <c r="AQ197" s="14"/>
      <c r="AR197" s="14"/>
      <c r="AS197" s="14"/>
      <c r="AT197" s="14"/>
      <c r="AU197" s="14"/>
      <c r="AV197" s="14"/>
      <c r="AW197" s="14"/>
      <c r="AX197" s="14"/>
      <c r="AY197" s="14"/>
      <c r="AZ197" s="14"/>
      <c r="BA197" s="14"/>
      <c r="BB197" s="14"/>
      <c r="BC197" s="14"/>
      <c r="BD197" s="14"/>
      <c r="BE197" s="14"/>
      <c r="BF197" s="14"/>
      <c r="BG197" s="14"/>
      <c r="BH197" s="14"/>
      <c r="BI197" s="14"/>
    </row>
    <row r="198" spans="1:61">
      <c r="A198" s="14"/>
      <c r="B198" s="14"/>
      <c r="C198" s="14"/>
      <c r="D198" s="167"/>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67">
        <v>46230</v>
      </c>
      <c r="AK198" s="14">
        <v>216.28</v>
      </c>
      <c r="AL198" s="14" t="s">
        <v>562</v>
      </c>
      <c r="AM198" s="14" t="s">
        <v>154</v>
      </c>
      <c r="AN198" s="14">
        <f>IF('Stock Data'!$H$2,IF(ISNUMBER(AK198),AK198,NA()),NA())</f>
        <v>216.28</v>
      </c>
      <c r="AO198" s="14"/>
      <c r="AP198" s="14"/>
      <c r="AQ198" s="14"/>
      <c r="AR198" s="14"/>
      <c r="AS198" s="14"/>
      <c r="AT198" s="14"/>
      <c r="AU198" s="14"/>
      <c r="AV198" s="14"/>
      <c r="AW198" s="14"/>
      <c r="AX198" s="14"/>
      <c r="AY198" s="14"/>
      <c r="AZ198" s="14"/>
      <c r="BA198" s="14"/>
      <c r="BB198" s="14"/>
      <c r="BC198" s="14"/>
      <c r="BD198" s="14"/>
      <c r="BE198" s="14"/>
      <c r="BF198" s="14"/>
      <c r="BG198" s="14"/>
      <c r="BH198" s="14"/>
      <c r="BI198" s="14"/>
    </row>
    <row r="199" spans="1:61">
      <c r="A199" s="14"/>
      <c r="B199" s="14"/>
      <c r="C199" s="14"/>
      <c r="D199" s="167"/>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67">
        <v>46231</v>
      </c>
      <c r="AK199" s="14">
        <v>227.55</v>
      </c>
      <c r="AL199" s="14" t="s">
        <v>562</v>
      </c>
      <c r="AM199" s="14" t="s">
        <v>154</v>
      </c>
      <c r="AN199" s="14">
        <f>IF('Stock Data'!$H$2,IF(ISNUMBER(AK199),AK199,NA()),NA())</f>
        <v>227.55</v>
      </c>
      <c r="AO199" s="14"/>
      <c r="AP199" s="14"/>
      <c r="AQ199" s="14"/>
      <c r="AR199" s="14"/>
      <c r="AS199" s="14"/>
      <c r="AT199" s="14"/>
      <c r="AU199" s="14"/>
      <c r="AV199" s="14"/>
      <c r="AW199" s="14"/>
      <c r="AX199" s="14"/>
      <c r="AY199" s="14"/>
      <c r="AZ199" s="14"/>
      <c r="BA199" s="14"/>
      <c r="BB199" s="14"/>
      <c r="BC199" s="14"/>
      <c r="BD199" s="14"/>
      <c r="BE199" s="14"/>
      <c r="BF199" s="14"/>
      <c r="BG199" s="14"/>
      <c r="BH199" s="14"/>
      <c r="BI199" s="14"/>
    </row>
    <row r="200" spans="1:61">
      <c r="A200" s="14"/>
      <c r="B200" s="14"/>
      <c r="C200" s="14"/>
      <c r="D200" s="167"/>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67">
        <v>46232</v>
      </c>
      <c r="AK200" s="14">
        <v>226.44</v>
      </c>
      <c r="AL200" s="14" t="s">
        <v>562</v>
      </c>
      <c r="AM200" s="14" t="s">
        <v>154</v>
      </c>
      <c r="AN200" s="14">
        <f>IF('Stock Data'!$H$2,IF(ISNUMBER(AK200),AK200,NA()),NA())</f>
        <v>226.44</v>
      </c>
      <c r="AO200" s="14"/>
      <c r="AP200" s="14"/>
      <c r="AQ200" s="14"/>
      <c r="AR200" s="14"/>
      <c r="AS200" s="14"/>
      <c r="AT200" s="14"/>
      <c r="AU200" s="14"/>
      <c r="AV200" s="14"/>
      <c r="AW200" s="14"/>
      <c r="AX200" s="14"/>
      <c r="AY200" s="14"/>
      <c r="AZ200" s="14"/>
      <c r="BA200" s="14"/>
      <c r="BB200" s="14"/>
      <c r="BC200" s="14"/>
      <c r="BD200" s="14"/>
      <c r="BE200" s="14"/>
      <c r="BF200" s="14"/>
      <c r="BG200" s="14"/>
      <c r="BH200" s="14"/>
      <c r="BI200" s="14"/>
    </row>
    <row r="201" spans="1:61">
      <c r="A201" s="14"/>
      <c r="B201" s="14"/>
      <c r="C201" s="14"/>
      <c r="D201" s="167"/>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67">
        <v>46233</v>
      </c>
      <c r="AK201" s="14">
        <v>221.74</v>
      </c>
      <c r="AL201" s="14" t="s">
        <v>562</v>
      </c>
      <c r="AM201" s="14" t="s">
        <v>154</v>
      </c>
      <c r="AN201" s="14">
        <f>IF('Stock Data'!$H$2,IF(ISNUMBER(AK201),AK201,NA()),NA())</f>
        <v>221.74</v>
      </c>
      <c r="AO201" s="14"/>
      <c r="AP201" s="14"/>
      <c r="AQ201" s="14"/>
      <c r="AR201" s="14"/>
      <c r="AS201" s="14"/>
      <c r="AT201" s="14"/>
      <c r="AU201" s="14"/>
      <c r="AV201" s="14"/>
      <c r="AW201" s="14"/>
      <c r="AX201" s="14"/>
      <c r="AY201" s="14"/>
      <c r="AZ201" s="14"/>
      <c r="BA201" s="14"/>
      <c r="BB201" s="14"/>
      <c r="BC201" s="14"/>
      <c r="BD201" s="14"/>
      <c r="BE201" s="14"/>
      <c r="BF201" s="14"/>
      <c r="BG201" s="14"/>
      <c r="BH201" s="14"/>
      <c r="BI201" s="14"/>
    </row>
    <row r="202" spans="1:61">
      <c r="A202" s="14"/>
      <c r="B202" s="14"/>
      <c r="C202" s="14"/>
      <c r="D202" s="167"/>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67">
        <v>46234</v>
      </c>
      <c r="AK202" s="14">
        <v>223.65</v>
      </c>
      <c r="AL202" s="14" t="s">
        <v>562</v>
      </c>
      <c r="AM202" s="14" t="s">
        <v>154</v>
      </c>
      <c r="AN202" s="14">
        <f>IF('Stock Data'!$H$2,IF(ISNUMBER(AK202),AK202,NA()),NA())</f>
        <v>223.65</v>
      </c>
      <c r="AO202" s="14"/>
      <c r="AP202" s="14"/>
      <c r="AQ202" s="14"/>
      <c r="AR202" s="14"/>
      <c r="AS202" s="14"/>
      <c r="AT202" s="14"/>
      <c r="AU202" s="14"/>
      <c r="AV202" s="14"/>
      <c r="AW202" s="14"/>
      <c r="AX202" s="14"/>
      <c r="AY202" s="14"/>
      <c r="AZ202" s="14"/>
      <c r="BA202" s="14"/>
      <c r="BB202" s="14"/>
      <c r="BC202" s="14"/>
      <c r="BD202" s="14"/>
      <c r="BE202" s="14"/>
      <c r="BF202" s="14"/>
      <c r="BG202" s="14"/>
      <c r="BH202" s="14"/>
      <c r="BI202" s="14"/>
    </row>
    <row r="203" spans="1:61">
      <c r="A203" s="14"/>
      <c r="B203" s="14"/>
      <c r="C203" s="14"/>
      <c r="D203" s="167"/>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67">
        <v>46237</v>
      </c>
      <c r="AK203" s="14">
        <v>226.31</v>
      </c>
      <c r="AL203" s="14" t="s">
        <v>562</v>
      </c>
      <c r="AM203" s="14" t="s">
        <v>154</v>
      </c>
      <c r="AN203" s="14">
        <f>IF('Stock Data'!$H$2,IF(ISNUMBER(AK203),AK203,NA()),NA())</f>
        <v>226.31</v>
      </c>
      <c r="AO203" s="14"/>
      <c r="AP203" s="14"/>
      <c r="AQ203" s="14"/>
      <c r="AR203" s="14"/>
      <c r="AS203" s="14"/>
      <c r="AT203" s="14"/>
      <c r="AU203" s="14"/>
      <c r="AV203" s="14"/>
      <c r="AW203" s="14"/>
      <c r="AX203" s="14"/>
      <c r="AY203" s="14"/>
      <c r="AZ203" s="14"/>
      <c r="BA203" s="14"/>
      <c r="BB203" s="14"/>
      <c r="BC203" s="14"/>
      <c r="BD203" s="14"/>
      <c r="BE203" s="14"/>
      <c r="BF203" s="14"/>
      <c r="BG203" s="14"/>
      <c r="BH203" s="14"/>
      <c r="BI203" s="14"/>
    </row>
    <row r="204" spans="1:61">
      <c r="A204" s="14"/>
      <c r="B204" s="14"/>
      <c r="C204" s="14"/>
      <c r="D204" s="167"/>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67">
        <v>46238</v>
      </c>
      <c r="AK204" s="14">
        <v>235.15</v>
      </c>
      <c r="AL204" s="14" t="s">
        <v>562</v>
      </c>
      <c r="AM204" s="14" t="s">
        <v>154</v>
      </c>
      <c r="AN204" s="14">
        <f>IF('Stock Data'!$H$2,IF(ISNUMBER(AK204),AK204,NA()),NA())</f>
        <v>235.15</v>
      </c>
      <c r="AO204" s="14"/>
      <c r="AP204" s="14"/>
      <c r="AQ204" s="14"/>
      <c r="AR204" s="14"/>
      <c r="AS204" s="14"/>
      <c r="AT204" s="14"/>
      <c r="AU204" s="14"/>
      <c r="AV204" s="14"/>
      <c r="AW204" s="14"/>
      <c r="AX204" s="14"/>
      <c r="AY204" s="14"/>
      <c r="AZ204" s="14"/>
      <c r="BA204" s="14"/>
      <c r="BB204" s="14"/>
      <c r="BC204" s="14"/>
      <c r="BD204" s="14"/>
      <c r="BE204" s="14"/>
      <c r="BF204" s="14"/>
      <c r="BG204" s="14"/>
      <c r="BH204" s="14"/>
      <c r="BI204" s="14"/>
    </row>
    <row r="205" spans="1:61">
      <c r="A205" s="14"/>
      <c r="B205" s="14"/>
      <c r="C205" s="14"/>
      <c r="D205" s="167"/>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67">
        <v>46239</v>
      </c>
      <c r="AK205" s="14">
        <v>235.92</v>
      </c>
      <c r="AL205" s="14" t="s">
        <v>562</v>
      </c>
      <c r="AM205" s="14" t="s">
        <v>154</v>
      </c>
      <c r="AN205" s="14">
        <f>IF('Stock Data'!$H$2,IF(ISNUMBER(AK205),AK205,NA()),NA())</f>
        <v>235.92</v>
      </c>
      <c r="AO205" s="14"/>
      <c r="AP205" s="14"/>
      <c r="AQ205" s="14"/>
      <c r="AR205" s="14"/>
      <c r="AS205" s="14"/>
      <c r="AT205" s="14"/>
      <c r="AU205" s="14"/>
      <c r="AV205" s="14"/>
      <c r="AW205" s="14"/>
      <c r="AX205" s="14"/>
      <c r="AY205" s="14"/>
      <c r="AZ205" s="14"/>
      <c r="BA205" s="14"/>
      <c r="BB205" s="14"/>
      <c r="BC205" s="14"/>
      <c r="BD205" s="14"/>
      <c r="BE205" s="14"/>
      <c r="BF205" s="14"/>
      <c r="BG205" s="14"/>
      <c r="BH205" s="14"/>
      <c r="BI205" s="14"/>
    </row>
    <row r="206" spans="1:61">
      <c r="A206" s="14"/>
      <c r="B206" s="14"/>
      <c r="C206" s="14"/>
      <c r="D206" s="167"/>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67">
        <v>46240</v>
      </c>
      <c r="AK206" s="14">
        <v>233.43</v>
      </c>
      <c r="AL206" s="14" t="s">
        <v>562</v>
      </c>
      <c r="AM206" s="14" t="s">
        <v>154</v>
      </c>
      <c r="AN206" s="14">
        <f>IF('Stock Data'!$H$2,IF(ISNUMBER(AK206),AK206,NA()),NA())</f>
        <v>233.43</v>
      </c>
      <c r="AO206" s="14"/>
      <c r="AP206" s="14"/>
      <c r="AQ206" s="14"/>
      <c r="AR206" s="14"/>
      <c r="AS206" s="14"/>
      <c r="AT206" s="14"/>
      <c r="AU206" s="14"/>
      <c r="AV206" s="14"/>
      <c r="AW206" s="14"/>
      <c r="AX206" s="14"/>
      <c r="AY206" s="14"/>
      <c r="AZ206" s="14"/>
      <c r="BA206" s="14"/>
      <c r="BB206" s="14"/>
      <c r="BC206" s="14"/>
      <c r="BD206" s="14"/>
      <c r="BE206" s="14"/>
      <c r="BF206" s="14"/>
      <c r="BG206" s="14"/>
      <c r="BH206" s="14"/>
      <c r="BI206" s="14"/>
    </row>
    <row r="207" spans="1:61">
      <c r="A207" s="14"/>
      <c r="B207" s="14"/>
      <c r="C207" s="14"/>
      <c r="D207" s="167"/>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67">
        <v>46241</v>
      </c>
      <c r="AK207" s="14">
        <v>237.28</v>
      </c>
      <c r="AL207" s="14" t="s">
        <v>562</v>
      </c>
      <c r="AM207" s="14" t="s">
        <v>154</v>
      </c>
      <c r="AN207" s="14">
        <f>IF('Stock Data'!$H$2,IF(ISNUMBER(AK207),AK207,NA()),NA())</f>
        <v>237.28</v>
      </c>
      <c r="AO207" s="14"/>
      <c r="AP207" s="14"/>
      <c r="AQ207" s="14"/>
      <c r="AR207" s="14"/>
      <c r="AS207" s="14"/>
      <c r="AT207" s="14"/>
      <c r="AU207" s="14"/>
      <c r="AV207" s="14"/>
      <c r="AW207" s="14"/>
      <c r="AX207" s="14"/>
      <c r="AY207" s="14"/>
      <c r="AZ207" s="14"/>
      <c r="BA207" s="14"/>
      <c r="BB207" s="14"/>
      <c r="BC207" s="14"/>
      <c r="BD207" s="14"/>
      <c r="BE207" s="14"/>
      <c r="BF207" s="14"/>
      <c r="BG207" s="14"/>
      <c r="BH207" s="14"/>
      <c r="BI207" s="14"/>
    </row>
    <row r="208" spans="1:61">
      <c r="A208" s="14"/>
      <c r="B208" s="14"/>
      <c r="C208" s="14"/>
      <c r="D208" s="167"/>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67">
        <v>46244</v>
      </c>
      <c r="AK208" s="14">
        <v>236.31</v>
      </c>
      <c r="AL208" s="14" t="s">
        <v>562</v>
      </c>
      <c r="AM208" s="14" t="s">
        <v>154</v>
      </c>
      <c r="AN208" s="14">
        <f>IF('Stock Data'!$H$2,IF(ISNUMBER(AK208),AK208,NA()),NA())</f>
        <v>236.31</v>
      </c>
      <c r="AO208" s="14"/>
      <c r="AP208" s="14"/>
      <c r="AQ208" s="14"/>
      <c r="AR208" s="14"/>
      <c r="AS208" s="14"/>
      <c r="AT208" s="14"/>
      <c r="AU208" s="14"/>
      <c r="AV208" s="14"/>
      <c r="AW208" s="14"/>
      <c r="AX208" s="14"/>
      <c r="AY208" s="14"/>
      <c r="AZ208" s="14"/>
      <c r="BA208" s="14"/>
      <c r="BB208" s="14"/>
      <c r="BC208" s="14"/>
      <c r="BD208" s="14"/>
      <c r="BE208" s="14"/>
      <c r="BF208" s="14"/>
      <c r="BG208" s="14"/>
      <c r="BH208" s="14"/>
      <c r="BI208" s="14"/>
    </row>
    <row r="209" spans="1:61">
      <c r="A209" s="14"/>
      <c r="B209" s="14"/>
      <c r="C209" s="14"/>
      <c r="D209" s="167"/>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67">
        <v>46245</v>
      </c>
      <c r="AK209" s="14">
        <v>238.42</v>
      </c>
      <c r="AL209" s="14" t="s">
        <v>562</v>
      </c>
      <c r="AM209" s="14" t="s">
        <v>154</v>
      </c>
      <c r="AN209" s="14">
        <f>IF('Stock Data'!$H$2,IF(ISNUMBER(AK209),AK209,NA()),NA())</f>
        <v>238.42</v>
      </c>
      <c r="AO209" s="14"/>
      <c r="AP209" s="14"/>
      <c r="AQ209" s="14"/>
      <c r="AR209" s="14"/>
      <c r="AS209" s="14"/>
      <c r="AT209" s="14"/>
      <c r="AU209" s="14"/>
      <c r="AV209" s="14"/>
      <c r="AW209" s="14"/>
      <c r="AX209" s="14"/>
      <c r="AY209" s="14"/>
      <c r="AZ209" s="14"/>
      <c r="BA209" s="14"/>
      <c r="BB209" s="14"/>
      <c r="BC209" s="14"/>
      <c r="BD209" s="14"/>
      <c r="BE209" s="14"/>
      <c r="BF209" s="14"/>
      <c r="BG209" s="14"/>
      <c r="BH209" s="14"/>
      <c r="BI209" s="14"/>
    </row>
    <row r="210" spans="1:61">
      <c r="A210" s="14"/>
      <c r="B210" s="14"/>
      <c r="C210" s="14"/>
      <c r="D210" s="167"/>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67">
        <v>46246</v>
      </c>
      <c r="AK210" s="14">
        <v>235.98</v>
      </c>
      <c r="AL210" s="14" t="s">
        <v>562</v>
      </c>
      <c r="AM210" s="14" t="s">
        <v>154</v>
      </c>
      <c r="AN210" s="14">
        <f>IF('Stock Data'!$H$2,IF(ISNUMBER(AK210),AK210,NA()),NA())</f>
        <v>235.98</v>
      </c>
      <c r="AO210" s="14"/>
      <c r="AP210" s="14"/>
      <c r="AQ210" s="14"/>
      <c r="AR210" s="14"/>
      <c r="AS210" s="14"/>
      <c r="AT210" s="14"/>
      <c r="AU210" s="14"/>
      <c r="AV210" s="14"/>
      <c r="AW210" s="14"/>
      <c r="AX210" s="14"/>
      <c r="AY210" s="14"/>
      <c r="AZ210" s="14"/>
      <c r="BA210" s="14"/>
      <c r="BB210" s="14"/>
      <c r="BC210" s="14"/>
      <c r="BD210" s="14"/>
      <c r="BE210" s="14"/>
      <c r="BF210" s="14"/>
      <c r="BG210" s="14"/>
      <c r="BH210" s="14"/>
      <c r="BI210" s="14"/>
    </row>
    <row r="211" spans="1:61">
      <c r="A211" s="14"/>
      <c r="B211" s="14"/>
      <c r="C211" s="14"/>
      <c r="D211" s="167"/>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67">
        <v>46247</v>
      </c>
      <c r="AK211" s="14">
        <v>237.14</v>
      </c>
      <c r="AL211" s="14" t="s">
        <v>562</v>
      </c>
      <c r="AM211" s="14" t="s">
        <v>154</v>
      </c>
      <c r="AN211" s="14">
        <f>IF('Stock Data'!$H$2,IF(ISNUMBER(AK211),AK211,NA()),NA())</f>
        <v>237.14</v>
      </c>
      <c r="AO211" s="14"/>
      <c r="AP211" s="14"/>
      <c r="AQ211" s="14"/>
      <c r="AR211" s="14"/>
      <c r="AS211" s="14"/>
      <c r="AT211" s="14"/>
      <c r="AU211" s="14"/>
      <c r="AV211" s="14"/>
      <c r="AW211" s="14"/>
      <c r="AX211" s="14"/>
      <c r="AY211" s="14"/>
      <c r="AZ211" s="14"/>
      <c r="BA211" s="14"/>
      <c r="BB211" s="14"/>
      <c r="BC211" s="14"/>
      <c r="BD211" s="14"/>
      <c r="BE211" s="14"/>
      <c r="BF211" s="14"/>
      <c r="BG211" s="14"/>
      <c r="BH211" s="14"/>
      <c r="BI211" s="14"/>
    </row>
    <row r="212" spans="1:61">
      <c r="A212" s="14"/>
      <c r="B212" s="14"/>
      <c r="C212" s="14"/>
      <c r="D212" s="167"/>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67">
        <v>46248</v>
      </c>
      <c r="AK212" s="14">
        <v>234.32</v>
      </c>
      <c r="AL212" s="14" t="s">
        <v>562</v>
      </c>
      <c r="AM212" s="14" t="s">
        <v>154</v>
      </c>
      <c r="AN212" s="14">
        <f>IF('Stock Data'!$H$2,IF(ISNUMBER(AK212),AK212,NA()),NA())</f>
        <v>234.32</v>
      </c>
      <c r="AO212" s="14"/>
      <c r="AP212" s="14"/>
      <c r="AQ212" s="14"/>
      <c r="AR212" s="14"/>
      <c r="AS212" s="14"/>
      <c r="AT212" s="14"/>
      <c r="AU212" s="14"/>
      <c r="AV212" s="14"/>
      <c r="AW212" s="14"/>
      <c r="AX212" s="14"/>
      <c r="AY212" s="14"/>
      <c r="AZ212" s="14"/>
      <c r="BA212" s="14"/>
      <c r="BB212" s="14"/>
      <c r="BC212" s="14"/>
      <c r="BD212" s="14"/>
      <c r="BE212" s="14"/>
      <c r="BF212" s="14"/>
      <c r="BG212" s="14"/>
      <c r="BH212" s="14"/>
      <c r="BI212" s="14"/>
    </row>
    <row r="213" spans="1:61">
      <c r="A213" s="14"/>
      <c r="B213" s="14"/>
      <c r="C213" s="14"/>
      <c r="D213" s="167"/>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67">
        <v>46251</v>
      </c>
      <c r="AK213" s="14">
        <v>228.85</v>
      </c>
      <c r="AL213" s="14" t="s">
        <v>562</v>
      </c>
      <c r="AM213" s="14" t="s">
        <v>154</v>
      </c>
      <c r="AN213" s="14">
        <f>IF('Stock Data'!$H$2,IF(ISNUMBER(AK213),AK213,NA()),NA())</f>
        <v>228.85</v>
      </c>
      <c r="AO213" s="14"/>
      <c r="AP213" s="14"/>
      <c r="AQ213" s="14"/>
      <c r="AR213" s="14"/>
      <c r="AS213" s="14"/>
      <c r="AT213" s="14"/>
      <c r="AU213" s="14"/>
      <c r="AV213" s="14"/>
      <c r="AW213" s="14"/>
      <c r="AX213" s="14"/>
      <c r="AY213" s="14"/>
      <c r="AZ213" s="14"/>
      <c r="BA213" s="14"/>
      <c r="BB213" s="14"/>
      <c r="BC213" s="14"/>
      <c r="BD213" s="14"/>
      <c r="BE213" s="14"/>
      <c r="BF213" s="14"/>
      <c r="BG213" s="14"/>
      <c r="BH213" s="14"/>
      <c r="BI213" s="14"/>
    </row>
    <row r="214" spans="1:61">
      <c r="A214" s="14"/>
      <c r="B214" s="14"/>
      <c r="C214" s="14"/>
      <c r="D214" s="167"/>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67">
        <v>46252</v>
      </c>
      <c r="AK214" s="14">
        <v>232.67</v>
      </c>
      <c r="AL214" s="14" t="s">
        <v>562</v>
      </c>
      <c r="AM214" s="14" t="s">
        <v>154</v>
      </c>
      <c r="AN214" s="14">
        <f>IF('Stock Data'!$H$2,IF(ISNUMBER(AK214),AK214,NA()),NA())</f>
        <v>232.67</v>
      </c>
      <c r="AO214" s="14"/>
      <c r="AP214" s="14"/>
      <c r="AQ214" s="14"/>
      <c r="AR214" s="14"/>
      <c r="AS214" s="14"/>
      <c r="AT214" s="14"/>
      <c r="AU214" s="14"/>
      <c r="AV214" s="14"/>
      <c r="AW214" s="14"/>
      <c r="AX214" s="14"/>
      <c r="AY214" s="14"/>
      <c r="AZ214" s="14"/>
      <c r="BA214" s="14"/>
      <c r="BB214" s="14"/>
      <c r="BC214" s="14"/>
      <c r="BD214" s="14"/>
      <c r="BE214" s="14"/>
      <c r="BF214" s="14"/>
      <c r="BG214" s="14"/>
      <c r="BH214" s="14"/>
      <c r="BI214" s="14"/>
    </row>
    <row r="215" spans="1:61">
      <c r="A215" s="14"/>
      <c r="B215" s="14"/>
      <c r="C215" s="14"/>
      <c r="D215" s="167"/>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67">
        <v>46253</v>
      </c>
      <c r="AK215" s="14">
        <v>237.16</v>
      </c>
      <c r="AL215" s="14" t="s">
        <v>562</v>
      </c>
      <c r="AM215" s="14" t="s">
        <v>154</v>
      </c>
      <c r="AN215" s="14">
        <f>IF('Stock Data'!$H$2,IF(ISNUMBER(AK215),AK215,NA()),NA())</f>
        <v>237.16</v>
      </c>
      <c r="AO215" s="14"/>
      <c r="AP215" s="14"/>
      <c r="AQ215" s="14"/>
      <c r="AR215" s="14"/>
      <c r="AS215" s="14"/>
      <c r="AT215" s="14"/>
      <c r="AU215" s="14"/>
      <c r="AV215" s="14"/>
      <c r="AW215" s="14"/>
      <c r="AX215" s="14"/>
      <c r="AY215" s="14"/>
      <c r="AZ215" s="14"/>
      <c r="BA215" s="14"/>
      <c r="BB215" s="14"/>
      <c r="BC215" s="14"/>
      <c r="BD215" s="14"/>
      <c r="BE215" s="14"/>
      <c r="BF215" s="14"/>
      <c r="BG215" s="14"/>
      <c r="BH215" s="14"/>
      <c r="BI215" s="14"/>
    </row>
    <row r="216" spans="1:61">
      <c r="A216" s="14"/>
      <c r="B216" s="14"/>
      <c r="C216" s="14"/>
      <c r="D216" s="167"/>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67">
        <v>46254</v>
      </c>
      <c r="AK216" s="14">
        <v>233.69</v>
      </c>
      <c r="AL216" s="14" t="s">
        <v>562</v>
      </c>
      <c r="AM216" s="14" t="s">
        <v>154</v>
      </c>
      <c r="AN216" s="14">
        <f>IF('Stock Data'!$H$2,IF(ISNUMBER(AK216),AK216,NA()),NA())</f>
        <v>233.69</v>
      </c>
      <c r="AO216" s="14"/>
      <c r="AP216" s="14"/>
      <c r="AQ216" s="14"/>
      <c r="AR216" s="14"/>
      <c r="AS216" s="14"/>
      <c r="AT216" s="14"/>
      <c r="AU216" s="14"/>
      <c r="AV216" s="14"/>
      <c r="AW216" s="14"/>
      <c r="AX216" s="14"/>
      <c r="AY216" s="14"/>
      <c r="AZ216" s="14"/>
      <c r="BA216" s="14"/>
      <c r="BB216" s="14"/>
      <c r="BC216" s="14"/>
      <c r="BD216" s="14"/>
      <c r="BE216" s="14"/>
      <c r="BF216" s="14"/>
      <c r="BG216" s="14"/>
      <c r="BH216" s="14"/>
      <c r="BI216" s="14"/>
    </row>
    <row r="217" spans="1:61">
      <c r="A217" s="14"/>
      <c r="B217" s="14"/>
      <c r="C217" s="14"/>
      <c r="D217" s="167"/>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67">
        <v>46255</v>
      </c>
      <c r="AK217" s="14">
        <v>235.68</v>
      </c>
      <c r="AL217" s="14" t="s">
        <v>562</v>
      </c>
      <c r="AM217" s="14" t="s">
        <v>154</v>
      </c>
      <c r="AN217" s="14">
        <f>IF('Stock Data'!$H$2,IF(ISNUMBER(AK217),AK217,NA()),NA())</f>
        <v>235.68</v>
      </c>
      <c r="AO217" s="14"/>
      <c r="AP217" s="14"/>
      <c r="AQ217" s="14"/>
      <c r="AR217" s="14"/>
      <c r="AS217" s="14"/>
      <c r="AT217" s="14"/>
      <c r="AU217" s="14"/>
      <c r="AV217" s="14"/>
      <c r="AW217" s="14"/>
      <c r="AX217" s="14"/>
      <c r="AY217" s="14"/>
      <c r="AZ217" s="14"/>
      <c r="BA217" s="14"/>
      <c r="BB217" s="14"/>
      <c r="BC217" s="14"/>
      <c r="BD217" s="14"/>
      <c r="BE217" s="14"/>
      <c r="BF217" s="14"/>
      <c r="BG217" s="14"/>
      <c r="BH217" s="14"/>
      <c r="BI217" s="14"/>
    </row>
    <row r="218" spans="1:61">
      <c r="A218" s="14"/>
      <c r="B218" s="14"/>
      <c r="C218" s="14"/>
      <c r="D218" s="167"/>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67">
        <v>46258</v>
      </c>
      <c r="AK218" s="14">
        <v>231.04</v>
      </c>
      <c r="AL218" s="14" t="s">
        <v>562</v>
      </c>
      <c r="AM218" s="14" t="s">
        <v>154</v>
      </c>
      <c r="AN218" s="14">
        <f>IF('Stock Data'!$H$2,IF(ISNUMBER(AK218),AK218,NA()),NA())</f>
        <v>231.04</v>
      </c>
      <c r="AO218" s="14"/>
      <c r="AP218" s="14"/>
      <c r="AQ218" s="14"/>
      <c r="AR218" s="14"/>
      <c r="AS218" s="14"/>
      <c r="AT218" s="14"/>
      <c r="AU218" s="14"/>
      <c r="AV218" s="14"/>
      <c r="AW218" s="14"/>
      <c r="AX218" s="14"/>
      <c r="AY218" s="14"/>
      <c r="AZ218" s="14"/>
      <c r="BA218" s="14"/>
      <c r="BB218" s="14"/>
      <c r="BC218" s="14"/>
      <c r="BD218" s="14"/>
      <c r="BE218" s="14"/>
      <c r="BF218" s="14"/>
      <c r="BG218" s="14"/>
      <c r="BH218" s="14"/>
      <c r="BI218" s="14"/>
    </row>
    <row r="219" spans="1:61">
      <c r="A219" s="14"/>
      <c r="B219" s="14"/>
      <c r="C219" s="14"/>
      <c r="D219" s="167"/>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67">
        <v>46259</v>
      </c>
      <c r="AK219" s="14">
        <v>234.19</v>
      </c>
      <c r="AL219" s="14" t="s">
        <v>562</v>
      </c>
      <c r="AM219" s="14" t="s">
        <v>154</v>
      </c>
      <c r="AN219" s="14">
        <f>IF('Stock Data'!$H$2,IF(ISNUMBER(AK219),AK219,NA()),NA())</f>
        <v>234.19</v>
      </c>
      <c r="AO219" s="14"/>
      <c r="AP219" s="14"/>
      <c r="AQ219" s="14"/>
      <c r="AR219" s="14"/>
      <c r="AS219" s="14"/>
      <c r="AT219" s="14"/>
      <c r="AU219" s="14"/>
      <c r="AV219" s="14"/>
      <c r="AW219" s="14"/>
      <c r="AX219" s="14"/>
      <c r="AY219" s="14"/>
      <c r="AZ219" s="14"/>
      <c r="BA219" s="14"/>
      <c r="BB219" s="14"/>
      <c r="BC219" s="14"/>
      <c r="BD219" s="14"/>
      <c r="BE219" s="14"/>
      <c r="BF219" s="14"/>
      <c r="BG219" s="14"/>
      <c r="BH219" s="14"/>
      <c r="BI219" s="14"/>
    </row>
    <row r="220" spans="1:61">
      <c r="A220" s="14"/>
      <c r="B220" s="14"/>
      <c r="C220" s="14"/>
      <c r="D220" s="167"/>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67">
        <v>46260</v>
      </c>
      <c r="AK220" s="14">
        <v>229.87</v>
      </c>
      <c r="AL220" s="14" t="s">
        <v>562</v>
      </c>
      <c r="AM220" s="14" t="s">
        <v>154</v>
      </c>
      <c r="AN220" s="14">
        <f>IF('Stock Data'!$H$2,IF(ISNUMBER(AK220),AK220,NA()),NA())</f>
        <v>229.87</v>
      </c>
      <c r="AO220" s="14"/>
      <c r="AP220" s="14"/>
      <c r="AQ220" s="14"/>
      <c r="AR220" s="14"/>
      <c r="AS220" s="14"/>
      <c r="AT220" s="14"/>
      <c r="AU220" s="14"/>
      <c r="AV220" s="14"/>
      <c r="AW220" s="14"/>
      <c r="AX220" s="14"/>
      <c r="AY220" s="14"/>
      <c r="AZ220" s="14"/>
      <c r="BA220" s="14"/>
      <c r="BB220" s="14"/>
      <c r="BC220" s="14"/>
      <c r="BD220" s="14"/>
      <c r="BE220" s="14"/>
      <c r="BF220" s="14"/>
      <c r="BG220" s="14"/>
      <c r="BH220" s="14"/>
      <c r="BI220" s="14"/>
    </row>
    <row r="221" spans="1:61">
      <c r="A221" s="14"/>
      <c r="B221" s="14"/>
      <c r="C221" s="14"/>
      <c r="D221" s="167"/>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67">
        <v>46261</v>
      </c>
      <c r="AK221" s="14">
        <v>238.79</v>
      </c>
      <c r="AL221" s="14" t="s">
        <v>562</v>
      </c>
      <c r="AM221" s="14" t="s">
        <v>154</v>
      </c>
      <c r="AN221" s="14">
        <f>IF('Stock Data'!$H$2,IF(ISNUMBER(AK221),AK221,NA()),NA())</f>
        <v>238.79</v>
      </c>
      <c r="AO221" s="14"/>
      <c r="AP221" s="14"/>
      <c r="AQ221" s="14"/>
      <c r="AR221" s="14"/>
      <c r="AS221" s="14"/>
      <c r="AT221" s="14"/>
      <c r="AU221" s="14"/>
      <c r="AV221" s="14"/>
      <c r="AW221" s="14"/>
      <c r="AX221" s="14"/>
      <c r="AY221" s="14"/>
      <c r="AZ221" s="14"/>
      <c r="BA221" s="14"/>
      <c r="BB221" s="14"/>
      <c r="BC221" s="14"/>
      <c r="BD221" s="14"/>
      <c r="BE221" s="14"/>
      <c r="BF221" s="14"/>
      <c r="BG221" s="14"/>
      <c r="BH221" s="14"/>
      <c r="BI221" s="14"/>
    </row>
    <row r="222" spans="1:61">
      <c r="A222" s="14"/>
      <c r="B222" s="14"/>
      <c r="C222" s="14"/>
      <c r="D222" s="167"/>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67">
        <v>46262</v>
      </c>
      <c r="AK222" s="14">
        <v>235.59</v>
      </c>
      <c r="AL222" s="14" t="s">
        <v>562</v>
      </c>
      <c r="AM222" s="14" t="s">
        <v>154</v>
      </c>
      <c r="AN222" s="14">
        <f>IF('Stock Data'!$H$2,IF(ISNUMBER(AK222),AK222,NA()),NA())</f>
        <v>235.59</v>
      </c>
      <c r="AO222" s="14"/>
      <c r="AP222" s="14"/>
      <c r="AQ222" s="14"/>
      <c r="AR222" s="14"/>
      <c r="AS222" s="14"/>
      <c r="AT222" s="14"/>
      <c r="AU222" s="14"/>
      <c r="AV222" s="14"/>
      <c r="AW222" s="14"/>
      <c r="AX222" s="14"/>
      <c r="AY222" s="14"/>
      <c r="AZ222" s="14"/>
      <c r="BA222" s="14"/>
      <c r="BB222" s="14"/>
      <c r="BC222" s="14"/>
      <c r="BD222" s="14"/>
      <c r="BE222" s="14"/>
      <c r="BF222" s="14"/>
      <c r="BG222" s="14"/>
      <c r="BH222" s="14"/>
      <c r="BI222" s="14"/>
    </row>
    <row r="223" spans="1:61">
      <c r="A223" s="14"/>
      <c r="B223" s="14"/>
      <c r="C223" s="14"/>
      <c r="D223" s="167"/>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67">
        <v>46265</v>
      </c>
      <c r="AK223" s="14">
        <v>233.87</v>
      </c>
      <c r="AL223" s="14" t="s">
        <v>562</v>
      </c>
      <c r="AM223" s="14" t="s">
        <v>154</v>
      </c>
      <c r="AN223" s="14">
        <f>IF('Stock Data'!$H$2,IF(ISNUMBER(AK223),AK223,NA()),NA())</f>
        <v>233.87</v>
      </c>
      <c r="AO223" s="14"/>
      <c r="AP223" s="14"/>
      <c r="AQ223" s="14"/>
      <c r="AR223" s="14"/>
      <c r="AS223" s="14"/>
      <c r="AT223" s="14"/>
      <c r="AU223" s="14"/>
      <c r="AV223" s="14"/>
      <c r="AW223" s="14"/>
      <c r="AX223" s="14"/>
      <c r="AY223" s="14"/>
      <c r="AZ223" s="14"/>
      <c r="BA223" s="14"/>
      <c r="BB223" s="14"/>
      <c r="BC223" s="14"/>
      <c r="BD223" s="14"/>
      <c r="BE223" s="14"/>
      <c r="BF223" s="14"/>
      <c r="BG223" s="14"/>
      <c r="BH223" s="14"/>
      <c r="BI223" s="14"/>
    </row>
    <row r="224" spans="1:61">
      <c r="A224" s="14"/>
      <c r="B224" s="14"/>
      <c r="C224" s="14"/>
      <c r="D224" s="167"/>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67">
        <v>46266</v>
      </c>
      <c r="AK224" s="14">
        <v>231.4</v>
      </c>
      <c r="AL224" s="14" t="s">
        <v>562</v>
      </c>
      <c r="AM224" s="14" t="s">
        <v>154</v>
      </c>
      <c r="AN224" s="14">
        <f>IF('Stock Data'!$H$2,IF(ISNUMBER(AK224),AK224,NA()),NA())</f>
        <v>231.4</v>
      </c>
      <c r="AO224" s="14"/>
      <c r="AP224" s="14"/>
      <c r="AQ224" s="14"/>
      <c r="AR224" s="14"/>
      <c r="AS224" s="14"/>
      <c r="AT224" s="14"/>
      <c r="AU224" s="14"/>
      <c r="AV224" s="14"/>
      <c r="AW224" s="14"/>
      <c r="AX224" s="14"/>
      <c r="AY224" s="14"/>
      <c r="AZ224" s="14"/>
      <c r="BA224" s="14"/>
      <c r="BB224" s="14"/>
      <c r="BC224" s="14"/>
      <c r="BD224" s="14"/>
      <c r="BE224" s="14"/>
      <c r="BF224" s="14"/>
      <c r="BG224" s="14"/>
      <c r="BH224" s="14"/>
      <c r="BI224" s="14"/>
    </row>
    <row r="225" spans="1:61">
      <c r="A225" s="14"/>
      <c r="B225" s="14"/>
      <c r="C225" s="14"/>
      <c r="D225" s="167"/>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67">
        <v>46267</v>
      </c>
      <c r="AK225" s="14">
        <v>231.7</v>
      </c>
      <c r="AL225" s="14" t="s">
        <v>562</v>
      </c>
      <c r="AM225" s="14" t="s">
        <v>154</v>
      </c>
      <c r="AN225" s="14">
        <f>IF('Stock Data'!$H$2,IF(ISNUMBER(AK225),AK225,NA()),NA())</f>
        <v>231.7</v>
      </c>
      <c r="AO225" s="14"/>
      <c r="AP225" s="14"/>
      <c r="AQ225" s="14"/>
      <c r="AR225" s="14"/>
      <c r="AS225" s="14"/>
      <c r="AT225" s="14"/>
      <c r="AU225" s="14"/>
      <c r="AV225" s="14"/>
      <c r="AW225" s="14"/>
      <c r="AX225" s="14"/>
      <c r="AY225" s="14"/>
      <c r="AZ225" s="14"/>
      <c r="BA225" s="14"/>
      <c r="BB225" s="14"/>
      <c r="BC225" s="14"/>
      <c r="BD225" s="14"/>
      <c r="BE225" s="14"/>
      <c r="BF225" s="14"/>
      <c r="BG225" s="14"/>
      <c r="BH225" s="14"/>
      <c r="BI225" s="14"/>
    </row>
    <row r="226" spans="1:61">
      <c r="A226" s="14"/>
      <c r="B226" s="14"/>
      <c r="C226" s="14"/>
      <c r="D226" s="167"/>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67">
        <v>46268</v>
      </c>
      <c r="AK226" s="14">
        <v>234.71</v>
      </c>
      <c r="AL226" s="14" t="s">
        <v>562</v>
      </c>
      <c r="AM226" s="14" t="s">
        <v>154</v>
      </c>
      <c r="AN226" s="14">
        <f>IF('Stock Data'!$H$2,IF(ISNUMBER(AK226),AK226,NA()),NA())</f>
        <v>234.71</v>
      </c>
      <c r="AO226" s="14"/>
      <c r="AP226" s="14"/>
      <c r="AQ226" s="14"/>
      <c r="AR226" s="14"/>
      <c r="AS226" s="14"/>
      <c r="AT226" s="14"/>
      <c r="AU226" s="14"/>
      <c r="AV226" s="14"/>
      <c r="AW226" s="14"/>
      <c r="AX226" s="14"/>
      <c r="AY226" s="14"/>
      <c r="AZ226" s="14"/>
      <c r="BA226" s="14"/>
      <c r="BB226" s="14"/>
      <c r="BC226" s="14"/>
      <c r="BD226" s="14"/>
      <c r="BE226" s="14"/>
      <c r="BF226" s="14"/>
      <c r="BG226" s="14"/>
      <c r="BH226" s="14"/>
      <c r="BI226" s="14"/>
    </row>
    <row r="227" spans="1:61">
      <c r="A227" s="14"/>
      <c r="B227" s="14"/>
      <c r="C227" s="14"/>
      <c r="D227" s="167"/>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67">
        <v>46269</v>
      </c>
      <c r="AK227" s="14">
        <v>234.89</v>
      </c>
      <c r="AL227" s="14" t="s">
        <v>562</v>
      </c>
      <c r="AM227" s="14" t="s">
        <v>154</v>
      </c>
      <c r="AN227" s="14">
        <f>IF('Stock Data'!$H$2,IF(ISNUMBER(AK227),AK227,NA()),NA())</f>
        <v>234.89</v>
      </c>
      <c r="AO227" s="14"/>
      <c r="AP227" s="14"/>
      <c r="AQ227" s="14"/>
      <c r="AR227" s="14"/>
      <c r="AS227" s="14"/>
      <c r="AT227" s="14"/>
      <c r="AU227" s="14"/>
      <c r="AV227" s="14"/>
      <c r="AW227" s="14"/>
      <c r="AX227" s="14"/>
      <c r="AY227" s="14"/>
      <c r="AZ227" s="14"/>
      <c r="BA227" s="14"/>
      <c r="BB227" s="14"/>
      <c r="BC227" s="14"/>
      <c r="BD227" s="14"/>
      <c r="BE227" s="14"/>
      <c r="BF227" s="14"/>
      <c r="BG227" s="14"/>
      <c r="BH227" s="14"/>
      <c r="BI227" s="14"/>
    </row>
    <row r="228" spans="1:61">
      <c r="A228" s="14"/>
      <c r="B228" s="14"/>
      <c r="C228" s="14"/>
      <c r="D228" s="167"/>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67">
        <v>46273</v>
      </c>
      <c r="AK228" s="14">
        <v>232.09</v>
      </c>
      <c r="AL228" s="14" t="s">
        <v>562</v>
      </c>
      <c r="AM228" s="14" t="s">
        <v>154</v>
      </c>
      <c r="AN228" s="14">
        <f>IF('Stock Data'!$H$2,IF(ISNUMBER(AK228),AK228,NA()),NA())</f>
        <v>232.09</v>
      </c>
      <c r="AO228" s="14"/>
      <c r="AP228" s="14"/>
      <c r="AQ228" s="14"/>
      <c r="AR228" s="14"/>
      <c r="AS228" s="14"/>
      <c r="AT228" s="14"/>
      <c r="AU228" s="14"/>
      <c r="AV228" s="14"/>
      <c r="AW228" s="14"/>
      <c r="AX228" s="14"/>
      <c r="AY228" s="14"/>
      <c r="AZ228" s="14"/>
      <c r="BA228" s="14"/>
      <c r="BB228" s="14"/>
      <c r="BC228" s="14"/>
      <c r="BD228" s="14"/>
      <c r="BE228" s="14"/>
      <c r="BF228" s="14"/>
      <c r="BG228" s="14"/>
      <c r="BH228" s="14"/>
      <c r="BI228" s="14"/>
    </row>
    <row r="229" spans="1:61">
      <c r="A229" s="14"/>
      <c r="B229" s="14"/>
      <c r="C229" s="14"/>
      <c r="D229" s="167"/>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67">
        <v>46274</v>
      </c>
      <c r="AK229" s="14">
        <v>239.94</v>
      </c>
      <c r="AL229" s="14" t="s">
        <v>562</v>
      </c>
      <c r="AM229" s="14" t="s">
        <v>154</v>
      </c>
      <c r="AN229" s="14">
        <f>IF('Stock Data'!$H$2,IF(ISNUMBER(AK229),AK229,NA()),NA())</f>
        <v>239.94</v>
      </c>
      <c r="AO229" s="14"/>
      <c r="AP229" s="14"/>
      <c r="AQ229" s="14"/>
      <c r="AR229" s="14"/>
      <c r="AS229" s="14"/>
      <c r="AT229" s="14"/>
      <c r="AU229" s="14"/>
      <c r="AV229" s="14"/>
      <c r="AW229" s="14"/>
      <c r="AX229" s="14"/>
      <c r="AY229" s="14"/>
      <c r="AZ229" s="14"/>
      <c r="BA229" s="14"/>
      <c r="BB229" s="14"/>
      <c r="BC229" s="14"/>
      <c r="BD229" s="14"/>
      <c r="BE229" s="14"/>
      <c r="BF229" s="14"/>
      <c r="BG229" s="14"/>
      <c r="BH229" s="14"/>
      <c r="BI229" s="14"/>
    </row>
    <row r="230" spans="1:61">
      <c r="A230" s="14"/>
      <c r="B230" s="14"/>
      <c r="C230" s="14"/>
      <c r="D230" s="167"/>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67">
        <v>46275</v>
      </c>
      <c r="AK230" s="14">
        <v>234.02</v>
      </c>
      <c r="AL230" s="14" t="s">
        <v>562</v>
      </c>
      <c r="AM230" s="14" t="s">
        <v>154</v>
      </c>
      <c r="AN230" s="14">
        <f>IF('Stock Data'!$H$2,IF(ISNUMBER(AK230),AK230,NA()),NA())</f>
        <v>234.02</v>
      </c>
      <c r="AO230" s="14"/>
      <c r="AP230" s="14"/>
      <c r="AQ230" s="14"/>
      <c r="AR230" s="14"/>
      <c r="AS230" s="14"/>
      <c r="AT230" s="14"/>
      <c r="AU230" s="14"/>
      <c r="AV230" s="14"/>
      <c r="AW230" s="14"/>
      <c r="AX230" s="14"/>
      <c r="AY230" s="14"/>
      <c r="AZ230" s="14"/>
      <c r="BA230" s="14"/>
      <c r="BB230" s="14"/>
      <c r="BC230" s="14"/>
      <c r="BD230" s="14"/>
      <c r="BE230" s="14"/>
      <c r="BF230" s="14"/>
      <c r="BG230" s="14"/>
      <c r="BH230" s="14"/>
      <c r="BI230" s="14"/>
    </row>
    <row r="231" spans="1:61">
      <c r="A231" s="14"/>
      <c r="B231" s="14"/>
      <c r="C231" s="14"/>
      <c r="D231" s="167"/>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67">
        <v>46276</v>
      </c>
      <c r="AK231" s="14">
        <v>243.29</v>
      </c>
      <c r="AL231" s="14" t="s">
        <v>562</v>
      </c>
      <c r="AM231" s="14" t="s">
        <v>154</v>
      </c>
      <c r="AN231" s="14">
        <f>IF('Stock Data'!$H$2,IF(ISNUMBER(AK231),AK231,NA()),NA())</f>
        <v>243.29</v>
      </c>
      <c r="AO231" s="14"/>
      <c r="AP231" s="14"/>
      <c r="AQ231" s="14"/>
      <c r="AR231" s="14"/>
      <c r="AS231" s="14"/>
      <c r="AT231" s="14"/>
      <c r="AU231" s="14"/>
      <c r="AV231" s="14"/>
      <c r="AW231" s="14"/>
      <c r="AX231" s="14"/>
      <c r="AY231" s="14"/>
      <c r="AZ231" s="14"/>
      <c r="BA231" s="14"/>
      <c r="BB231" s="14"/>
      <c r="BC231" s="14"/>
      <c r="BD231" s="14"/>
      <c r="BE231" s="14"/>
      <c r="BF231" s="14"/>
      <c r="BG231" s="14"/>
      <c r="BH231" s="14"/>
      <c r="BI231" s="14"/>
    </row>
    <row r="232" spans="1:61">
      <c r="A232" s="14"/>
      <c r="B232" s="14"/>
      <c r="C232" s="14"/>
      <c r="D232" s="167"/>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67">
        <v>46279</v>
      </c>
      <c r="AK232" s="14">
        <v>249.09</v>
      </c>
      <c r="AL232" s="14" t="s">
        <v>562</v>
      </c>
      <c r="AM232" s="14" t="s">
        <v>154</v>
      </c>
      <c r="AN232" s="14">
        <f>IF('Stock Data'!$H$2,IF(ISNUMBER(AK232),AK232,NA()),NA())</f>
        <v>249.09</v>
      </c>
      <c r="AO232" s="14"/>
      <c r="AP232" s="14"/>
      <c r="AQ232" s="14"/>
      <c r="AR232" s="14"/>
      <c r="AS232" s="14"/>
      <c r="AT232" s="14"/>
      <c r="AU232" s="14"/>
      <c r="AV232" s="14"/>
      <c r="AW232" s="14"/>
      <c r="AX232" s="14"/>
      <c r="AY232" s="14"/>
      <c r="AZ232" s="14"/>
      <c r="BA232" s="14"/>
      <c r="BB232" s="14"/>
      <c r="BC232" s="14"/>
      <c r="BD232" s="14"/>
      <c r="BE232" s="14"/>
      <c r="BF232" s="14"/>
      <c r="BG232" s="14"/>
      <c r="BH232" s="14"/>
      <c r="BI232" s="14"/>
    </row>
    <row r="233" spans="1:61">
      <c r="A233" s="14"/>
      <c r="B233" s="14"/>
      <c r="C233" s="14"/>
      <c r="D233" s="167"/>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67">
        <v>46280</v>
      </c>
      <c r="AK233" s="14">
        <v>248.37</v>
      </c>
      <c r="AL233" s="14" t="s">
        <v>562</v>
      </c>
      <c r="AM233" s="14" t="s">
        <v>154</v>
      </c>
      <c r="AN233" s="14">
        <f>IF('Stock Data'!$H$2,IF(ISNUMBER(AK233),AK233,NA()),NA())</f>
        <v>248.37</v>
      </c>
      <c r="AO233" s="14"/>
      <c r="AP233" s="14"/>
      <c r="AQ233" s="14"/>
      <c r="AR233" s="14"/>
      <c r="AS233" s="14"/>
      <c r="AT233" s="14"/>
      <c r="AU233" s="14"/>
      <c r="AV233" s="14"/>
      <c r="AW233" s="14"/>
      <c r="AX233" s="14"/>
      <c r="AY233" s="14"/>
      <c r="AZ233" s="14"/>
      <c r="BA233" s="14"/>
      <c r="BB233" s="14"/>
      <c r="BC233" s="14"/>
      <c r="BD233" s="14"/>
      <c r="BE233" s="14"/>
      <c r="BF233" s="14"/>
      <c r="BG233" s="14"/>
      <c r="BH233" s="14"/>
      <c r="BI233" s="14"/>
    </row>
    <row r="234" spans="1:61">
      <c r="A234" s="14"/>
      <c r="B234" s="14"/>
      <c r="C234" s="14"/>
      <c r="D234" s="167"/>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67">
        <v>46281</v>
      </c>
      <c r="AK234" s="14">
        <v>237.49</v>
      </c>
      <c r="AL234" s="14" t="s">
        <v>562</v>
      </c>
      <c r="AM234" s="14" t="s">
        <v>154</v>
      </c>
      <c r="AN234" s="14">
        <f>IF('Stock Data'!$H$2,IF(ISNUMBER(AK234),AK234,NA()),NA())</f>
        <v>237.49</v>
      </c>
      <c r="AO234" s="14"/>
      <c r="AP234" s="14"/>
      <c r="AQ234" s="14"/>
      <c r="AR234" s="14"/>
      <c r="AS234" s="14"/>
      <c r="AT234" s="14"/>
      <c r="AU234" s="14"/>
      <c r="AV234" s="14"/>
      <c r="AW234" s="14"/>
      <c r="AX234" s="14"/>
      <c r="AY234" s="14"/>
      <c r="AZ234" s="14"/>
      <c r="BA234" s="14"/>
      <c r="BB234" s="14"/>
      <c r="BC234" s="14"/>
      <c r="BD234" s="14"/>
      <c r="BE234" s="14"/>
      <c r="BF234" s="14"/>
      <c r="BG234" s="14"/>
      <c r="BH234" s="14"/>
      <c r="BI234" s="14"/>
    </row>
    <row r="235" spans="1:61">
      <c r="A235" s="14"/>
      <c r="B235" s="14"/>
      <c r="C235" s="14"/>
      <c r="D235" s="167"/>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67">
        <v>46282</v>
      </c>
      <c r="AK235" s="14">
        <v>237.75</v>
      </c>
      <c r="AL235" s="14" t="s">
        <v>562</v>
      </c>
      <c r="AM235" s="14" t="s">
        <v>154</v>
      </c>
      <c r="AN235" s="14">
        <f>IF('Stock Data'!$H$2,IF(ISNUMBER(AK235),AK235,NA()),NA())</f>
        <v>237.75</v>
      </c>
      <c r="AO235" s="14"/>
      <c r="AP235" s="14"/>
      <c r="AQ235" s="14"/>
      <c r="AR235" s="14"/>
      <c r="AS235" s="14"/>
      <c r="AT235" s="14"/>
      <c r="AU235" s="14"/>
      <c r="AV235" s="14"/>
      <c r="AW235" s="14"/>
      <c r="AX235" s="14"/>
      <c r="AY235" s="14"/>
      <c r="AZ235" s="14"/>
      <c r="BA235" s="14"/>
      <c r="BB235" s="14"/>
      <c r="BC235" s="14"/>
      <c r="BD235" s="14"/>
      <c r="BE235" s="14"/>
      <c r="BF235" s="14"/>
      <c r="BG235" s="14"/>
      <c r="BH235" s="14"/>
      <c r="BI235" s="14"/>
    </row>
    <row r="236" spans="1:61">
      <c r="A236" s="14"/>
      <c r="B236" s="14"/>
      <c r="C236" s="14"/>
      <c r="D236" s="167"/>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67">
        <v>46283</v>
      </c>
      <c r="AK236" s="14">
        <v>229.55</v>
      </c>
      <c r="AL236" s="14" t="s">
        <v>562</v>
      </c>
      <c r="AM236" s="14" t="s">
        <v>154</v>
      </c>
      <c r="AN236" s="14">
        <f>IF('Stock Data'!$H$2,IF(ISNUMBER(AK236),AK236,NA()),NA())</f>
        <v>229.55</v>
      </c>
      <c r="AO236" s="14"/>
      <c r="AP236" s="14"/>
      <c r="AQ236" s="14"/>
      <c r="AR236" s="14"/>
      <c r="AS236" s="14"/>
      <c r="AT236" s="14"/>
      <c r="AU236" s="14"/>
      <c r="AV236" s="14"/>
      <c r="AW236" s="14"/>
      <c r="AX236" s="14"/>
      <c r="AY236" s="14"/>
      <c r="AZ236" s="14"/>
      <c r="BA236" s="14"/>
      <c r="BB236" s="14"/>
      <c r="BC236" s="14"/>
      <c r="BD236" s="14"/>
      <c r="BE236" s="14"/>
      <c r="BF236" s="14"/>
      <c r="BG236" s="14"/>
      <c r="BH236" s="14"/>
      <c r="BI236" s="14"/>
    </row>
    <row r="237" spans="1:61">
      <c r="A237" s="14"/>
      <c r="B237" s="14"/>
      <c r="C237" s="14"/>
      <c r="D237" s="167"/>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67">
        <v>46286</v>
      </c>
      <c r="AK237" s="14">
        <v>231.93</v>
      </c>
      <c r="AL237" s="14" t="s">
        <v>562</v>
      </c>
      <c r="AM237" s="14" t="s">
        <v>154</v>
      </c>
      <c r="AN237" s="14">
        <f>IF('Stock Data'!$H$2,IF(ISNUMBER(AK237),AK237,NA()),NA())</f>
        <v>231.93</v>
      </c>
      <c r="AO237" s="14"/>
      <c r="AP237" s="14"/>
      <c r="AQ237" s="14"/>
      <c r="AR237" s="14"/>
      <c r="AS237" s="14"/>
      <c r="AT237" s="14"/>
      <c r="AU237" s="14"/>
      <c r="AV237" s="14"/>
      <c r="AW237" s="14"/>
      <c r="AX237" s="14"/>
      <c r="AY237" s="14"/>
      <c r="AZ237" s="14"/>
      <c r="BA237" s="14"/>
      <c r="BB237" s="14"/>
      <c r="BC237" s="14"/>
      <c r="BD237" s="14"/>
      <c r="BE237" s="14"/>
      <c r="BF237" s="14"/>
      <c r="BG237" s="14"/>
      <c r="BH237" s="14"/>
      <c r="BI237" s="14"/>
    </row>
    <row r="238" spans="1:61">
      <c r="A238" s="14"/>
      <c r="B238" s="14"/>
      <c r="C238" s="14"/>
      <c r="D238" s="167"/>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67">
        <v>46287</v>
      </c>
      <c r="AK238" s="14">
        <v>231.38</v>
      </c>
      <c r="AL238" s="14" t="s">
        <v>562</v>
      </c>
      <c r="AM238" s="14" t="s">
        <v>154</v>
      </c>
      <c r="AN238" s="14">
        <f>IF('Stock Data'!$H$2,IF(ISNUMBER(AK238),AK238,NA()),NA())</f>
        <v>231.38</v>
      </c>
      <c r="AO238" s="14"/>
      <c r="AP238" s="14"/>
      <c r="AQ238" s="14"/>
      <c r="AR238" s="14"/>
      <c r="AS238" s="14"/>
      <c r="AT238" s="14"/>
      <c r="AU238" s="14"/>
      <c r="AV238" s="14"/>
      <c r="AW238" s="14"/>
      <c r="AX238" s="14"/>
      <c r="AY238" s="14"/>
      <c r="AZ238" s="14"/>
      <c r="BA238" s="14"/>
      <c r="BB238" s="14"/>
      <c r="BC238" s="14"/>
      <c r="BD238" s="14"/>
      <c r="BE238" s="14"/>
      <c r="BF238" s="14"/>
      <c r="BG238" s="14"/>
      <c r="BH238" s="14"/>
      <c r="BI238" s="14"/>
    </row>
    <row r="239" spans="1:61">
      <c r="A239" s="14"/>
      <c r="B239" s="14"/>
      <c r="C239" s="14"/>
      <c r="D239" s="167"/>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67">
        <v>46288</v>
      </c>
      <c r="AK239" s="14">
        <v>232.76</v>
      </c>
      <c r="AL239" s="14" t="s">
        <v>562</v>
      </c>
      <c r="AM239" s="14" t="s">
        <v>154</v>
      </c>
      <c r="AN239" s="14">
        <f>IF('Stock Data'!$H$2,IF(ISNUMBER(AK239),AK239,NA()),NA())</f>
        <v>232.76</v>
      </c>
      <c r="AO239" s="14"/>
      <c r="AP239" s="14"/>
      <c r="AQ239" s="14"/>
      <c r="AR239" s="14"/>
      <c r="AS239" s="14"/>
      <c r="AT239" s="14"/>
      <c r="AU239" s="14"/>
      <c r="AV239" s="14"/>
      <c r="AW239" s="14"/>
      <c r="AX239" s="14"/>
      <c r="AY239" s="14"/>
      <c r="AZ239" s="14"/>
      <c r="BA239" s="14"/>
      <c r="BB239" s="14"/>
      <c r="BC239" s="14"/>
      <c r="BD239" s="14"/>
      <c r="BE239" s="14"/>
      <c r="BF239" s="14"/>
      <c r="BG239" s="14"/>
      <c r="BH239" s="14"/>
      <c r="BI239" s="14"/>
    </row>
    <row r="240" spans="1:61">
      <c r="A240" s="14"/>
      <c r="B240" s="14"/>
      <c r="C240" s="14"/>
      <c r="D240" s="167"/>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67">
        <v>46289</v>
      </c>
      <c r="AK240" s="14">
        <v>227.06</v>
      </c>
      <c r="AL240" s="14" t="s">
        <v>562</v>
      </c>
      <c r="AM240" s="14" t="s">
        <v>154</v>
      </c>
      <c r="AN240" s="14">
        <f>IF('Stock Data'!$H$2,IF(ISNUMBER(AK240),AK240,NA()),NA())</f>
        <v>227.06</v>
      </c>
      <c r="AO240" s="14"/>
      <c r="AP240" s="14"/>
      <c r="AQ240" s="14"/>
      <c r="AR240" s="14"/>
      <c r="AS240" s="14"/>
      <c r="AT240" s="14"/>
      <c r="AU240" s="14"/>
      <c r="AV240" s="14"/>
      <c r="AW240" s="14"/>
      <c r="AX240" s="14"/>
      <c r="AY240" s="14"/>
      <c r="AZ240" s="14"/>
      <c r="BA240" s="14"/>
      <c r="BB240" s="14"/>
      <c r="BC240" s="14"/>
      <c r="BD240" s="14"/>
      <c r="BE240" s="14"/>
      <c r="BF240" s="14"/>
      <c r="BG240" s="14"/>
      <c r="BH240" s="14"/>
      <c r="BI240" s="14"/>
    </row>
    <row r="241" spans="1:61">
      <c r="A241" s="14"/>
      <c r="B241" s="14"/>
      <c r="C241" s="14"/>
      <c r="D241" s="167"/>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67">
        <v>46290</v>
      </c>
      <c r="AK241" s="14">
        <v>225.51</v>
      </c>
      <c r="AL241" s="14" t="s">
        <v>562</v>
      </c>
      <c r="AM241" s="14" t="s">
        <v>154</v>
      </c>
      <c r="AN241" s="14">
        <f>IF('Stock Data'!$H$2,IF(ISNUMBER(AK241),AK241,NA()),NA())</f>
        <v>225.51</v>
      </c>
      <c r="AO241" s="14"/>
      <c r="AP241" s="14"/>
      <c r="AQ241" s="14"/>
      <c r="AR241" s="14"/>
      <c r="AS241" s="14"/>
      <c r="AT241" s="14"/>
      <c r="AU241" s="14"/>
      <c r="AV241" s="14"/>
      <c r="AW241" s="14"/>
      <c r="AX241" s="14"/>
      <c r="AY241" s="14"/>
      <c r="AZ241" s="14"/>
      <c r="BA241" s="14"/>
      <c r="BB241" s="14"/>
      <c r="BC241" s="14"/>
      <c r="BD241" s="14"/>
      <c r="BE241" s="14"/>
      <c r="BF241" s="14"/>
      <c r="BG241" s="14"/>
      <c r="BH241" s="14"/>
      <c r="BI241" s="14"/>
    </row>
    <row r="242" spans="1:61">
      <c r="A242" s="14"/>
      <c r="B242" s="14"/>
      <c r="C242" s="14"/>
      <c r="D242" s="167"/>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67">
        <v>46293</v>
      </c>
      <c r="AK242" s="14">
        <v>220.67</v>
      </c>
      <c r="AL242" s="14" t="s">
        <v>562</v>
      </c>
      <c r="AM242" s="14" t="s">
        <v>154</v>
      </c>
      <c r="AN242" s="14">
        <f>IF('Stock Data'!$H$2,IF(ISNUMBER(AK242),AK242,NA()),NA())</f>
        <v>220.67</v>
      </c>
      <c r="AO242" s="14"/>
      <c r="AP242" s="14"/>
      <c r="AQ242" s="14"/>
      <c r="AR242" s="14"/>
      <c r="AS242" s="14"/>
      <c r="AT242" s="14"/>
      <c r="AU242" s="14"/>
      <c r="AV242" s="14"/>
      <c r="AW242" s="14"/>
      <c r="AX242" s="14"/>
      <c r="AY242" s="14"/>
      <c r="AZ242" s="14"/>
      <c r="BA242" s="14"/>
      <c r="BB242" s="14"/>
      <c r="BC242" s="14"/>
      <c r="BD242" s="14"/>
      <c r="BE242" s="14"/>
      <c r="BF242" s="14"/>
      <c r="BG242" s="14"/>
      <c r="BH242" s="14"/>
      <c r="BI242" s="14"/>
    </row>
    <row r="243" spans="1:61">
      <c r="A243" s="14"/>
      <c r="B243" s="14"/>
      <c r="C243" s="14"/>
      <c r="D243" s="167"/>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67">
        <v>46294</v>
      </c>
      <c r="AK243" s="14">
        <v>219.99</v>
      </c>
      <c r="AL243" s="14" t="s">
        <v>562</v>
      </c>
      <c r="AM243" s="14" t="s">
        <v>154</v>
      </c>
      <c r="AN243" s="14">
        <f>IF('Stock Data'!$H$2,IF(ISNUMBER(AK243),AK243,NA()),NA())</f>
        <v>219.99</v>
      </c>
      <c r="AO243" s="14"/>
      <c r="AP243" s="14"/>
      <c r="AQ243" s="14"/>
      <c r="AR243" s="14"/>
      <c r="AS243" s="14"/>
      <c r="AT243" s="14"/>
      <c r="AU243" s="14"/>
      <c r="AV243" s="14"/>
      <c r="AW243" s="14"/>
      <c r="AX243" s="14"/>
      <c r="AY243" s="14"/>
      <c r="AZ243" s="14"/>
      <c r="BA243" s="14"/>
      <c r="BB243" s="14"/>
      <c r="BC243" s="14"/>
      <c r="BD243" s="14"/>
      <c r="BE243" s="14"/>
      <c r="BF243" s="14"/>
      <c r="BG243" s="14"/>
      <c r="BH243" s="14"/>
      <c r="BI243" s="14"/>
    </row>
    <row r="244" spans="1:61">
      <c r="A244" s="14"/>
      <c r="B244" s="14"/>
      <c r="C244" s="14"/>
      <c r="D244" s="167"/>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67">
        <v>46295</v>
      </c>
      <c r="AK244" s="14">
        <v>219.93</v>
      </c>
      <c r="AL244" s="14" t="s">
        <v>562</v>
      </c>
      <c r="AM244" s="14" t="s">
        <v>154</v>
      </c>
      <c r="AN244" s="14">
        <f>IF('Stock Data'!$H$2,IF(ISNUMBER(AK244),AK244,NA()),NA())</f>
        <v>219.93</v>
      </c>
      <c r="AO244" s="14"/>
      <c r="AP244" s="14"/>
      <c r="AQ244" s="14"/>
      <c r="AR244" s="14"/>
      <c r="AS244" s="14"/>
      <c r="AT244" s="14"/>
      <c r="AU244" s="14"/>
      <c r="AV244" s="14"/>
      <c r="AW244" s="14"/>
      <c r="AX244" s="14"/>
      <c r="AY244" s="14"/>
      <c r="AZ244" s="14"/>
      <c r="BA244" s="14"/>
      <c r="BB244" s="14"/>
      <c r="BC244" s="14"/>
      <c r="BD244" s="14"/>
      <c r="BE244" s="14"/>
      <c r="BF244" s="14"/>
      <c r="BG244" s="14"/>
      <c r="BH244" s="14"/>
      <c r="BI244" s="14"/>
    </row>
    <row r="245" spans="1:61">
      <c r="A245" s="14"/>
      <c r="B245" s="14"/>
      <c r="C245" s="14"/>
      <c r="D245" s="167"/>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67">
        <v>46296</v>
      </c>
      <c r="AK245" s="14">
        <v>225.62</v>
      </c>
      <c r="AL245" s="14" t="s">
        <v>562</v>
      </c>
      <c r="AM245" s="14" t="s">
        <v>154</v>
      </c>
      <c r="AN245" s="14">
        <f>IF('Stock Data'!$H$2,IF(ISNUMBER(AK245),AK245,NA()),NA())</f>
        <v>225.62</v>
      </c>
      <c r="AO245" s="14"/>
      <c r="AP245" s="14"/>
      <c r="AQ245" s="14"/>
      <c r="AR245" s="14"/>
      <c r="AS245" s="14"/>
      <c r="AT245" s="14"/>
      <c r="AU245" s="14"/>
      <c r="AV245" s="14"/>
      <c r="AW245" s="14"/>
      <c r="AX245" s="14"/>
      <c r="AY245" s="14"/>
      <c r="AZ245" s="14"/>
      <c r="BA245" s="14"/>
      <c r="BB245" s="14"/>
      <c r="BC245" s="14"/>
      <c r="BD245" s="14"/>
      <c r="BE245" s="14"/>
      <c r="BF245" s="14"/>
      <c r="BG245" s="14"/>
      <c r="BH245" s="14"/>
      <c r="BI245" s="14"/>
    </row>
    <row r="246" spans="1:61">
      <c r="A246" s="14"/>
      <c r="B246" s="14"/>
      <c r="C246" s="14"/>
      <c r="D246" s="167"/>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67">
        <v>46297</v>
      </c>
      <c r="AK246" s="14">
        <v>222.64</v>
      </c>
      <c r="AL246" s="14" t="s">
        <v>562</v>
      </c>
      <c r="AM246" s="14" t="s">
        <v>154</v>
      </c>
      <c r="AN246" s="14">
        <f>IF('Stock Data'!$H$2,IF(ISNUMBER(AK246),AK246,NA()),NA())</f>
        <v>222.64</v>
      </c>
      <c r="AO246" s="14"/>
      <c r="AP246" s="14"/>
      <c r="AQ246" s="14"/>
      <c r="AR246" s="14"/>
      <c r="AS246" s="14"/>
      <c r="AT246" s="14"/>
      <c r="AU246" s="14"/>
      <c r="AV246" s="14"/>
      <c r="AW246" s="14"/>
      <c r="AX246" s="14"/>
      <c r="AY246" s="14"/>
      <c r="AZ246" s="14"/>
      <c r="BA246" s="14"/>
      <c r="BB246" s="14"/>
      <c r="BC246" s="14"/>
      <c r="BD246" s="14"/>
      <c r="BE246" s="14"/>
      <c r="BF246" s="14"/>
      <c r="BG246" s="14"/>
      <c r="BH246" s="14"/>
      <c r="BI246" s="14"/>
    </row>
    <row r="247" spans="1:61">
      <c r="A247" s="14"/>
      <c r="B247" s="14"/>
      <c r="C247" s="14"/>
      <c r="D247" s="167"/>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67">
        <v>46300</v>
      </c>
      <c r="AK247" s="14">
        <v>221.58</v>
      </c>
      <c r="AL247" s="14" t="s">
        <v>562</v>
      </c>
      <c r="AM247" s="14" t="s">
        <v>154</v>
      </c>
      <c r="AN247" s="14">
        <f>IF('Stock Data'!$H$2,IF(ISNUMBER(AK247),AK247,NA()),NA())</f>
        <v>221.58</v>
      </c>
      <c r="AO247" s="14"/>
      <c r="AP247" s="14"/>
      <c r="AQ247" s="14"/>
      <c r="AR247" s="14"/>
      <c r="AS247" s="14"/>
      <c r="AT247" s="14"/>
      <c r="AU247" s="14"/>
      <c r="AV247" s="14"/>
      <c r="AW247" s="14"/>
      <c r="AX247" s="14"/>
      <c r="AY247" s="14"/>
      <c r="AZ247" s="14"/>
      <c r="BA247" s="14"/>
      <c r="BB247" s="14"/>
      <c r="BC247" s="14"/>
      <c r="BD247" s="14"/>
      <c r="BE247" s="14"/>
      <c r="BF247" s="14"/>
      <c r="BG247" s="14"/>
      <c r="BH247" s="14"/>
      <c r="BI247" s="14"/>
    </row>
    <row r="248" spans="1:61">
      <c r="A248" s="14"/>
      <c r="B248" s="14"/>
      <c r="C248" s="14"/>
      <c r="D248" s="167"/>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67">
        <v>46301</v>
      </c>
      <c r="AK248" s="14">
        <v>221.29</v>
      </c>
      <c r="AL248" s="14" t="s">
        <v>562</v>
      </c>
      <c r="AM248" s="14" t="s">
        <v>154</v>
      </c>
      <c r="AN248" s="14">
        <f>IF('Stock Data'!$H$2,IF(ISNUMBER(AK248),AK248,NA()),NA())</f>
        <v>221.29</v>
      </c>
      <c r="AO248" s="14"/>
      <c r="AP248" s="14"/>
      <c r="AQ248" s="14"/>
      <c r="AR248" s="14"/>
      <c r="AS248" s="14"/>
      <c r="AT248" s="14"/>
      <c r="AU248" s="14"/>
      <c r="AV248" s="14"/>
      <c r="AW248" s="14"/>
      <c r="AX248" s="14"/>
      <c r="AY248" s="14"/>
      <c r="AZ248" s="14"/>
      <c r="BA248" s="14"/>
      <c r="BB248" s="14"/>
      <c r="BC248" s="14"/>
      <c r="BD248" s="14"/>
      <c r="BE248" s="14"/>
      <c r="BF248" s="14"/>
      <c r="BG248" s="14"/>
      <c r="BH248" s="14"/>
      <c r="BI248" s="14"/>
    </row>
    <row r="249" spans="1:61">
      <c r="A249" s="14"/>
      <c r="B249" s="14"/>
      <c r="C249" s="14"/>
      <c r="D249" s="167"/>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67">
        <v>46302</v>
      </c>
      <c r="AK249" s="14">
        <v>220.51</v>
      </c>
      <c r="AL249" s="14" t="s">
        <v>562</v>
      </c>
      <c r="AM249" s="14" t="s">
        <v>154</v>
      </c>
      <c r="AN249" s="14">
        <f>IF('Stock Data'!$H$2,IF(ISNUMBER(AK249),AK249,NA()),NA())</f>
        <v>220.51</v>
      </c>
      <c r="AO249" s="14"/>
      <c r="AP249" s="14"/>
      <c r="AQ249" s="14"/>
      <c r="AR249" s="14"/>
      <c r="AS249" s="14"/>
      <c r="AT249" s="14"/>
      <c r="AU249" s="14"/>
      <c r="AV249" s="14"/>
      <c r="AW249" s="14"/>
      <c r="AX249" s="14"/>
      <c r="AY249" s="14"/>
      <c r="AZ249" s="14"/>
      <c r="BA249" s="14"/>
      <c r="BB249" s="14"/>
      <c r="BC249" s="14"/>
      <c r="BD249" s="14"/>
      <c r="BE249" s="14"/>
      <c r="BF249" s="14"/>
      <c r="BG249" s="14"/>
      <c r="BH249" s="14"/>
      <c r="BI249" s="14"/>
    </row>
    <row r="250" spans="1:61">
      <c r="A250" s="14"/>
      <c r="B250" s="14"/>
      <c r="C250" s="14"/>
      <c r="D250" s="167"/>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67">
        <v>46303</v>
      </c>
      <c r="AK250" s="14">
        <v>226.61</v>
      </c>
      <c r="AL250" s="14" t="s">
        <v>562</v>
      </c>
      <c r="AM250" s="14" t="s">
        <v>154</v>
      </c>
      <c r="AN250" s="14">
        <f>IF('Stock Data'!$H$2,IF(ISNUMBER(AK250),AK250,NA()),NA())</f>
        <v>226.61</v>
      </c>
      <c r="AO250" s="14"/>
      <c r="AP250" s="14"/>
      <c r="AQ250" s="14"/>
      <c r="AR250" s="14"/>
      <c r="AS250" s="14"/>
      <c r="AT250" s="14"/>
      <c r="AU250" s="14"/>
      <c r="AV250" s="14"/>
      <c r="AW250" s="14"/>
      <c r="AX250" s="14"/>
      <c r="AY250" s="14"/>
      <c r="AZ250" s="14"/>
      <c r="BA250" s="14"/>
      <c r="BB250" s="14"/>
      <c r="BC250" s="14"/>
      <c r="BD250" s="14"/>
      <c r="BE250" s="14"/>
      <c r="BF250" s="14"/>
      <c r="BG250" s="14"/>
      <c r="BH250" s="14"/>
      <c r="BI250" s="14"/>
    </row>
    <row r="251" spans="1:61">
      <c r="A251" s="14"/>
      <c r="B251" s="14"/>
      <c r="C251" s="14"/>
      <c r="D251" s="167"/>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67">
        <v>46304</v>
      </c>
      <c r="AK251" s="14">
        <v>227.13</v>
      </c>
      <c r="AL251" s="14" t="s">
        <v>562</v>
      </c>
      <c r="AM251" s="14" t="s">
        <v>154</v>
      </c>
      <c r="AN251" s="14">
        <f>IF('Stock Data'!$H$2,IF(ISNUMBER(AK251),AK251,NA()),NA())</f>
        <v>227.13</v>
      </c>
      <c r="AO251" s="14"/>
      <c r="AP251" s="14"/>
      <c r="AQ251" s="14"/>
      <c r="AR251" s="14"/>
      <c r="AS251" s="14"/>
      <c r="AT251" s="14"/>
      <c r="AU251" s="14"/>
      <c r="AV251" s="14"/>
      <c r="AW251" s="14"/>
      <c r="AX251" s="14"/>
      <c r="AY251" s="14"/>
      <c r="AZ251" s="14"/>
      <c r="BA251" s="14"/>
      <c r="BB251" s="14"/>
      <c r="BC251" s="14"/>
      <c r="BD251" s="14"/>
      <c r="BE251" s="14"/>
      <c r="BF251" s="14"/>
      <c r="BG251" s="14"/>
      <c r="BH251" s="14"/>
      <c r="BI251" s="14"/>
    </row>
    <row r="252" spans="1:61">
      <c r="A252" s="14"/>
      <c r="B252" s="14"/>
      <c r="C252" s="14"/>
      <c r="D252" s="167"/>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t="e">
        <f>IF('Stock Data'!$H$2,IF(ISNUMBER(AK252),AK252,NA()),NA())</f>
        <v>#N/A</v>
      </c>
      <c r="AO252" s="14"/>
      <c r="AP252" s="14"/>
      <c r="AQ252" s="14"/>
      <c r="AR252" s="14"/>
      <c r="AS252" s="14"/>
      <c r="AT252" s="14"/>
      <c r="AU252" s="14"/>
      <c r="AV252" s="14"/>
      <c r="AW252" s="14"/>
      <c r="AX252" s="14"/>
      <c r="AY252" s="14"/>
      <c r="AZ252" s="14"/>
      <c r="BA252" s="14"/>
      <c r="BB252" s="14"/>
      <c r="BC252" s="14"/>
      <c r="BD252" s="14"/>
      <c r="BE252" s="14"/>
      <c r="BF252" s="14"/>
      <c r="BG252" s="14"/>
      <c r="BH252" s="14"/>
      <c r="BI252" s="14"/>
    </row>
    <row r="253" spans="1:61">
      <c r="A253" s="14"/>
      <c r="B253" s="14"/>
      <c r="C253" s="14"/>
      <c r="D253" s="167"/>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t="e">
        <f>IF('Stock Data'!$H$2,IF(ISNUMBER(AK253),AK253,NA()),NA())</f>
        <v>#N/A</v>
      </c>
      <c r="AO253" s="14"/>
      <c r="AP253" s="14"/>
      <c r="AQ253" s="14"/>
      <c r="AR253" s="14"/>
      <c r="AS253" s="14"/>
      <c r="AT253" s="14"/>
      <c r="AU253" s="14"/>
      <c r="AV253" s="14"/>
      <c r="AW253" s="14"/>
      <c r="AX253" s="14"/>
      <c r="AY253" s="14"/>
      <c r="AZ253" s="14"/>
      <c r="BA253" s="14"/>
      <c r="BB253" s="14"/>
      <c r="BC253" s="14"/>
      <c r="BD253" s="14"/>
      <c r="BE253" s="14"/>
      <c r="BF253" s="14"/>
      <c r="BG253" s="14"/>
      <c r="BH253" s="14"/>
      <c r="BI253" s="14"/>
    </row>
    <row r="254" spans="1:61">
      <c r="A254" s="14"/>
      <c r="B254" s="14"/>
      <c r="C254" s="14"/>
      <c r="D254" s="167"/>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t="e">
        <f>IF('Stock Data'!$H$2,IF(ISNUMBER(AK254),AK254,NA()),NA())</f>
        <v>#N/A</v>
      </c>
      <c r="AO254" s="14"/>
      <c r="AP254" s="14"/>
      <c r="AQ254" s="14"/>
      <c r="AR254" s="14"/>
      <c r="AS254" s="14"/>
      <c r="AT254" s="14"/>
      <c r="AU254" s="14"/>
      <c r="AV254" s="14"/>
      <c r="AW254" s="14"/>
      <c r="AX254" s="14"/>
      <c r="AY254" s="14"/>
      <c r="AZ254" s="14"/>
      <c r="BA254" s="14"/>
      <c r="BB254" s="14"/>
      <c r="BC254" s="14"/>
      <c r="BD254" s="14"/>
      <c r="BE254" s="14"/>
      <c r="BF254" s="14"/>
      <c r="BG254" s="14"/>
      <c r="BH254" s="14"/>
      <c r="BI254" s="14"/>
    </row>
    <row r="255" spans="1:61">
      <c r="A255" s="14"/>
      <c r="B255" s="14"/>
      <c r="C255" s="14"/>
      <c r="D255" s="167"/>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t="e">
        <f>IF('Stock Data'!$H$2,IF(ISNUMBER(AK255),AK255,NA()),NA())</f>
        <v>#N/A</v>
      </c>
      <c r="AO255" s="14"/>
      <c r="AP255" s="14"/>
      <c r="AQ255" s="14"/>
      <c r="AR255" s="14"/>
      <c r="AS255" s="14"/>
      <c r="AT255" s="14"/>
      <c r="AU255" s="14"/>
      <c r="AV255" s="14"/>
      <c r="AW255" s="14"/>
      <c r="AX255" s="14"/>
      <c r="AY255" s="14"/>
      <c r="AZ255" s="14"/>
      <c r="BA255" s="14"/>
      <c r="BB255" s="14"/>
      <c r="BC255" s="14"/>
      <c r="BD255" s="14"/>
      <c r="BE255" s="14"/>
      <c r="BF255" s="14"/>
      <c r="BG255" s="14"/>
      <c r="BH255" s="14"/>
      <c r="BI255" s="14"/>
    </row>
    <row r="256" spans="1:61">
      <c r="A256" s="14"/>
      <c r="B256" s="14"/>
      <c r="C256" s="14"/>
      <c r="D256" s="167"/>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t="e">
        <f>IF('Stock Data'!$H$2,IF(ISNUMBER(AK256),AK256,NA()),NA())</f>
        <v>#N/A</v>
      </c>
      <c r="AO256" s="14"/>
      <c r="AP256" s="14"/>
      <c r="AQ256" s="14"/>
      <c r="AR256" s="14"/>
      <c r="AS256" s="14"/>
      <c r="AT256" s="14"/>
      <c r="AU256" s="14"/>
      <c r="AV256" s="14"/>
      <c r="AW256" s="14"/>
      <c r="AX256" s="14"/>
      <c r="AY256" s="14"/>
      <c r="AZ256" s="14"/>
      <c r="BA256" s="14"/>
      <c r="BB256" s="14"/>
      <c r="BC256" s="14"/>
      <c r="BD256" s="14"/>
      <c r="BE256" s="14"/>
      <c r="BF256" s="14"/>
      <c r="BG256" s="14"/>
      <c r="BH256" s="14"/>
      <c r="BI256" s="14"/>
    </row>
    <row r="257" spans="1:61">
      <c r="A257" s="14"/>
      <c r="B257" s="14"/>
      <c r="C257" s="14"/>
      <c r="D257" s="167"/>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t="e">
        <f>IF('Stock Data'!$H$2,IF(ISNUMBER(AK257),AK257,NA()),NA())</f>
        <v>#N/A</v>
      </c>
      <c r="AO257" s="14"/>
      <c r="AP257" s="14"/>
      <c r="AQ257" s="14"/>
      <c r="AR257" s="14"/>
      <c r="AS257" s="14"/>
      <c r="AT257" s="14"/>
      <c r="AU257" s="14"/>
      <c r="AV257" s="14"/>
      <c r="AW257" s="14"/>
      <c r="AX257" s="14"/>
      <c r="AY257" s="14"/>
      <c r="AZ257" s="14"/>
      <c r="BA257" s="14"/>
      <c r="BB257" s="14"/>
      <c r="BC257" s="14"/>
      <c r="BD257" s="14"/>
      <c r="BE257" s="14"/>
      <c r="BF257" s="14"/>
      <c r="BG257" s="14"/>
      <c r="BH257" s="14"/>
      <c r="BI257" s="14"/>
    </row>
    <row r="258" spans="1:61">
      <c r="A258" s="14"/>
      <c r="B258" s="14"/>
      <c r="C258" s="14"/>
      <c r="D258" s="167"/>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t="e">
        <f>IF('Stock Data'!$H$2,IF(ISNUMBER(AK258),AK258,NA()),NA())</f>
        <v>#N/A</v>
      </c>
      <c r="AO258" s="14"/>
      <c r="AP258" s="14"/>
      <c r="AQ258" s="14"/>
      <c r="AR258" s="14"/>
      <c r="AS258" s="14"/>
      <c r="AT258" s="14"/>
      <c r="AU258" s="14"/>
      <c r="AV258" s="14"/>
      <c r="AW258" s="14"/>
      <c r="AX258" s="14"/>
      <c r="AY258" s="14"/>
      <c r="AZ258" s="14"/>
      <c r="BA258" s="14"/>
      <c r="BB258" s="14"/>
      <c r="BC258" s="14"/>
      <c r="BD258" s="14"/>
      <c r="BE258" s="14"/>
      <c r="BF258" s="14"/>
      <c r="BG258" s="14"/>
      <c r="BH258" s="14"/>
      <c r="BI258" s="14"/>
    </row>
    <row r="259" spans="1:61">
      <c r="A259" s="14"/>
      <c r="B259" s="14"/>
      <c r="C259" s="14"/>
      <c r="D259" s="167"/>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t="e">
        <f>IF('Stock Data'!$H$2,IF(ISNUMBER(AK259),AK259,NA()),NA())</f>
        <v>#N/A</v>
      </c>
      <c r="AO259" s="14"/>
      <c r="AP259" s="14"/>
      <c r="AQ259" s="14"/>
      <c r="AR259" s="14"/>
      <c r="AS259" s="14"/>
      <c r="AT259" s="14"/>
      <c r="AU259" s="14"/>
      <c r="AV259" s="14"/>
      <c r="AW259" s="14"/>
      <c r="AX259" s="14"/>
      <c r="AY259" s="14"/>
      <c r="AZ259" s="14"/>
      <c r="BA259" s="14"/>
      <c r="BB259" s="14"/>
      <c r="BC259" s="14"/>
      <c r="BD259" s="14"/>
      <c r="BE259" s="14"/>
      <c r="BF259" s="14"/>
      <c r="BG259" s="14"/>
      <c r="BH259" s="14"/>
      <c r="BI259" s="14"/>
    </row>
    <row r="260" spans="1:61">
      <c r="A260" s="14"/>
      <c r="B260" s="14"/>
      <c r="C260" s="14"/>
      <c r="D260" s="167"/>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t="e">
        <f>IF('Stock Data'!$H$2,IF(ISNUMBER(AK260),AK260,NA()),NA())</f>
        <v>#N/A</v>
      </c>
      <c r="AO260" s="14"/>
      <c r="AP260" s="14"/>
      <c r="AQ260" s="14"/>
      <c r="AR260" s="14"/>
      <c r="AS260" s="14"/>
      <c r="AT260" s="14"/>
      <c r="AU260" s="14"/>
      <c r="AV260" s="14"/>
      <c r="AW260" s="14"/>
      <c r="AX260" s="14"/>
      <c r="AY260" s="14"/>
      <c r="AZ260" s="14"/>
      <c r="BA260" s="14"/>
      <c r="BB260" s="14"/>
      <c r="BC260" s="14"/>
      <c r="BD260" s="14"/>
      <c r="BE260" s="14"/>
      <c r="BF260" s="14"/>
      <c r="BG260" s="14"/>
      <c r="BH260" s="14"/>
      <c r="BI260" s="14"/>
    </row>
    <row r="261" spans="1:61">
      <c r="A261" s="14"/>
      <c r="B261" s="14"/>
      <c r="C261" s="14"/>
      <c r="D261" s="167"/>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t="e">
        <f>IF('Stock Data'!$H$2,IF(ISNUMBER(AK261),AK261,NA()),NA())</f>
        <v>#N/A</v>
      </c>
      <c r="AO261" s="14"/>
      <c r="AP261" s="14"/>
      <c r="AQ261" s="14"/>
      <c r="AR261" s="14"/>
      <c r="AS261" s="14"/>
      <c r="AT261" s="14"/>
      <c r="AU261" s="14"/>
      <c r="AV261" s="14"/>
      <c r="AW261" s="14"/>
      <c r="AX261" s="14"/>
      <c r="AY261" s="14"/>
      <c r="AZ261" s="14"/>
      <c r="BA261" s="14"/>
      <c r="BB261" s="14"/>
      <c r="BC261" s="14"/>
      <c r="BD261" s="14"/>
      <c r="BE261" s="14"/>
      <c r="BF261" s="14"/>
      <c r="BG261" s="14"/>
      <c r="BH261" s="14"/>
      <c r="BI261" s="14"/>
    </row>
    <row r="262" spans="1:61">
      <c r="A262" s="14"/>
      <c r="B262" s="14"/>
      <c r="C262" s="14"/>
      <c r="D262" s="167"/>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t="e">
        <f>IF('Stock Data'!$H$2,IF(ISNUMBER(AK262),AK262,NA()),NA())</f>
        <v>#N/A</v>
      </c>
      <c r="AO262" s="14"/>
      <c r="AP262" s="14"/>
      <c r="AQ262" s="14"/>
      <c r="AR262" s="14"/>
      <c r="AS262" s="14"/>
      <c r="AT262" s="14"/>
      <c r="AU262" s="14"/>
      <c r="AV262" s="14"/>
      <c r="AW262" s="14"/>
      <c r="AX262" s="14"/>
      <c r="AY262" s="14"/>
      <c r="AZ262" s="14"/>
      <c r="BA262" s="14"/>
      <c r="BB262" s="14"/>
      <c r="BC262" s="14"/>
      <c r="BD262" s="14"/>
      <c r="BE262" s="14"/>
      <c r="BF262" s="14"/>
      <c r="BG262" s="14"/>
      <c r="BH262" s="14"/>
      <c r="BI262" s="14"/>
    </row>
    <row r="263" spans="1:61">
      <c r="A263" s="14"/>
      <c r="B263" s="14"/>
      <c r="C263" s="14"/>
      <c r="D263" s="167"/>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t="e">
        <f>IF('Stock Data'!$H$2,IF(ISNUMBER(AK263),AK263,NA()),NA())</f>
        <v>#N/A</v>
      </c>
      <c r="AO263" s="14"/>
      <c r="AP263" s="14"/>
      <c r="AQ263" s="14"/>
      <c r="AR263" s="14"/>
      <c r="AS263" s="14"/>
      <c r="AT263" s="14"/>
      <c r="AU263" s="14"/>
      <c r="AV263" s="14"/>
      <c r="AW263" s="14"/>
      <c r="AX263" s="14"/>
      <c r="AY263" s="14"/>
      <c r="AZ263" s="14"/>
      <c r="BA263" s="14"/>
      <c r="BB263" s="14"/>
      <c r="BC263" s="14"/>
      <c r="BD263" s="14"/>
      <c r="BE263" s="14"/>
      <c r="BF263" s="14"/>
      <c r="BG263" s="14"/>
      <c r="BH263" s="14"/>
      <c r="BI263" s="14"/>
    </row>
    <row r="264" spans="1:61">
      <c r="A264" s="14"/>
      <c r="B264" s="14"/>
      <c r="C264" s="14"/>
      <c r="D264" s="167"/>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t="e">
        <f>IF('Stock Data'!$H$2,IF(ISNUMBER(AK264),AK264,NA()),NA())</f>
        <v>#N/A</v>
      </c>
      <c r="AO264" s="14"/>
      <c r="AP264" s="14"/>
      <c r="AQ264" s="14"/>
      <c r="AR264" s="14"/>
      <c r="AS264" s="14"/>
      <c r="AT264" s="14"/>
      <c r="AU264" s="14"/>
      <c r="AV264" s="14"/>
      <c r="AW264" s="14"/>
      <c r="AX264" s="14"/>
      <c r="AY264" s="14"/>
      <c r="AZ264" s="14"/>
      <c r="BA264" s="14"/>
      <c r="BB264" s="14"/>
      <c r="BC264" s="14"/>
      <c r="BD264" s="14"/>
      <c r="BE264" s="14"/>
      <c r="BF264" s="14"/>
      <c r="BG264" s="14"/>
      <c r="BH264" s="14"/>
      <c r="BI264" s="14"/>
    </row>
    <row r="265" spans="1:61">
      <c r="A265" s="14"/>
      <c r="B265" s="14"/>
      <c r="C265" s="14"/>
      <c r="D265" s="167"/>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t="e">
        <f>IF('Stock Data'!$H$2,IF(ISNUMBER(AK265),AK265,NA()),NA())</f>
        <v>#N/A</v>
      </c>
      <c r="AO265" s="14"/>
      <c r="AP265" s="14"/>
      <c r="AQ265" s="14"/>
      <c r="AR265" s="14"/>
      <c r="AS265" s="14"/>
      <c r="AT265" s="14"/>
      <c r="AU265" s="14"/>
      <c r="AV265" s="14"/>
      <c r="AW265" s="14"/>
      <c r="AX265" s="14"/>
      <c r="AY265" s="14"/>
      <c r="AZ265" s="14"/>
      <c r="BA265" s="14"/>
      <c r="BB265" s="14"/>
      <c r="BC265" s="14"/>
      <c r="BD265" s="14"/>
      <c r="BE265" s="14"/>
      <c r="BF265" s="14"/>
      <c r="BG265" s="14"/>
      <c r="BH265" s="14"/>
      <c r="BI265" s="14"/>
    </row>
    <row r="266" spans="1:61">
      <c r="A266" s="14"/>
      <c r="B266" s="14"/>
      <c r="C266" s="14"/>
      <c r="D266" s="167"/>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t="e">
        <f>IF('Stock Data'!$H$2,IF(ISNUMBER(AK266),AK266,NA()),NA())</f>
        <v>#N/A</v>
      </c>
      <c r="AO266" s="14"/>
      <c r="AP266" s="14"/>
      <c r="AQ266" s="14"/>
      <c r="AR266" s="14"/>
      <c r="AS266" s="14"/>
      <c r="AT266" s="14"/>
      <c r="AU266" s="14"/>
      <c r="AV266" s="14"/>
      <c r="AW266" s="14"/>
      <c r="AX266" s="14"/>
      <c r="AY266" s="14"/>
      <c r="AZ266" s="14"/>
      <c r="BA266" s="14"/>
      <c r="BB266" s="14"/>
      <c r="BC266" s="14"/>
      <c r="BD266" s="14"/>
      <c r="BE266" s="14"/>
      <c r="BF266" s="14"/>
      <c r="BG266" s="14"/>
      <c r="BH266" s="14"/>
      <c r="BI266" s="14"/>
    </row>
    <row r="267" spans="1:61">
      <c r="A267" s="14"/>
      <c r="B267" s="14"/>
      <c r="C267" s="14"/>
      <c r="D267" s="167"/>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t="e">
        <f>IF('Stock Data'!$H$2,IF(ISNUMBER(AK267),AK267,NA()),NA())</f>
        <v>#N/A</v>
      </c>
      <c r="AO267" s="14"/>
      <c r="AP267" s="14"/>
      <c r="AQ267" s="14"/>
      <c r="AR267" s="14"/>
      <c r="AS267" s="14"/>
      <c r="AT267" s="14"/>
      <c r="AU267" s="14"/>
      <c r="AV267" s="14"/>
      <c r="AW267" s="14"/>
      <c r="AX267" s="14"/>
      <c r="AY267" s="14"/>
      <c r="AZ267" s="14"/>
      <c r="BA267" s="14"/>
      <c r="BB267" s="14"/>
      <c r="BC267" s="14"/>
      <c r="BD267" s="14"/>
      <c r="BE267" s="14"/>
      <c r="BF267" s="14"/>
      <c r="BG267" s="14"/>
      <c r="BH267" s="14"/>
      <c r="BI267" s="14"/>
    </row>
    <row r="268" spans="1:61">
      <c r="A268" s="14"/>
      <c r="B268" s="14"/>
      <c r="C268" s="14"/>
      <c r="D268" s="167"/>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t="e">
        <f>IF('Stock Data'!$H$2,IF(ISNUMBER(AK268),AK268,NA()),NA())</f>
        <v>#N/A</v>
      </c>
      <c r="AO268" s="14"/>
      <c r="AP268" s="14"/>
      <c r="AQ268" s="14"/>
      <c r="AR268" s="14"/>
      <c r="AS268" s="14"/>
      <c r="AT268" s="14"/>
      <c r="AU268" s="14"/>
      <c r="AV268" s="14"/>
      <c r="AW268" s="14"/>
      <c r="AX268" s="14"/>
      <c r="AY268" s="14"/>
      <c r="AZ268" s="14"/>
      <c r="BA268" s="14"/>
      <c r="BB268" s="14"/>
      <c r="BC268" s="14"/>
      <c r="BD268" s="14"/>
      <c r="BE268" s="14"/>
      <c r="BF268" s="14"/>
      <c r="BG268" s="14"/>
      <c r="BH268" s="14"/>
      <c r="BI268" s="14"/>
    </row>
    <row r="269" spans="1:61">
      <c r="A269" s="14"/>
      <c r="B269" s="14"/>
      <c r="C269" s="14"/>
      <c r="D269" s="167"/>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t="e">
        <f>IF('Stock Data'!$H$2,IF(ISNUMBER(AK269),AK269,NA()),NA())</f>
        <v>#N/A</v>
      </c>
      <c r="AO269" s="14"/>
      <c r="AP269" s="14"/>
      <c r="AQ269" s="14"/>
      <c r="AR269" s="14"/>
      <c r="AS269" s="14"/>
      <c r="AT269" s="14"/>
      <c r="AU269" s="14"/>
      <c r="AV269" s="14"/>
      <c r="AW269" s="14"/>
      <c r="AX269" s="14"/>
      <c r="AY269" s="14"/>
      <c r="AZ269" s="14"/>
      <c r="BA269" s="14"/>
      <c r="BB269" s="14"/>
      <c r="BC269" s="14"/>
      <c r="BD269" s="14"/>
      <c r="BE269" s="14"/>
      <c r="BF269" s="14"/>
      <c r="BG269" s="14"/>
      <c r="BH269" s="14"/>
      <c r="BI269" s="14"/>
    </row>
    <row r="270" spans="1:61">
      <c r="A270" s="14"/>
      <c r="B270" s="14"/>
      <c r="C270" s="14"/>
      <c r="D270" s="167"/>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t="e">
        <f>IF('Stock Data'!$H$2,IF(ISNUMBER(AK270),AK270,NA()),NA())</f>
        <v>#N/A</v>
      </c>
      <c r="AO270" s="14"/>
      <c r="AP270" s="14"/>
      <c r="AQ270" s="14"/>
      <c r="AR270" s="14"/>
      <c r="AS270" s="14"/>
      <c r="AT270" s="14"/>
      <c r="AU270" s="14"/>
      <c r="AV270" s="14"/>
      <c r="AW270" s="14"/>
      <c r="AX270" s="14"/>
      <c r="AY270" s="14"/>
      <c r="AZ270" s="14"/>
      <c r="BA270" s="14"/>
      <c r="BB270" s="14"/>
      <c r="BC270" s="14"/>
      <c r="BD270" s="14"/>
      <c r="BE270" s="14"/>
      <c r="BF270" s="14"/>
      <c r="BG270" s="14"/>
      <c r="BH270" s="14"/>
      <c r="BI270" s="14"/>
    </row>
    <row r="271" spans="1:61">
      <c r="A271" s="14"/>
      <c r="B271" s="14"/>
      <c r="C271" s="14"/>
      <c r="D271" s="167"/>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t="e">
        <f>IF('Stock Data'!$H$2,IF(ISNUMBER(AK271),AK271,NA()),NA())</f>
        <v>#N/A</v>
      </c>
      <c r="AO271" s="14"/>
      <c r="AP271" s="14"/>
      <c r="AQ271" s="14"/>
      <c r="AR271" s="14"/>
      <c r="AS271" s="14"/>
      <c r="AT271" s="14"/>
      <c r="AU271" s="14"/>
      <c r="AV271" s="14"/>
      <c r="AW271" s="14"/>
      <c r="AX271" s="14"/>
      <c r="AY271" s="14"/>
      <c r="AZ271" s="14"/>
      <c r="BA271" s="14"/>
      <c r="BB271" s="14"/>
      <c r="BC271" s="14"/>
      <c r="BD271" s="14"/>
      <c r="BE271" s="14"/>
      <c r="BF271" s="14"/>
      <c r="BG271" s="14"/>
      <c r="BH271" s="14"/>
      <c r="BI271" s="14"/>
    </row>
    <row r="272" spans="1:61">
      <c r="A272" s="14"/>
      <c r="B272" s="14"/>
      <c r="C272" s="14"/>
      <c r="D272" s="167"/>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t="e">
        <f>IF('Stock Data'!$H$2,IF(ISNUMBER(AK272),AK272,NA()),NA())</f>
        <v>#N/A</v>
      </c>
      <c r="AO272" s="14"/>
      <c r="AP272" s="14"/>
      <c r="AQ272" s="14"/>
      <c r="AR272" s="14"/>
      <c r="AS272" s="14"/>
      <c r="AT272" s="14"/>
      <c r="AU272" s="14"/>
      <c r="AV272" s="14"/>
      <c r="AW272" s="14"/>
      <c r="AX272" s="14"/>
      <c r="AY272" s="14"/>
      <c r="AZ272" s="14"/>
      <c r="BA272" s="14"/>
      <c r="BB272" s="14"/>
      <c r="BC272" s="14"/>
      <c r="BD272" s="14"/>
      <c r="BE272" s="14"/>
      <c r="BF272" s="14"/>
      <c r="BG272" s="14"/>
      <c r="BH272" s="14"/>
      <c r="BI272" s="14"/>
    </row>
    <row r="273" spans="1:61">
      <c r="A273" s="14"/>
      <c r="B273" s="14"/>
      <c r="C273" s="14"/>
      <c r="D273" s="167"/>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t="e">
        <f>IF('Stock Data'!$H$2,IF(ISNUMBER(AK273),AK273,NA()),NA())</f>
        <v>#N/A</v>
      </c>
      <c r="AO273" s="14"/>
      <c r="AP273" s="14"/>
      <c r="AQ273" s="14"/>
      <c r="AR273" s="14"/>
      <c r="AS273" s="14"/>
      <c r="AT273" s="14"/>
      <c r="AU273" s="14"/>
      <c r="AV273" s="14"/>
      <c r="AW273" s="14"/>
      <c r="AX273" s="14"/>
      <c r="AY273" s="14"/>
      <c r="AZ273" s="14"/>
      <c r="BA273" s="14"/>
      <c r="BB273" s="14"/>
      <c r="BC273" s="14"/>
      <c r="BD273" s="14"/>
      <c r="BE273" s="14"/>
      <c r="BF273" s="14"/>
      <c r="BG273" s="14"/>
      <c r="BH273" s="14"/>
      <c r="BI273" s="14"/>
    </row>
    <row r="274" spans="1:61">
      <c r="A274" s="14"/>
      <c r="B274" s="14"/>
      <c r="C274" s="14"/>
      <c r="D274" s="167"/>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t="e">
        <f>IF('Stock Data'!$H$2,IF(ISNUMBER(AK274),AK274,NA()),NA())</f>
        <v>#N/A</v>
      </c>
      <c r="AO274" s="14"/>
      <c r="AP274" s="14"/>
      <c r="AQ274" s="14"/>
      <c r="AR274" s="14"/>
      <c r="AS274" s="14"/>
      <c r="AT274" s="14"/>
      <c r="AU274" s="14"/>
      <c r="AV274" s="14"/>
      <c r="AW274" s="14"/>
      <c r="AX274" s="14"/>
      <c r="AY274" s="14"/>
      <c r="AZ274" s="14"/>
      <c r="BA274" s="14"/>
      <c r="BB274" s="14"/>
      <c r="BC274" s="14"/>
      <c r="BD274" s="14"/>
      <c r="BE274" s="14"/>
      <c r="BF274" s="14"/>
      <c r="BG274" s="14"/>
      <c r="BH274" s="14"/>
      <c r="BI274" s="14"/>
    </row>
    <row r="275" spans="1:61">
      <c r="A275" s="14"/>
      <c r="B275" s="14"/>
      <c r="C275" s="14"/>
      <c r="D275" s="167"/>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t="e">
        <f>IF('Stock Data'!$H$2,IF(ISNUMBER(AK275),AK275,NA()),NA())</f>
        <v>#N/A</v>
      </c>
      <c r="AO275" s="14"/>
      <c r="AP275" s="14"/>
      <c r="AQ275" s="14"/>
      <c r="AR275" s="14"/>
      <c r="AS275" s="14"/>
      <c r="AT275" s="14"/>
      <c r="AU275" s="14"/>
      <c r="AV275" s="14"/>
      <c r="AW275" s="14"/>
      <c r="AX275" s="14"/>
      <c r="AY275" s="14"/>
      <c r="AZ275" s="14"/>
      <c r="BA275" s="14"/>
      <c r="BB275" s="14"/>
      <c r="BC275" s="14"/>
      <c r="BD275" s="14"/>
      <c r="BE275" s="14"/>
      <c r="BF275" s="14"/>
      <c r="BG275" s="14"/>
      <c r="BH275" s="14"/>
      <c r="BI275" s="14"/>
    </row>
    <row r="276" spans="1:61">
      <c r="A276" s="14"/>
      <c r="B276" s="14"/>
      <c r="C276" s="14"/>
      <c r="D276" s="167"/>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t="e">
        <f>IF('Stock Data'!$H$2,IF(ISNUMBER(AK276),AK276,NA()),NA())</f>
        <v>#N/A</v>
      </c>
      <c r="AO276" s="14"/>
      <c r="AP276" s="14"/>
      <c r="AQ276" s="14"/>
      <c r="AR276" s="14"/>
      <c r="AS276" s="14"/>
      <c r="AT276" s="14"/>
      <c r="AU276" s="14"/>
      <c r="AV276" s="14"/>
      <c r="AW276" s="14"/>
      <c r="AX276" s="14"/>
      <c r="AY276" s="14"/>
      <c r="AZ276" s="14"/>
      <c r="BA276" s="14"/>
      <c r="BB276" s="14"/>
      <c r="BC276" s="14"/>
      <c r="BD276" s="14"/>
      <c r="BE276" s="14"/>
      <c r="BF276" s="14"/>
      <c r="BG276" s="14"/>
      <c r="BH276" s="14"/>
      <c r="BI276" s="14"/>
    </row>
    <row r="277" spans="1:61">
      <c r="A277" s="14"/>
      <c r="B277" s="14"/>
      <c r="C277" s="14"/>
      <c r="D277" s="167"/>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t="e">
        <f>IF('Stock Data'!$H$2,IF(ISNUMBER(AK277),AK277,NA()),NA())</f>
        <v>#N/A</v>
      </c>
      <c r="AO277" s="14"/>
      <c r="AP277" s="14"/>
      <c r="AQ277" s="14"/>
      <c r="AR277" s="14"/>
      <c r="AS277" s="14"/>
      <c r="AT277" s="14"/>
      <c r="AU277" s="14"/>
      <c r="AV277" s="14"/>
      <c r="AW277" s="14"/>
      <c r="AX277" s="14"/>
      <c r="AY277" s="14"/>
      <c r="AZ277" s="14"/>
      <c r="BA277" s="14"/>
      <c r="BB277" s="14"/>
      <c r="BC277" s="14"/>
      <c r="BD277" s="14"/>
      <c r="BE277" s="14"/>
      <c r="BF277" s="14"/>
      <c r="BG277" s="14"/>
      <c r="BH277" s="14"/>
      <c r="BI277" s="14"/>
    </row>
    <row r="278" spans="1:61">
      <c r="A278" s="14"/>
      <c r="B278" s="14"/>
      <c r="C278" s="14"/>
      <c r="D278" s="167"/>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t="e">
        <f>IF('Stock Data'!$H$2,IF(ISNUMBER(AK278),AK278,NA()),NA())</f>
        <v>#N/A</v>
      </c>
      <c r="AO278" s="14"/>
      <c r="AP278" s="14"/>
      <c r="AQ278" s="14"/>
      <c r="AR278" s="14"/>
      <c r="AS278" s="14"/>
      <c r="AT278" s="14"/>
      <c r="AU278" s="14"/>
      <c r="AV278" s="14"/>
      <c r="AW278" s="14"/>
      <c r="AX278" s="14"/>
      <c r="AY278" s="14"/>
      <c r="AZ278" s="14"/>
      <c r="BA278" s="14"/>
      <c r="BB278" s="14"/>
      <c r="BC278" s="14"/>
      <c r="BD278" s="14"/>
      <c r="BE278" s="14"/>
      <c r="BF278" s="14"/>
      <c r="BG278" s="14"/>
      <c r="BH278" s="14"/>
      <c r="BI278" s="14"/>
    </row>
    <row r="279" spans="1:61">
      <c r="A279" s="14"/>
      <c r="B279" s="14"/>
      <c r="C279" s="14"/>
      <c r="D279" s="167"/>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t="e">
        <f>IF('Stock Data'!$H$2,IF(ISNUMBER(AK279),AK279,NA()),NA())</f>
        <v>#N/A</v>
      </c>
      <c r="AO279" s="14"/>
      <c r="AP279" s="14"/>
      <c r="AQ279" s="14"/>
      <c r="AR279" s="14"/>
      <c r="AS279" s="14"/>
      <c r="AT279" s="14"/>
      <c r="AU279" s="14"/>
      <c r="AV279" s="14"/>
      <c r="AW279" s="14"/>
      <c r="AX279" s="14"/>
      <c r="AY279" s="14"/>
      <c r="AZ279" s="14"/>
      <c r="BA279" s="14"/>
      <c r="BB279" s="14"/>
      <c r="BC279" s="14"/>
      <c r="BD279" s="14"/>
      <c r="BE279" s="14"/>
      <c r="BF279" s="14"/>
      <c r="BG279" s="14"/>
      <c r="BH279" s="14"/>
      <c r="BI279" s="14"/>
    </row>
    <row r="280" spans="1:61">
      <c r="A280" s="14"/>
      <c r="B280" s="14"/>
      <c r="C280" s="14"/>
      <c r="D280" s="167"/>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t="e">
        <f>IF('Stock Data'!$H$2,IF(ISNUMBER(AK280),AK280,NA()),NA())</f>
        <v>#N/A</v>
      </c>
      <c r="AO280" s="14"/>
      <c r="AP280" s="14"/>
      <c r="AQ280" s="14"/>
      <c r="AR280" s="14"/>
      <c r="AS280" s="14"/>
      <c r="AT280" s="14"/>
      <c r="AU280" s="14"/>
      <c r="AV280" s="14"/>
      <c r="AW280" s="14"/>
      <c r="AX280" s="14"/>
      <c r="AY280" s="14"/>
      <c r="AZ280" s="14"/>
      <c r="BA280" s="14"/>
      <c r="BB280" s="14"/>
      <c r="BC280" s="14"/>
      <c r="BD280" s="14"/>
      <c r="BE280" s="14"/>
      <c r="BF280" s="14"/>
      <c r="BG280" s="14"/>
      <c r="BH280" s="14"/>
      <c r="BI280" s="14"/>
    </row>
    <row r="281" spans="1:61">
      <c r="A281" s="14"/>
      <c r="B281" s="14"/>
      <c r="C281" s="14"/>
      <c r="D281" s="167"/>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t="e">
        <f>IF('Stock Data'!$H$2,IF(ISNUMBER(AK281),AK281,NA()),NA())</f>
        <v>#N/A</v>
      </c>
      <c r="AO281" s="14"/>
      <c r="AP281" s="14"/>
      <c r="AQ281" s="14"/>
      <c r="AR281" s="14"/>
      <c r="AS281" s="14"/>
      <c r="AT281" s="14"/>
      <c r="AU281" s="14"/>
      <c r="AV281" s="14"/>
      <c r="AW281" s="14"/>
      <c r="AX281" s="14"/>
      <c r="AY281" s="14"/>
      <c r="AZ281" s="14"/>
      <c r="BA281" s="14"/>
      <c r="BB281" s="14"/>
      <c r="BC281" s="14"/>
      <c r="BD281" s="14"/>
      <c r="BE281" s="14"/>
      <c r="BF281" s="14"/>
      <c r="BG281" s="14"/>
      <c r="BH281" s="14"/>
      <c r="BI281" s="14"/>
    </row>
    <row r="282" spans="1:61">
      <c r="A282" s="14"/>
      <c r="B282" s="14"/>
      <c r="C282" s="14"/>
      <c r="D282" s="167"/>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t="e">
        <f>IF('Stock Data'!$H$2,IF(ISNUMBER(AK282),AK282,NA()),NA())</f>
        <v>#N/A</v>
      </c>
      <c r="AO282" s="14"/>
      <c r="AP282" s="14"/>
      <c r="AQ282" s="14"/>
      <c r="AR282" s="14"/>
      <c r="AS282" s="14"/>
      <c r="AT282" s="14"/>
      <c r="AU282" s="14"/>
      <c r="AV282" s="14"/>
      <c r="AW282" s="14"/>
      <c r="AX282" s="14"/>
      <c r="AY282" s="14"/>
      <c r="AZ282" s="14"/>
      <c r="BA282" s="14"/>
      <c r="BB282" s="14"/>
      <c r="BC282" s="14"/>
      <c r="BD282" s="14"/>
      <c r="BE282" s="14"/>
      <c r="BF282" s="14"/>
      <c r="BG282" s="14"/>
      <c r="BH282" s="14"/>
      <c r="BI282" s="14"/>
    </row>
    <row r="283" spans="1:61">
      <c r="A283" s="14"/>
      <c r="B283" s="14"/>
      <c r="C283" s="14"/>
      <c r="D283" s="167"/>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t="e">
        <f>IF('Stock Data'!$H$2,IF(ISNUMBER(AK283),AK283,NA()),NA())</f>
        <v>#N/A</v>
      </c>
      <c r="AO283" s="14"/>
      <c r="AP283" s="14"/>
      <c r="AQ283" s="14"/>
      <c r="AR283" s="14"/>
      <c r="AS283" s="14"/>
      <c r="AT283" s="14"/>
      <c r="AU283" s="14"/>
      <c r="AV283" s="14"/>
      <c r="AW283" s="14"/>
      <c r="AX283" s="14"/>
      <c r="AY283" s="14"/>
      <c r="AZ283" s="14"/>
      <c r="BA283" s="14"/>
      <c r="BB283" s="14"/>
      <c r="BC283" s="14"/>
      <c r="BD283" s="14"/>
      <c r="BE283" s="14"/>
      <c r="BF283" s="14"/>
      <c r="BG283" s="14"/>
      <c r="BH283" s="14"/>
      <c r="BI283" s="14"/>
    </row>
    <row r="284" spans="1:61">
      <c r="A284" s="14"/>
      <c r="B284" s="14"/>
      <c r="C284" s="14"/>
      <c r="D284" s="167"/>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t="e">
        <f>IF('Stock Data'!$H$2,IF(ISNUMBER(AK284),AK284,NA()),NA())</f>
        <v>#N/A</v>
      </c>
      <c r="AO284" s="14"/>
      <c r="AP284" s="14"/>
      <c r="AQ284" s="14"/>
      <c r="AR284" s="14"/>
      <c r="AS284" s="14"/>
      <c r="AT284" s="14"/>
      <c r="AU284" s="14"/>
      <c r="AV284" s="14"/>
      <c r="AW284" s="14"/>
      <c r="AX284" s="14"/>
      <c r="AY284" s="14"/>
      <c r="AZ284" s="14"/>
      <c r="BA284" s="14"/>
      <c r="BB284" s="14"/>
      <c r="BC284" s="14"/>
      <c r="BD284" s="14"/>
      <c r="BE284" s="14"/>
      <c r="BF284" s="14"/>
      <c r="BG284" s="14"/>
      <c r="BH284" s="14"/>
      <c r="BI284" s="14"/>
    </row>
    <row r="285" spans="1:61">
      <c r="A285" s="14"/>
      <c r="B285" s="14"/>
      <c r="C285" s="14"/>
      <c r="D285" s="167"/>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t="e">
        <f>IF('Stock Data'!$H$2,IF(ISNUMBER(AK285),AK285,NA()),NA())</f>
        <v>#N/A</v>
      </c>
      <c r="AO285" s="14"/>
      <c r="AP285" s="14"/>
      <c r="AQ285" s="14"/>
      <c r="AR285" s="14"/>
      <c r="AS285" s="14"/>
      <c r="AT285" s="14"/>
      <c r="AU285" s="14"/>
      <c r="AV285" s="14"/>
      <c r="AW285" s="14"/>
      <c r="AX285" s="14"/>
      <c r="AY285" s="14"/>
      <c r="AZ285" s="14"/>
      <c r="BA285" s="14"/>
      <c r="BB285" s="14"/>
      <c r="BC285" s="14"/>
      <c r="BD285" s="14"/>
      <c r="BE285" s="14"/>
      <c r="BF285" s="14"/>
      <c r="BG285" s="14"/>
      <c r="BH285" s="14"/>
      <c r="BI285" s="14"/>
    </row>
    <row r="286" spans="1:61">
      <c r="A286" s="14"/>
      <c r="B286" s="14"/>
      <c r="C286" s="14"/>
      <c r="D286" s="167"/>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t="e">
        <f>IF('Stock Data'!$H$2,IF(ISNUMBER(AK286),AK286,NA()),NA())</f>
        <v>#N/A</v>
      </c>
      <c r="AO286" s="14"/>
      <c r="AP286" s="14"/>
      <c r="AQ286" s="14"/>
      <c r="AR286" s="14"/>
      <c r="AS286" s="14"/>
      <c r="AT286" s="14"/>
      <c r="AU286" s="14"/>
      <c r="AV286" s="14"/>
      <c r="AW286" s="14"/>
      <c r="AX286" s="14"/>
      <c r="AY286" s="14"/>
      <c r="AZ286" s="14"/>
      <c r="BA286" s="14"/>
      <c r="BB286" s="14"/>
      <c r="BC286" s="14"/>
      <c r="BD286" s="14"/>
      <c r="BE286" s="14"/>
      <c r="BF286" s="14"/>
      <c r="BG286" s="14"/>
      <c r="BH286" s="14"/>
      <c r="BI286" s="14"/>
    </row>
    <row r="287" spans="1:61">
      <c r="A287" s="14"/>
      <c r="B287" s="14"/>
      <c r="C287" s="14"/>
      <c r="D287" s="167"/>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t="e">
        <f>IF('Stock Data'!$H$2,IF(ISNUMBER(AK287),AK287,NA()),NA())</f>
        <v>#N/A</v>
      </c>
      <c r="AO287" s="14"/>
      <c r="AP287" s="14"/>
      <c r="AQ287" s="14"/>
      <c r="AR287" s="14"/>
      <c r="AS287" s="14"/>
      <c r="AT287" s="14"/>
      <c r="AU287" s="14"/>
      <c r="AV287" s="14"/>
      <c r="AW287" s="14"/>
      <c r="AX287" s="14"/>
      <c r="AY287" s="14"/>
      <c r="AZ287" s="14"/>
      <c r="BA287" s="14"/>
      <c r="BB287" s="14"/>
      <c r="BC287" s="14"/>
      <c r="BD287" s="14"/>
      <c r="BE287" s="14"/>
      <c r="BF287" s="14"/>
      <c r="BG287" s="14"/>
      <c r="BH287" s="14"/>
      <c r="BI287" s="14"/>
    </row>
    <row r="288" spans="1:61">
      <c r="A288" s="14"/>
      <c r="B288" s="14"/>
      <c r="C288" s="14"/>
      <c r="D288" s="167"/>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t="e">
        <f>IF('Stock Data'!$H$2,IF(ISNUMBER(AK288),AK288,NA()),NA())</f>
        <v>#N/A</v>
      </c>
      <c r="AO288" s="14"/>
      <c r="AP288" s="14"/>
      <c r="AQ288" s="14"/>
      <c r="AR288" s="14"/>
      <c r="AS288" s="14"/>
      <c r="AT288" s="14"/>
      <c r="AU288" s="14"/>
      <c r="AV288" s="14"/>
      <c r="AW288" s="14"/>
      <c r="AX288" s="14"/>
      <c r="AY288" s="14"/>
      <c r="AZ288" s="14"/>
      <c r="BA288" s="14"/>
      <c r="BB288" s="14"/>
      <c r="BC288" s="14"/>
      <c r="BD288" s="14"/>
      <c r="BE288" s="14"/>
      <c r="BF288" s="14"/>
      <c r="BG288" s="14"/>
      <c r="BH288" s="14"/>
      <c r="BI288" s="14"/>
    </row>
    <row r="289" spans="1:61">
      <c r="A289" s="14"/>
      <c r="B289" s="14"/>
      <c r="C289" s="14"/>
      <c r="D289" s="167"/>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t="e">
        <f>IF('Stock Data'!$H$2,IF(ISNUMBER(AK289),AK289,NA()),NA())</f>
        <v>#N/A</v>
      </c>
      <c r="AO289" s="14"/>
      <c r="AP289" s="14"/>
      <c r="AQ289" s="14"/>
      <c r="AR289" s="14"/>
      <c r="AS289" s="14"/>
      <c r="AT289" s="14"/>
      <c r="AU289" s="14"/>
      <c r="AV289" s="14"/>
      <c r="AW289" s="14"/>
      <c r="AX289" s="14"/>
      <c r="AY289" s="14"/>
      <c r="AZ289" s="14"/>
      <c r="BA289" s="14"/>
      <c r="BB289" s="14"/>
      <c r="BC289" s="14"/>
      <c r="BD289" s="14"/>
      <c r="BE289" s="14"/>
      <c r="BF289" s="14"/>
      <c r="BG289" s="14"/>
      <c r="BH289" s="14"/>
      <c r="BI289" s="14"/>
    </row>
    <row r="290" spans="1:61">
      <c r="A290" s="14"/>
      <c r="B290" s="14"/>
      <c r="C290" s="14"/>
      <c r="D290" s="167"/>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t="e">
        <f>IF('Stock Data'!$H$2,IF(ISNUMBER(AK290),AK290,NA()),NA())</f>
        <v>#N/A</v>
      </c>
      <c r="AO290" s="14"/>
      <c r="AP290" s="14"/>
      <c r="AQ290" s="14"/>
      <c r="AR290" s="14"/>
      <c r="AS290" s="14"/>
      <c r="AT290" s="14"/>
      <c r="AU290" s="14"/>
      <c r="AV290" s="14"/>
      <c r="AW290" s="14"/>
      <c r="AX290" s="14"/>
      <c r="AY290" s="14"/>
      <c r="AZ290" s="14"/>
      <c r="BA290" s="14"/>
      <c r="BB290" s="14"/>
      <c r="BC290" s="14"/>
      <c r="BD290" s="14"/>
      <c r="BE290" s="14"/>
      <c r="BF290" s="14"/>
      <c r="BG290" s="14"/>
      <c r="BH290" s="14"/>
      <c r="BI290" s="14"/>
    </row>
    <row r="291" spans="1:61">
      <c r="A291" s="14"/>
      <c r="B291" s="14"/>
      <c r="C291" s="14"/>
      <c r="D291" s="167"/>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t="e">
        <f>IF('Stock Data'!$H$2,IF(ISNUMBER(AK291),AK291,NA()),NA())</f>
        <v>#N/A</v>
      </c>
      <c r="AO291" s="14"/>
      <c r="AP291" s="14"/>
      <c r="AQ291" s="14"/>
      <c r="AR291" s="14"/>
      <c r="AS291" s="14"/>
      <c r="AT291" s="14"/>
      <c r="AU291" s="14"/>
      <c r="AV291" s="14"/>
      <c r="AW291" s="14"/>
      <c r="AX291" s="14"/>
      <c r="AY291" s="14"/>
      <c r="AZ291" s="14"/>
      <c r="BA291" s="14"/>
      <c r="BB291" s="14"/>
      <c r="BC291" s="14"/>
      <c r="BD291" s="14"/>
      <c r="BE291" s="14"/>
      <c r="BF291" s="14"/>
      <c r="BG291" s="14"/>
      <c r="BH291" s="14"/>
      <c r="BI291" s="14"/>
    </row>
    <row r="292" spans="1:61">
      <c r="A292" s="14"/>
      <c r="B292" s="14"/>
      <c r="C292" s="14"/>
      <c r="D292" s="167"/>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t="e">
        <f>IF('Stock Data'!$H$2,IF(ISNUMBER(AK292),AK292,NA()),NA())</f>
        <v>#N/A</v>
      </c>
      <c r="AO292" s="14"/>
      <c r="AP292" s="14"/>
      <c r="AQ292" s="14"/>
      <c r="AR292" s="14"/>
      <c r="AS292" s="14"/>
      <c r="AT292" s="14"/>
      <c r="AU292" s="14"/>
      <c r="AV292" s="14"/>
      <c r="AW292" s="14"/>
      <c r="AX292" s="14"/>
      <c r="AY292" s="14"/>
      <c r="AZ292" s="14"/>
      <c r="BA292" s="14"/>
      <c r="BB292" s="14"/>
      <c r="BC292" s="14"/>
      <c r="BD292" s="14"/>
      <c r="BE292" s="14"/>
      <c r="BF292" s="14"/>
      <c r="BG292" s="14"/>
      <c r="BH292" s="14"/>
      <c r="BI292" s="14"/>
    </row>
    <row r="293" spans="1:61">
      <c r="A293" s="14"/>
      <c r="B293" s="14"/>
      <c r="C293" s="14"/>
      <c r="D293" s="167"/>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t="e">
        <f>IF('Stock Data'!$H$2,IF(ISNUMBER(AK293),AK293,NA()),NA())</f>
        <v>#N/A</v>
      </c>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1:61">
      <c r="A294" s="14"/>
      <c r="B294" s="14"/>
      <c r="C294" s="14"/>
      <c r="D294" s="167"/>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t="e">
        <f>IF('Stock Data'!$H$2,IF(ISNUMBER(AK294),AK294,NA()),NA())</f>
        <v>#N/A</v>
      </c>
      <c r="AO294" s="14"/>
      <c r="AP294" s="14"/>
      <c r="AQ294" s="14"/>
      <c r="AR294" s="14"/>
      <c r="AS294" s="14"/>
      <c r="AT294" s="14"/>
      <c r="AU294" s="14"/>
      <c r="AV294" s="14"/>
      <c r="AW294" s="14"/>
      <c r="AX294" s="14"/>
      <c r="AY294" s="14"/>
      <c r="AZ294" s="14"/>
      <c r="BA294" s="14"/>
      <c r="BB294" s="14"/>
      <c r="BC294" s="14"/>
      <c r="BD294" s="14"/>
      <c r="BE294" s="14"/>
      <c r="BF294" s="14"/>
      <c r="BG294" s="14"/>
      <c r="BH294" s="14"/>
      <c r="BI294" s="14"/>
    </row>
    <row r="295" spans="1:61">
      <c r="A295" s="14"/>
      <c r="B295" s="14"/>
      <c r="C295" s="14"/>
      <c r="D295" s="167"/>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t="e">
        <f>IF('Stock Data'!$H$2,IF(ISNUMBER(AK295),AK295,NA()),NA())</f>
        <v>#N/A</v>
      </c>
      <c r="AO295" s="14"/>
      <c r="AP295" s="14"/>
      <c r="AQ295" s="14"/>
      <c r="AR295" s="14"/>
      <c r="AS295" s="14"/>
      <c r="AT295" s="14"/>
      <c r="AU295" s="14"/>
      <c r="AV295" s="14"/>
      <c r="AW295" s="14"/>
      <c r="AX295" s="14"/>
      <c r="AY295" s="14"/>
      <c r="AZ295" s="14"/>
      <c r="BA295" s="14"/>
      <c r="BB295" s="14"/>
      <c r="BC295" s="14"/>
      <c r="BD295" s="14"/>
      <c r="BE295" s="14"/>
      <c r="BF295" s="14"/>
      <c r="BG295" s="14"/>
      <c r="BH295" s="14"/>
      <c r="BI295" s="14"/>
    </row>
    <row r="296" spans="1:61">
      <c r="A296" s="14"/>
      <c r="B296" s="14"/>
      <c r="C296" s="14"/>
      <c r="D296" s="167"/>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t="e">
        <f>IF('Stock Data'!$H$2,IF(ISNUMBER(AK296),AK296,NA()),NA())</f>
        <v>#N/A</v>
      </c>
      <c r="AO296" s="14"/>
      <c r="AP296" s="14"/>
      <c r="AQ296" s="14"/>
      <c r="AR296" s="14"/>
      <c r="AS296" s="14"/>
      <c r="AT296" s="14"/>
      <c r="AU296" s="14"/>
      <c r="AV296" s="14"/>
      <c r="AW296" s="14"/>
      <c r="AX296" s="14"/>
      <c r="AY296" s="14"/>
      <c r="AZ296" s="14"/>
      <c r="BA296" s="14"/>
      <c r="BB296" s="14"/>
      <c r="BC296" s="14"/>
      <c r="BD296" s="14"/>
      <c r="BE296" s="14"/>
      <c r="BF296" s="14"/>
      <c r="BG296" s="14"/>
      <c r="BH296" s="14"/>
      <c r="BI296" s="14"/>
    </row>
    <row r="297" spans="1:61">
      <c r="A297" s="14"/>
      <c r="B297" s="14"/>
      <c r="C297" s="14"/>
      <c r="D297" s="167"/>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t="e">
        <f>IF('Stock Data'!$H$2,IF(ISNUMBER(AK297),AK297,NA()),NA())</f>
        <v>#N/A</v>
      </c>
      <c r="AO297" s="14"/>
      <c r="AP297" s="14"/>
      <c r="AQ297" s="14"/>
      <c r="AR297" s="14"/>
      <c r="AS297" s="14"/>
      <c r="AT297" s="14"/>
      <c r="AU297" s="14"/>
      <c r="AV297" s="14"/>
      <c r="AW297" s="14"/>
      <c r="AX297" s="14"/>
      <c r="AY297" s="14"/>
      <c r="AZ297" s="14"/>
      <c r="BA297" s="14"/>
      <c r="BB297" s="14"/>
      <c r="BC297" s="14"/>
      <c r="BD297" s="14"/>
      <c r="BE297" s="14"/>
      <c r="BF297" s="14"/>
      <c r="BG297" s="14"/>
      <c r="BH297" s="14"/>
      <c r="BI297" s="14"/>
    </row>
    <row r="298" spans="1:61">
      <c r="A298" s="14"/>
      <c r="B298" s="14"/>
      <c r="C298" s="14"/>
      <c r="D298" s="167"/>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t="e">
        <f>IF('Stock Data'!$H$2,IF(ISNUMBER(AK298),AK298,NA()),NA())</f>
        <v>#N/A</v>
      </c>
      <c r="AO298" s="14"/>
      <c r="AP298" s="14"/>
      <c r="AQ298" s="14"/>
      <c r="AR298" s="14"/>
      <c r="AS298" s="14"/>
      <c r="AT298" s="14"/>
      <c r="AU298" s="14"/>
      <c r="AV298" s="14"/>
      <c r="AW298" s="14"/>
      <c r="AX298" s="14"/>
      <c r="AY298" s="14"/>
      <c r="AZ298" s="14"/>
      <c r="BA298" s="14"/>
      <c r="BB298" s="14"/>
      <c r="BC298" s="14"/>
      <c r="BD298" s="14"/>
      <c r="BE298" s="14"/>
      <c r="BF298" s="14"/>
      <c r="BG298" s="14"/>
      <c r="BH298" s="14"/>
      <c r="BI298" s="14"/>
    </row>
    <row r="299" spans="1:61">
      <c r="A299" s="14"/>
      <c r="B299" s="14"/>
      <c r="C299" s="14"/>
      <c r="D299" s="167"/>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t="e">
        <f>IF('Stock Data'!$H$2,IF(ISNUMBER(AK299),AK299,NA()),NA())</f>
        <v>#N/A</v>
      </c>
      <c r="AO299" s="14"/>
      <c r="AP299" s="14"/>
      <c r="AQ299" s="14"/>
      <c r="AR299" s="14"/>
      <c r="AS299" s="14"/>
      <c r="AT299" s="14"/>
      <c r="AU299" s="14"/>
      <c r="AV299" s="14"/>
      <c r="AW299" s="14"/>
      <c r="AX299" s="14"/>
      <c r="AY299" s="14"/>
      <c r="AZ299" s="14"/>
      <c r="BA299" s="14"/>
      <c r="BB299" s="14"/>
      <c r="BC299" s="14"/>
      <c r="BD299" s="14"/>
      <c r="BE299" s="14"/>
      <c r="BF299" s="14"/>
      <c r="BG299" s="14"/>
      <c r="BH299" s="14"/>
      <c r="BI299" s="14"/>
    </row>
    <row r="300" spans="1:61">
      <c r="A300" s="14"/>
      <c r="B300" s="14"/>
      <c r="C300" s="14"/>
      <c r="D300" s="167"/>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t="e">
        <f>IF('Stock Data'!$H$2,IF(ISNUMBER(AK300),AK300,NA()),NA())</f>
        <v>#N/A</v>
      </c>
      <c r="AO300" s="14"/>
      <c r="AP300" s="14"/>
      <c r="AQ300" s="14"/>
      <c r="AR300" s="14"/>
      <c r="AS300" s="14"/>
      <c r="AT300" s="14"/>
      <c r="AU300" s="14"/>
      <c r="AV300" s="14"/>
      <c r="AW300" s="14"/>
      <c r="AX300" s="14"/>
      <c r="AY300" s="14"/>
      <c r="AZ300" s="14"/>
      <c r="BA300" s="14"/>
      <c r="BB300" s="14"/>
      <c r="BC300" s="14"/>
      <c r="BD300" s="14"/>
      <c r="BE300" s="14"/>
      <c r="BF300" s="14"/>
      <c r="BG300" s="14"/>
      <c r="BH300" s="14"/>
      <c r="BI300" s="14"/>
    </row>
    <row r="301" spans="1:61">
      <c r="A301" s="14"/>
      <c r="B301" s="14"/>
      <c r="C301" s="14"/>
      <c r="D301" s="167"/>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t="e">
        <f>IF('Stock Data'!$H$2,IF(ISNUMBER(AK301),AK301,NA()),NA())</f>
        <v>#N/A</v>
      </c>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1:61">
      <c r="A302" s="14"/>
      <c r="B302" s="14"/>
      <c r="C302" s="14"/>
      <c r="D302" s="167"/>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t="e">
        <f>IF('Stock Data'!$H$2,IF(ISNUMBER(AK302),AK302,NA()),NA())</f>
        <v>#N/A</v>
      </c>
      <c r="AO302" s="14"/>
      <c r="AP302" s="14"/>
      <c r="AQ302" s="14"/>
      <c r="AR302" s="14"/>
      <c r="AS302" s="14"/>
      <c r="AT302" s="14"/>
      <c r="AU302" s="14"/>
      <c r="AV302" s="14"/>
      <c r="AW302" s="14"/>
      <c r="AX302" s="14"/>
      <c r="AY302" s="14"/>
      <c r="AZ302" s="14"/>
      <c r="BA302" s="14"/>
      <c r="BB302" s="14"/>
      <c r="BC302" s="14"/>
      <c r="BD302" s="14"/>
      <c r="BE302" s="14"/>
      <c r="BF302" s="14"/>
      <c r="BG302" s="14"/>
      <c r="BH302" s="14"/>
      <c r="BI302" s="14"/>
    </row>
    <row r="303" spans="1:61">
      <c r="A303" s="14"/>
      <c r="B303" s="14"/>
      <c r="C303" s="14"/>
      <c r="D303" s="167"/>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t="e">
        <f>IF('Stock Data'!$H$2,IF(ISNUMBER(AK303),AK303,NA()),NA())</f>
        <v>#N/A</v>
      </c>
      <c r="AO303" s="14"/>
      <c r="AP303" s="14"/>
      <c r="AQ303" s="14"/>
      <c r="AR303" s="14"/>
      <c r="AS303" s="14"/>
      <c r="AT303" s="14"/>
      <c r="AU303" s="14"/>
      <c r="AV303" s="14"/>
      <c r="AW303" s="14"/>
      <c r="AX303" s="14"/>
      <c r="AY303" s="14"/>
      <c r="AZ303" s="14"/>
      <c r="BA303" s="14"/>
      <c r="BB303" s="14"/>
      <c r="BC303" s="14"/>
      <c r="BD303" s="14"/>
      <c r="BE303" s="14"/>
      <c r="BF303" s="14"/>
      <c r="BG303" s="14"/>
      <c r="BH303" s="14"/>
      <c r="BI303" s="14"/>
    </row>
    <row r="304" spans="1:61">
      <c r="A304" s="14"/>
      <c r="B304" s="14"/>
      <c r="C304" s="14"/>
      <c r="D304" s="167"/>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t="e">
        <f>IF('Stock Data'!$H$2,IF(ISNUMBER(AK304),AK304,NA()),NA())</f>
        <v>#N/A</v>
      </c>
      <c r="AO304" s="14"/>
      <c r="AP304" s="14"/>
      <c r="AQ304" s="14"/>
      <c r="AR304" s="14"/>
      <c r="AS304" s="14"/>
      <c r="AT304" s="14"/>
      <c r="AU304" s="14"/>
      <c r="AV304" s="14"/>
      <c r="AW304" s="14"/>
      <c r="AX304" s="14"/>
      <c r="AY304" s="14"/>
      <c r="AZ304" s="14"/>
      <c r="BA304" s="14"/>
      <c r="BB304" s="14"/>
      <c r="BC304" s="14"/>
      <c r="BD304" s="14"/>
      <c r="BE304" s="14"/>
      <c r="BF304" s="14"/>
      <c r="BG304" s="14"/>
      <c r="BH304" s="14"/>
      <c r="BI304" s="14"/>
    </row>
    <row r="305" spans="1:61">
      <c r="A305" s="14"/>
      <c r="B305" s="14"/>
      <c r="C305" s="14"/>
      <c r="D305" s="167"/>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t="e">
        <f>IF('Stock Data'!$H$2,IF(ISNUMBER(AK305),AK305,NA()),NA())</f>
        <v>#N/A</v>
      </c>
      <c r="AO305" s="14"/>
      <c r="AP305" s="14"/>
      <c r="AQ305" s="14"/>
      <c r="AR305" s="14"/>
      <c r="AS305" s="14"/>
      <c r="AT305" s="14"/>
      <c r="AU305" s="14"/>
      <c r="AV305" s="14"/>
      <c r="AW305" s="14"/>
      <c r="AX305" s="14"/>
      <c r="AY305" s="14"/>
      <c r="AZ305" s="14"/>
      <c r="BA305" s="14"/>
      <c r="BB305" s="14"/>
      <c r="BC305" s="14"/>
      <c r="BD305" s="14"/>
      <c r="BE305" s="14"/>
      <c r="BF305" s="14"/>
      <c r="BG305" s="14"/>
      <c r="BH305" s="14"/>
      <c r="BI305" s="14"/>
    </row>
    <row r="306" spans="1:61">
      <c r="A306" s="14"/>
      <c r="B306" s="14"/>
      <c r="C306" s="14"/>
      <c r="D306" s="167"/>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t="e">
        <f>IF('Stock Data'!$H$2,IF(ISNUMBER(AK306),AK306,NA()),NA())</f>
        <v>#N/A</v>
      </c>
      <c r="AO306" s="14"/>
      <c r="AP306" s="14"/>
      <c r="AQ306" s="14"/>
      <c r="AR306" s="14"/>
      <c r="AS306" s="14"/>
      <c r="AT306" s="14"/>
      <c r="AU306" s="14"/>
      <c r="AV306" s="14"/>
      <c r="AW306" s="14"/>
      <c r="AX306" s="14"/>
      <c r="AY306" s="14"/>
      <c r="AZ306" s="14"/>
      <c r="BA306" s="14"/>
      <c r="BB306" s="14"/>
      <c r="BC306" s="14"/>
      <c r="BD306" s="14"/>
      <c r="BE306" s="14"/>
      <c r="BF306" s="14"/>
      <c r="BG306" s="14"/>
      <c r="BH306" s="14"/>
      <c r="BI306" s="14"/>
    </row>
    <row r="307" spans="1:61">
      <c r="A307" s="14"/>
      <c r="B307" s="14"/>
      <c r="C307" s="14"/>
      <c r="D307" s="167"/>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t="e">
        <f>IF('Stock Data'!$H$2,IF(ISNUMBER(AK307),AK307,NA()),NA())</f>
        <v>#N/A</v>
      </c>
      <c r="AO307" s="14"/>
      <c r="AP307" s="14"/>
      <c r="AQ307" s="14"/>
      <c r="AR307" s="14"/>
      <c r="AS307" s="14"/>
      <c r="AT307" s="14"/>
      <c r="AU307" s="14"/>
      <c r="AV307" s="14"/>
      <c r="AW307" s="14"/>
      <c r="AX307" s="14"/>
      <c r="AY307" s="14"/>
      <c r="AZ307" s="14"/>
      <c r="BA307" s="14"/>
      <c r="BB307" s="14"/>
      <c r="BC307" s="14"/>
      <c r="BD307" s="14"/>
      <c r="BE307" s="14"/>
      <c r="BF307" s="14"/>
      <c r="BG307" s="14"/>
      <c r="BH307" s="14"/>
      <c r="BI307" s="14"/>
    </row>
    <row r="308" spans="1:61">
      <c r="A308" s="14"/>
      <c r="B308" s="14"/>
      <c r="C308" s="14"/>
      <c r="D308" s="167"/>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t="e">
        <f>IF('Stock Data'!$H$2,IF(ISNUMBER(AK308),AK308,NA()),NA())</f>
        <v>#N/A</v>
      </c>
      <c r="AO308" s="14"/>
      <c r="AP308" s="14"/>
      <c r="AQ308" s="14"/>
      <c r="AR308" s="14"/>
      <c r="AS308" s="14"/>
      <c r="AT308" s="14"/>
      <c r="AU308" s="14"/>
      <c r="AV308" s="14"/>
      <c r="AW308" s="14"/>
      <c r="AX308" s="14"/>
      <c r="AY308" s="14"/>
      <c r="AZ308" s="14"/>
      <c r="BA308" s="14"/>
      <c r="BB308" s="14"/>
      <c r="BC308" s="14"/>
      <c r="BD308" s="14"/>
      <c r="BE308" s="14"/>
      <c r="BF308" s="14"/>
      <c r="BG308" s="14"/>
      <c r="BH308" s="14"/>
      <c r="BI308" s="14"/>
    </row>
    <row r="309" spans="1:61">
      <c r="A309" s="14"/>
      <c r="B309" s="14"/>
      <c r="C309" s="14"/>
      <c r="D309" s="167"/>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t="e">
        <f>IF('Stock Data'!$H$2,IF(ISNUMBER(AK309),AK309,NA()),NA())</f>
        <v>#N/A</v>
      </c>
      <c r="AO309" s="14"/>
      <c r="AP309" s="14"/>
      <c r="AQ309" s="14"/>
      <c r="AR309" s="14"/>
      <c r="AS309" s="14"/>
      <c r="AT309" s="14"/>
      <c r="AU309" s="14"/>
      <c r="AV309" s="14"/>
      <c r="AW309" s="14"/>
      <c r="AX309" s="14"/>
      <c r="AY309" s="14"/>
      <c r="AZ309" s="14"/>
      <c r="BA309" s="14"/>
      <c r="BB309" s="14"/>
      <c r="BC309" s="14"/>
      <c r="BD309" s="14"/>
      <c r="BE309" s="14"/>
      <c r="BF309" s="14"/>
      <c r="BG309" s="14"/>
      <c r="BH309" s="14"/>
      <c r="BI309" s="14"/>
    </row>
    <row r="310" spans="1:61">
      <c r="A310" s="14"/>
      <c r="B310" s="14"/>
      <c r="C310" s="14"/>
      <c r="D310" s="167"/>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t="e">
        <f>IF('Stock Data'!$H$2,IF(ISNUMBER(AK310),AK310,NA()),NA())</f>
        <v>#N/A</v>
      </c>
      <c r="AO310" s="14"/>
      <c r="AP310" s="14"/>
      <c r="AQ310" s="14"/>
      <c r="AR310" s="14"/>
      <c r="AS310" s="14"/>
      <c r="AT310" s="14"/>
      <c r="AU310" s="14"/>
      <c r="AV310" s="14"/>
      <c r="AW310" s="14"/>
      <c r="AX310" s="14"/>
      <c r="AY310" s="14"/>
      <c r="AZ310" s="14"/>
      <c r="BA310" s="14"/>
      <c r="BB310" s="14"/>
      <c r="BC310" s="14"/>
      <c r="BD310" s="14"/>
      <c r="BE310" s="14"/>
      <c r="BF310" s="14"/>
      <c r="BG310" s="14"/>
      <c r="BH310" s="14"/>
      <c r="BI310" s="14"/>
    </row>
    <row r="311" spans="1:61">
      <c r="A311" s="14"/>
      <c r="B311" s="14"/>
      <c r="C311" s="14"/>
      <c r="D311" s="167"/>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t="e">
        <f>IF('Stock Data'!$H$2,IF(ISNUMBER(AK311),AK311,NA()),NA())</f>
        <v>#N/A</v>
      </c>
      <c r="AO311" s="14"/>
      <c r="AP311" s="14"/>
      <c r="AQ311" s="14"/>
      <c r="AR311" s="14"/>
      <c r="AS311" s="14"/>
      <c r="AT311" s="14"/>
      <c r="AU311" s="14"/>
      <c r="AV311" s="14"/>
      <c r="AW311" s="14"/>
      <c r="AX311" s="14"/>
      <c r="AY311" s="14"/>
      <c r="AZ311" s="14"/>
      <c r="BA311" s="14"/>
      <c r="BB311" s="14"/>
      <c r="BC311" s="14"/>
      <c r="BD311" s="14"/>
      <c r="BE311" s="14"/>
      <c r="BF311" s="14"/>
      <c r="BG311" s="14"/>
      <c r="BH311" s="14"/>
      <c r="BI311" s="14"/>
    </row>
    <row r="312" spans="1:61">
      <c r="A312" s="14"/>
      <c r="B312" s="14"/>
      <c r="C312" s="14"/>
      <c r="D312" s="167"/>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t="e">
        <f>IF('Stock Data'!$H$2,IF(ISNUMBER(AK312),AK312,NA()),NA())</f>
        <v>#N/A</v>
      </c>
      <c r="AO312" s="14"/>
      <c r="AP312" s="14"/>
      <c r="AQ312" s="14"/>
      <c r="AR312" s="14"/>
      <c r="AS312" s="14"/>
      <c r="AT312" s="14"/>
      <c r="AU312" s="14"/>
      <c r="AV312" s="14"/>
      <c r="AW312" s="14"/>
      <c r="AX312" s="14"/>
      <c r="AY312" s="14"/>
      <c r="AZ312" s="14"/>
      <c r="BA312" s="14"/>
      <c r="BB312" s="14"/>
      <c r="BC312" s="14"/>
      <c r="BD312" s="14"/>
      <c r="BE312" s="14"/>
      <c r="BF312" s="14"/>
      <c r="BG312" s="14"/>
      <c r="BH312" s="14"/>
      <c r="BI312" s="14"/>
    </row>
    <row r="313" spans="1:61">
      <c r="A313" s="14"/>
      <c r="B313" s="14"/>
      <c r="C313" s="14"/>
      <c r="D313" s="167"/>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t="e">
        <f>IF('Stock Data'!$H$2,IF(ISNUMBER(AK313),AK313,NA()),NA())</f>
        <v>#N/A</v>
      </c>
      <c r="AO313" s="14"/>
      <c r="AP313" s="14"/>
      <c r="AQ313" s="14"/>
      <c r="AR313" s="14"/>
      <c r="AS313" s="14"/>
      <c r="AT313" s="14"/>
      <c r="AU313" s="14"/>
      <c r="AV313" s="14"/>
      <c r="AW313" s="14"/>
      <c r="AX313" s="14"/>
      <c r="AY313" s="14"/>
      <c r="AZ313" s="14"/>
      <c r="BA313" s="14"/>
      <c r="BB313" s="14"/>
      <c r="BC313" s="14"/>
      <c r="BD313" s="14"/>
      <c r="BE313" s="14"/>
      <c r="BF313" s="14"/>
      <c r="BG313" s="14"/>
      <c r="BH313" s="14"/>
      <c r="BI313" s="14"/>
    </row>
    <row r="314" spans="1:61">
      <c r="A314" s="14"/>
      <c r="B314" s="14"/>
      <c r="C314" s="14"/>
      <c r="D314" s="167"/>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t="e">
        <f>IF('Stock Data'!$H$2,IF(ISNUMBER(AK314),AK314,NA()),NA())</f>
        <v>#N/A</v>
      </c>
      <c r="AO314" s="14"/>
      <c r="AP314" s="14"/>
      <c r="AQ314" s="14"/>
      <c r="AR314" s="14"/>
      <c r="AS314" s="14"/>
      <c r="AT314" s="14"/>
      <c r="AU314" s="14"/>
      <c r="AV314" s="14"/>
      <c r="AW314" s="14"/>
      <c r="AX314" s="14"/>
      <c r="AY314" s="14"/>
      <c r="AZ314" s="14"/>
      <c r="BA314" s="14"/>
      <c r="BB314" s="14"/>
      <c r="BC314" s="14"/>
      <c r="BD314" s="14"/>
      <c r="BE314" s="14"/>
      <c r="BF314" s="14"/>
      <c r="BG314" s="14"/>
      <c r="BH314" s="14"/>
      <c r="BI314" s="14"/>
    </row>
    <row r="315" spans="1:61">
      <c r="A315" s="14"/>
      <c r="B315" s="14"/>
      <c r="C315" s="14"/>
      <c r="D315" s="167"/>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t="e">
        <f>IF('Stock Data'!$H$2,IF(ISNUMBER(AK315),AK315,NA()),NA())</f>
        <v>#N/A</v>
      </c>
      <c r="AO315" s="14"/>
      <c r="AP315" s="14"/>
      <c r="AQ315" s="14"/>
      <c r="AR315" s="14"/>
      <c r="AS315" s="14"/>
      <c r="AT315" s="14"/>
      <c r="AU315" s="14"/>
      <c r="AV315" s="14"/>
      <c r="AW315" s="14"/>
      <c r="AX315" s="14"/>
      <c r="AY315" s="14"/>
      <c r="AZ315" s="14"/>
      <c r="BA315" s="14"/>
      <c r="BB315" s="14"/>
      <c r="BC315" s="14"/>
      <c r="BD315" s="14"/>
      <c r="BE315" s="14"/>
      <c r="BF315" s="14"/>
      <c r="BG315" s="14"/>
      <c r="BH315" s="14"/>
      <c r="BI315" s="14"/>
    </row>
    <row r="316" spans="1:61">
      <c r="A316" s="14"/>
      <c r="B316" s="14"/>
      <c r="C316" s="14"/>
      <c r="D316" s="167"/>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t="e">
        <f>IF('Stock Data'!$H$2,IF(ISNUMBER(AK316),AK316,NA()),NA())</f>
        <v>#N/A</v>
      </c>
      <c r="AO316" s="14"/>
      <c r="AP316" s="14"/>
      <c r="AQ316" s="14"/>
      <c r="AR316" s="14"/>
      <c r="AS316" s="14"/>
      <c r="AT316" s="14"/>
      <c r="AU316" s="14"/>
      <c r="AV316" s="14"/>
      <c r="AW316" s="14"/>
      <c r="AX316" s="14"/>
      <c r="AY316" s="14"/>
      <c r="AZ316" s="14"/>
      <c r="BA316" s="14"/>
      <c r="BB316" s="14"/>
      <c r="BC316" s="14"/>
      <c r="BD316" s="14"/>
      <c r="BE316" s="14"/>
      <c r="BF316" s="14"/>
      <c r="BG316" s="14"/>
      <c r="BH316" s="14"/>
      <c r="BI316" s="14"/>
    </row>
    <row r="317" spans="1:61">
      <c r="A317" s="14"/>
      <c r="B317" s="14"/>
      <c r="C317" s="14"/>
      <c r="D317" s="167"/>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t="e">
        <f>IF('Stock Data'!$H$2,IF(ISNUMBER(AK317),AK317,NA()),NA())</f>
        <v>#N/A</v>
      </c>
      <c r="AO317" s="14"/>
      <c r="AP317" s="14"/>
      <c r="AQ317" s="14"/>
      <c r="AR317" s="14"/>
      <c r="AS317" s="14"/>
      <c r="AT317" s="14"/>
      <c r="AU317" s="14"/>
      <c r="AV317" s="14"/>
      <c r="AW317" s="14"/>
      <c r="AX317" s="14"/>
      <c r="AY317" s="14"/>
      <c r="AZ317" s="14"/>
      <c r="BA317" s="14"/>
      <c r="BB317" s="14"/>
      <c r="BC317" s="14"/>
      <c r="BD317" s="14"/>
      <c r="BE317" s="14"/>
      <c r="BF317" s="14"/>
      <c r="BG317" s="14"/>
      <c r="BH317" s="14"/>
      <c r="BI317" s="14"/>
    </row>
    <row r="318" spans="1:61">
      <c r="A318" s="14"/>
      <c r="B318" s="14"/>
      <c r="C318" s="14"/>
      <c r="D318" s="167"/>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t="e">
        <f>IF('Stock Data'!$H$2,IF(ISNUMBER(AK318),AK318,NA()),NA())</f>
        <v>#N/A</v>
      </c>
      <c r="AO318" s="14"/>
      <c r="AP318" s="14"/>
      <c r="AQ318" s="14"/>
      <c r="AR318" s="14"/>
      <c r="AS318" s="14"/>
      <c r="AT318" s="14"/>
      <c r="AU318" s="14"/>
      <c r="AV318" s="14"/>
      <c r="AW318" s="14"/>
      <c r="AX318" s="14"/>
      <c r="AY318" s="14"/>
      <c r="AZ318" s="14"/>
      <c r="BA318" s="14"/>
      <c r="BB318" s="14"/>
      <c r="BC318" s="14"/>
      <c r="BD318" s="14"/>
      <c r="BE318" s="14"/>
      <c r="BF318" s="14"/>
      <c r="BG318" s="14"/>
      <c r="BH318" s="14"/>
      <c r="BI318" s="14"/>
    </row>
    <row r="319" spans="1:61">
      <c r="A319" s="14"/>
      <c r="B319" s="14"/>
      <c r="C319" s="14"/>
      <c r="D319" s="167"/>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t="e">
        <f>IF('Stock Data'!$H$2,IF(ISNUMBER(AK319),AK319,NA()),NA())</f>
        <v>#N/A</v>
      </c>
      <c r="AO319" s="14"/>
      <c r="AP319" s="14"/>
      <c r="AQ319" s="14"/>
      <c r="AR319" s="14"/>
      <c r="AS319" s="14"/>
      <c r="AT319" s="14"/>
      <c r="AU319" s="14"/>
      <c r="AV319" s="14"/>
      <c r="AW319" s="14"/>
      <c r="AX319" s="14"/>
      <c r="AY319" s="14"/>
      <c r="AZ319" s="14"/>
      <c r="BA319" s="14"/>
      <c r="BB319" s="14"/>
      <c r="BC319" s="14"/>
      <c r="BD319" s="14"/>
      <c r="BE319" s="14"/>
      <c r="BF319" s="14"/>
      <c r="BG319" s="14"/>
      <c r="BH319" s="14"/>
      <c r="BI319" s="14"/>
    </row>
    <row r="320" spans="1:61">
      <c r="A320" s="14"/>
      <c r="B320" s="14"/>
      <c r="C320" s="14"/>
      <c r="D320" s="167"/>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t="e">
        <f>IF('Stock Data'!$H$2,IF(ISNUMBER(AK320),AK320,NA()),NA())</f>
        <v>#N/A</v>
      </c>
      <c r="AO320" s="14"/>
      <c r="AP320" s="14"/>
      <c r="AQ320" s="14"/>
      <c r="AR320" s="14"/>
      <c r="AS320" s="14"/>
      <c r="AT320" s="14"/>
      <c r="AU320" s="14"/>
      <c r="AV320" s="14"/>
      <c r="AW320" s="14"/>
      <c r="AX320" s="14"/>
      <c r="AY320" s="14"/>
      <c r="AZ320" s="14"/>
      <c r="BA320" s="14"/>
      <c r="BB320" s="14"/>
      <c r="BC320" s="14"/>
      <c r="BD320" s="14"/>
      <c r="BE320" s="14"/>
      <c r="BF320" s="14"/>
      <c r="BG320" s="14"/>
      <c r="BH320" s="14"/>
      <c r="BI320" s="14"/>
    </row>
    <row r="321" spans="1:61">
      <c r="A321" s="14"/>
      <c r="B321" s="14"/>
      <c r="C321" s="14"/>
      <c r="D321" s="167"/>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t="e">
        <f>IF('Stock Data'!$H$2,IF(ISNUMBER(AK321),AK321,NA()),NA())</f>
        <v>#N/A</v>
      </c>
      <c r="AO321" s="14"/>
      <c r="AP321" s="14"/>
      <c r="AQ321" s="14"/>
      <c r="AR321" s="14"/>
      <c r="AS321" s="14"/>
      <c r="AT321" s="14"/>
      <c r="AU321" s="14"/>
      <c r="AV321" s="14"/>
      <c r="AW321" s="14"/>
      <c r="AX321" s="14"/>
      <c r="AY321" s="14"/>
      <c r="AZ321" s="14"/>
      <c r="BA321" s="14"/>
      <c r="BB321" s="14"/>
      <c r="BC321" s="14"/>
      <c r="BD321" s="14"/>
      <c r="BE321" s="14"/>
      <c r="BF321" s="14"/>
      <c r="BG321" s="14"/>
      <c r="BH321" s="14"/>
      <c r="BI321" s="14"/>
    </row>
    <row r="322" spans="1:61">
      <c r="A322" s="14"/>
      <c r="B322" s="14"/>
      <c r="C322" s="14"/>
      <c r="D322" s="167"/>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t="e">
        <f>IF('Stock Data'!$H$2,IF(ISNUMBER(AK322),AK322,NA()),NA())</f>
        <v>#N/A</v>
      </c>
      <c r="AO322" s="14"/>
      <c r="AP322" s="14"/>
      <c r="AQ322" s="14"/>
      <c r="AR322" s="14"/>
      <c r="AS322" s="14"/>
      <c r="AT322" s="14"/>
      <c r="AU322" s="14"/>
      <c r="AV322" s="14"/>
      <c r="AW322" s="14"/>
      <c r="AX322" s="14"/>
      <c r="AY322" s="14"/>
      <c r="AZ322" s="14"/>
      <c r="BA322" s="14"/>
      <c r="BB322" s="14"/>
      <c r="BC322" s="14"/>
      <c r="BD322" s="14"/>
      <c r="BE322" s="14"/>
      <c r="BF322" s="14"/>
      <c r="BG322" s="14"/>
      <c r="BH322" s="14"/>
      <c r="BI322" s="14"/>
    </row>
    <row r="323" spans="1:61">
      <c r="A323" s="14"/>
      <c r="B323" s="14"/>
      <c r="C323" s="14"/>
      <c r="D323" s="167"/>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t="e">
        <f>IF('Stock Data'!$H$2,IF(ISNUMBER(AK323),AK323,NA()),NA())</f>
        <v>#N/A</v>
      </c>
      <c r="AO323" s="14"/>
      <c r="AP323" s="14"/>
      <c r="AQ323" s="14"/>
      <c r="AR323" s="14"/>
      <c r="AS323" s="14"/>
      <c r="AT323" s="14"/>
      <c r="AU323" s="14"/>
      <c r="AV323" s="14"/>
      <c r="AW323" s="14"/>
      <c r="AX323" s="14"/>
      <c r="AY323" s="14"/>
      <c r="AZ323" s="14"/>
      <c r="BA323" s="14"/>
      <c r="BB323" s="14"/>
      <c r="BC323" s="14"/>
      <c r="BD323" s="14"/>
      <c r="BE323" s="14"/>
      <c r="BF323" s="14"/>
      <c r="BG323" s="14"/>
      <c r="BH323" s="14"/>
      <c r="BI323" s="14"/>
    </row>
    <row r="324" spans="1:61">
      <c r="A324" s="14"/>
      <c r="B324" s="14"/>
      <c r="C324" s="14"/>
      <c r="D324" s="167"/>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t="e">
        <f>IF('Stock Data'!$H$2,IF(ISNUMBER(AK324),AK324,NA()),NA())</f>
        <v>#N/A</v>
      </c>
      <c r="AO324" s="14"/>
      <c r="AP324" s="14"/>
      <c r="AQ324" s="14"/>
      <c r="AR324" s="14"/>
      <c r="AS324" s="14"/>
      <c r="AT324" s="14"/>
      <c r="AU324" s="14"/>
      <c r="AV324" s="14"/>
      <c r="AW324" s="14"/>
      <c r="AX324" s="14"/>
      <c r="AY324" s="14"/>
      <c r="AZ324" s="14"/>
      <c r="BA324" s="14"/>
      <c r="BB324" s="14"/>
      <c r="BC324" s="14"/>
      <c r="BD324" s="14"/>
      <c r="BE324" s="14"/>
      <c r="BF324" s="14"/>
      <c r="BG324" s="14"/>
      <c r="BH324" s="14"/>
      <c r="BI324" s="14"/>
    </row>
    <row r="325" spans="1:61">
      <c r="A325" s="14"/>
      <c r="B325" s="14"/>
      <c r="C325" s="14"/>
      <c r="D325" s="167"/>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t="e">
        <f>IF('Stock Data'!$H$2,IF(ISNUMBER(AK325),AK325,NA()),NA())</f>
        <v>#N/A</v>
      </c>
      <c r="AO325" s="14"/>
      <c r="AP325" s="14"/>
      <c r="AQ325" s="14"/>
      <c r="AR325" s="14"/>
      <c r="AS325" s="14"/>
      <c r="AT325" s="14"/>
      <c r="AU325" s="14"/>
      <c r="AV325" s="14"/>
      <c r="AW325" s="14"/>
      <c r="AX325" s="14"/>
      <c r="AY325" s="14"/>
      <c r="AZ325" s="14"/>
      <c r="BA325" s="14"/>
      <c r="BB325" s="14"/>
      <c r="BC325" s="14"/>
      <c r="BD325" s="14"/>
      <c r="BE325" s="14"/>
      <c r="BF325" s="14"/>
      <c r="BG325" s="14"/>
      <c r="BH325" s="14"/>
      <c r="BI325" s="14"/>
    </row>
    <row r="326" spans="1:61">
      <c r="A326" s="14"/>
      <c r="B326" s="14"/>
      <c r="C326" s="14"/>
      <c r="D326" s="167"/>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t="e">
        <f>IF('Stock Data'!$H$2,IF(ISNUMBER(AK326),AK326,NA()),NA())</f>
        <v>#N/A</v>
      </c>
      <c r="AO326" s="14"/>
      <c r="AP326" s="14"/>
      <c r="AQ326" s="14"/>
      <c r="AR326" s="14"/>
      <c r="AS326" s="14"/>
      <c r="AT326" s="14"/>
      <c r="AU326" s="14"/>
      <c r="AV326" s="14"/>
      <c r="AW326" s="14"/>
      <c r="AX326" s="14"/>
      <c r="AY326" s="14"/>
      <c r="AZ326" s="14"/>
      <c r="BA326" s="14"/>
      <c r="BB326" s="14"/>
      <c r="BC326" s="14"/>
      <c r="BD326" s="14"/>
      <c r="BE326" s="14"/>
      <c r="BF326" s="14"/>
      <c r="BG326" s="14"/>
      <c r="BH326" s="14"/>
      <c r="BI326" s="14"/>
    </row>
    <row r="327" spans="1:61">
      <c r="A327" s="14"/>
      <c r="B327" s="14"/>
      <c r="C327" s="14"/>
      <c r="D327" s="167"/>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t="e">
        <f>IF('Stock Data'!$H$2,IF(ISNUMBER(AK327),AK327,NA()),NA())</f>
        <v>#N/A</v>
      </c>
      <c r="AO327" s="14"/>
      <c r="AP327" s="14"/>
      <c r="AQ327" s="14"/>
      <c r="AR327" s="14"/>
      <c r="AS327" s="14"/>
      <c r="AT327" s="14"/>
      <c r="AU327" s="14"/>
      <c r="AV327" s="14"/>
      <c r="AW327" s="14"/>
      <c r="AX327" s="14"/>
      <c r="AY327" s="14"/>
      <c r="AZ327" s="14"/>
      <c r="BA327" s="14"/>
      <c r="BB327" s="14"/>
      <c r="BC327" s="14"/>
      <c r="BD327" s="14"/>
      <c r="BE327" s="14"/>
      <c r="BF327" s="14"/>
      <c r="BG327" s="14"/>
      <c r="BH327" s="14"/>
      <c r="BI327" s="14"/>
    </row>
    <row r="328" spans="1:61">
      <c r="A328" s="14"/>
      <c r="B328" s="14"/>
      <c r="C328" s="14"/>
      <c r="D328" s="167"/>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t="e">
        <f>IF('Stock Data'!$H$2,IF(ISNUMBER(AK328),AK328,NA()),NA())</f>
        <v>#N/A</v>
      </c>
      <c r="AO328" s="14"/>
      <c r="AP328" s="14"/>
      <c r="AQ328" s="14"/>
      <c r="AR328" s="14"/>
      <c r="AS328" s="14"/>
      <c r="AT328" s="14"/>
      <c r="AU328" s="14"/>
      <c r="AV328" s="14"/>
      <c r="AW328" s="14"/>
      <c r="AX328" s="14"/>
      <c r="AY328" s="14"/>
      <c r="AZ328" s="14"/>
      <c r="BA328" s="14"/>
      <c r="BB328" s="14"/>
      <c r="BC328" s="14"/>
      <c r="BD328" s="14"/>
      <c r="BE328" s="14"/>
      <c r="BF328" s="14"/>
      <c r="BG328" s="14"/>
      <c r="BH328" s="14"/>
      <c r="BI328" s="14"/>
    </row>
    <row r="329" spans="1:61">
      <c r="A329" s="14"/>
      <c r="B329" s="14"/>
      <c r="C329" s="14"/>
      <c r="D329" s="167"/>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t="e">
        <f>IF('Stock Data'!$H$2,IF(ISNUMBER(AK329),AK329,NA()),NA())</f>
        <v>#N/A</v>
      </c>
      <c r="AO329" s="14"/>
      <c r="AP329" s="14"/>
      <c r="AQ329" s="14"/>
      <c r="AR329" s="14"/>
      <c r="AS329" s="14"/>
      <c r="AT329" s="14"/>
      <c r="AU329" s="14"/>
      <c r="AV329" s="14"/>
      <c r="AW329" s="14"/>
      <c r="AX329" s="14"/>
      <c r="AY329" s="14"/>
      <c r="AZ329" s="14"/>
      <c r="BA329" s="14"/>
      <c r="BB329" s="14"/>
      <c r="BC329" s="14"/>
      <c r="BD329" s="14"/>
      <c r="BE329" s="14"/>
      <c r="BF329" s="14"/>
      <c r="BG329" s="14"/>
      <c r="BH329" s="14"/>
      <c r="BI329" s="14"/>
    </row>
    <row r="330" spans="1:61">
      <c r="A330" s="14"/>
      <c r="B330" s="14"/>
      <c r="C330" s="14"/>
      <c r="D330" s="167"/>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t="e">
        <f>IF('Stock Data'!$H$2,IF(ISNUMBER(AK330),AK330,NA()),NA())</f>
        <v>#N/A</v>
      </c>
      <c r="AO330" s="14"/>
      <c r="AP330" s="14"/>
      <c r="AQ330" s="14"/>
      <c r="AR330" s="14"/>
      <c r="AS330" s="14"/>
      <c r="AT330" s="14"/>
      <c r="AU330" s="14"/>
      <c r="AV330" s="14"/>
      <c r="AW330" s="14"/>
      <c r="AX330" s="14"/>
      <c r="AY330" s="14"/>
      <c r="AZ330" s="14"/>
      <c r="BA330" s="14"/>
      <c r="BB330" s="14"/>
      <c r="BC330" s="14"/>
      <c r="BD330" s="14"/>
      <c r="BE330" s="14"/>
      <c r="BF330" s="14"/>
      <c r="BG330" s="14"/>
      <c r="BH330" s="14"/>
      <c r="BI330" s="14"/>
    </row>
    <row r="331" spans="1:61">
      <c r="A331" s="14"/>
      <c r="B331" s="14"/>
      <c r="C331" s="14"/>
      <c r="D331" s="167"/>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t="e">
        <f>IF('Stock Data'!$H$2,IF(ISNUMBER(AK331),AK331,NA()),NA())</f>
        <v>#N/A</v>
      </c>
      <c r="AO331" s="14"/>
      <c r="AP331" s="14"/>
      <c r="AQ331" s="14"/>
      <c r="AR331" s="14"/>
      <c r="AS331" s="14"/>
      <c r="AT331" s="14"/>
      <c r="AU331" s="14"/>
      <c r="AV331" s="14"/>
      <c r="AW331" s="14"/>
      <c r="AX331" s="14"/>
      <c r="AY331" s="14"/>
      <c r="AZ331" s="14"/>
      <c r="BA331" s="14"/>
      <c r="BB331" s="14"/>
      <c r="BC331" s="14"/>
      <c r="BD331" s="14"/>
      <c r="BE331" s="14"/>
      <c r="BF331" s="14"/>
      <c r="BG331" s="14"/>
      <c r="BH331" s="14"/>
      <c r="BI331" s="14"/>
    </row>
    <row r="332" spans="1:61">
      <c r="A332" s="14"/>
      <c r="B332" s="14"/>
      <c r="C332" s="14"/>
      <c r="D332" s="167"/>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t="e">
        <f>IF('Stock Data'!$H$2,IF(ISNUMBER(AK332),AK332,NA()),NA())</f>
        <v>#N/A</v>
      </c>
      <c r="AO332" s="14"/>
      <c r="AP332" s="14"/>
      <c r="AQ332" s="14"/>
      <c r="AR332" s="14"/>
      <c r="AS332" s="14"/>
      <c r="AT332" s="14"/>
      <c r="AU332" s="14"/>
      <c r="AV332" s="14"/>
      <c r="AW332" s="14"/>
      <c r="AX332" s="14"/>
      <c r="AY332" s="14"/>
      <c r="AZ332" s="14"/>
      <c r="BA332" s="14"/>
      <c r="BB332" s="14"/>
      <c r="BC332" s="14"/>
      <c r="BD332" s="14"/>
      <c r="BE332" s="14"/>
      <c r="BF332" s="14"/>
      <c r="BG332" s="14"/>
      <c r="BH332" s="14"/>
      <c r="BI332" s="14"/>
    </row>
    <row r="333" spans="1:61">
      <c r="A333" s="14"/>
      <c r="B333" s="14"/>
      <c r="C333" s="14"/>
      <c r="D333" s="167"/>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t="e">
        <f>IF('Stock Data'!$H$2,IF(ISNUMBER(AK333),AK333,NA()),NA())</f>
        <v>#N/A</v>
      </c>
      <c r="AO333" s="14"/>
      <c r="AP333" s="14"/>
      <c r="AQ333" s="14"/>
      <c r="AR333" s="14"/>
      <c r="AS333" s="14"/>
      <c r="AT333" s="14"/>
      <c r="AU333" s="14"/>
      <c r="AV333" s="14"/>
      <c r="AW333" s="14"/>
      <c r="AX333" s="14"/>
      <c r="AY333" s="14"/>
      <c r="AZ333" s="14"/>
      <c r="BA333" s="14"/>
      <c r="BB333" s="14"/>
      <c r="BC333" s="14"/>
      <c r="BD333" s="14"/>
      <c r="BE333" s="14"/>
      <c r="BF333" s="14"/>
      <c r="BG333" s="14"/>
      <c r="BH333" s="14"/>
      <c r="BI333" s="14"/>
    </row>
    <row r="334" spans="1:61">
      <c r="A334" s="14"/>
      <c r="B334" s="14"/>
      <c r="C334" s="14"/>
      <c r="D334" s="167"/>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t="e">
        <f>IF('Stock Data'!$H$2,IF(ISNUMBER(AK334),AK334,NA()),NA())</f>
        <v>#N/A</v>
      </c>
      <c r="AO334" s="14"/>
      <c r="AP334" s="14"/>
      <c r="AQ334" s="14"/>
      <c r="AR334" s="14"/>
      <c r="AS334" s="14"/>
      <c r="AT334" s="14"/>
      <c r="AU334" s="14"/>
      <c r="AV334" s="14"/>
      <c r="AW334" s="14"/>
      <c r="AX334" s="14"/>
      <c r="AY334" s="14"/>
      <c r="AZ334" s="14"/>
      <c r="BA334" s="14"/>
      <c r="BB334" s="14"/>
      <c r="BC334" s="14"/>
      <c r="BD334" s="14"/>
      <c r="BE334" s="14"/>
      <c r="BF334" s="14"/>
      <c r="BG334" s="14"/>
      <c r="BH334" s="14"/>
      <c r="BI334" s="14"/>
    </row>
    <row r="335" spans="1:61">
      <c r="A335" s="14"/>
      <c r="B335" s="14"/>
      <c r="C335" s="14"/>
      <c r="D335" s="167"/>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t="e">
        <f>IF('Stock Data'!$H$2,IF(ISNUMBER(AK335),AK335,NA()),NA())</f>
        <v>#N/A</v>
      </c>
      <c r="AO335" s="14"/>
      <c r="AP335" s="14"/>
      <c r="AQ335" s="14"/>
      <c r="AR335" s="14"/>
      <c r="AS335" s="14"/>
      <c r="AT335" s="14"/>
      <c r="AU335" s="14"/>
      <c r="AV335" s="14"/>
      <c r="AW335" s="14"/>
      <c r="AX335" s="14"/>
      <c r="AY335" s="14"/>
      <c r="AZ335" s="14"/>
      <c r="BA335" s="14"/>
      <c r="BB335" s="14"/>
      <c r="BC335" s="14"/>
      <c r="BD335" s="14"/>
      <c r="BE335" s="14"/>
      <c r="BF335" s="14"/>
      <c r="BG335" s="14"/>
      <c r="BH335" s="14"/>
      <c r="BI335" s="14"/>
    </row>
    <row r="336" spans="1:61">
      <c r="A336" s="14"/>
      <c r="B336" s="14"/>
      <c r="C336" s="14"/>
      <c r="D336" s="167"/>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t="e">
        <f>IF('Stock Data'!$H$2,IF(ISNUMBER(AK336),AK336,NA()),NA())</f>
        <v>#N/A</v>
      </c>
      <c r="AO336" s="14"/>
      <c r="AP336" s="14"/>
      <c r="AQ336" s="14"/>
      <c r="AR336" s="14"/>
      <c r="AS336" s="14"/>
      <c r="AT336" s="14"/>
      <c r="AU336" s="14"/>
      <c r="AV336" s="14"/>
      <c r="AW336" s="14"/>
      <c r="AX336" s="14"/>
      <c r="AY336" s="14"/>
      <c r="AZ336" s="14"/>
      <c r="BA336" s="14"/>
      <c r="BB336" s="14"/>
      <c r="BC336" s="14"/>
      <c r="BD336" s="14"/>
      <c r="BE336" s="14"/>
      <c r="BF336" s="14"/>
      <c r="BG336" s="14"/>
      <c r="BH336" s="14"/>
      <c r="BI336" s="14"/>
    </row>
    <row r="337" spans="1:61">
      <c r="A337" s="14"/>
      <c r="B337" s="14"/>
      <c r="C337" s="14"/>
      <c r="D337" s="167"/>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t="e">
        <f>IF('Stock Data'!$H$2,IF(ISNUMBER(AK337),AK337,NA()),NA())</f>
        <v>#N/A</v>
      </c>
      <c r="AO337" s="14"/>
      <c r="AP337" s="14"/>
      <c r="AQ337" s="14"/>
      <c r="AR337" s="14"/>
      <c r="AS337" s="14"/>
      <c r="AT337" s="14"/>
      <c r="AU337" s="14"/>
      <c r="AV337" s="14"/>
      <c r="AW337" s="14"/>
      <c r="AX337" s="14"/>
      <c r="AY337" s="14"/>
      <c r="AZ337" s="14"/>
      <c r="BA337" s="14"/>
      <c r="BB337" s="14"/>
      <c r="BC337" s="14"/>
      <c r="BD337" s="14"/>
      <c r="BE337" s="14"/>
      <c r="BF337" s="14"/>
      <c r="BG337" s="14"/>
      <c r="BH337" s="14"/>
      <c r="BI337" s="14"/>
    </row>
    <row r="338" spans="1:61">
      <c r="A338" s="14"/>
      <c r="B338" s="14"/>
      <c r="C338" s="14"/>
      <c r="D338" s="167"/>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t="e">
        <f>IF('Stock Data'!$H$2,IF(ISNUMBER(AK338),AK338,NA()),NA())</f>
        <v>#N/A</v>
      </c>
      <c r="AO338" s="14"/>
      <c r="AP338" s="14"/>
      <c r="AQ338" s="14"/>
      <c r="AR338" s="14"/>
      <c r="AS338" s="14"/>
      <c r="AT338" s="14"/>
      <c r="AU338" s="14"/>
      <c r="AV338" s="14"/>
      <c r="AW338" s="14"/>
      <c r="AX338" s="14"/>
      <c r="AY338" s="14"/>
      <c r="AZ338" s="14"/>
      <c r="BA338" s="14"/>
      <c r="BB338" s="14"/>
      <c r="BC338" s="14"/>
      <c r="BD338" s="14"/>
      <c r="BE338" s="14"/>
      <c r="BF338" s="14"/>
      <c r="BG338" s="14"/>
      <c r="BH338" s="14"/>
      <c r="BI338" s="14"/>
    </row>
    <row r="339" spans="1:61">
      <c r="A339" s="14"/>
      <c r="B339" s="14"/>
      <c r="C339" s="14"/>
      <c r="D339" s="167"/>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t="e">
        <f>IF('Stock Data'!$H$2,IF(ISNUMBER(AK339),AK339,NA()),NA())</f>
        <v>#N/A</v>
      </c>
      <c r="AO339" s="14"/>
      <c r="AP339" s="14"/>
      <c r="AQ339" s="14"/>
      <c r="AR339" s="14"/>
      <c r="AS339" s="14"/>
      <c r="AT339" s="14"/>
      <c r="AU339" s="14"/>
      <c r="AV339" s="14"/>
      <c r="AW339" s="14"/>
      <c r="AX339" s="14"/>
      <c r="AY339" s="14"/>
      <c r="AZ339" s="14"/>
      <c r="BA339" s="14"/>
      <c r="BB339" s="14"/>
      <c r="BC339" s="14"/>
      <c r="BD339" s="14"/>
      <c r="BE339" s="14"/>
      <c r="BF339" s="14"/>
      <c r="BG339" s="14"/>
      <c r="BH339" s="14"/>
      <c r="BI339" s="14"/>
    </row>
    <row r="340" spans="1:61">
      <c r="A340" s="14"/>
      <c r="B340" s="14"/>
      <c r="C340" s="14"/>
      <c r="D340" s="167"/>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t="e">
        <f>IF('Stock Data'!$H$2,IF(ISNUMBER(AK340),AK340,NA()),NA())</f>
        <v>#N/A</v>
      </c>
      <c r="AO340" s="14"/>
      <c r="AP340" s="14"/>
      <c r="AQ340" s="14"/>
      <c r="AR340" s="14"/>
      <c r="AS340" s="14"/>
      <c r="AT340" s="14"/>
      <c r="AU340" s="14"/>
      <c r="AV340" s="14"/>
      <c r="AW340" s="14"/>
      <c r="AX340" s="14"/>
      <c r="AY340" s="14"/>
      <c r="AZ340" s="14"/>
      <c r="BA340" s="14"/>
      <c r="BB340" s="14"/>
      <c r="BC340" s="14"/>
      <c r="BD340" s="14"/>
      <c r="BE340" s="14"/>
      <c r="BF340" s="14"/>
      <c r="BG340" s="14"/>
      <c r="BH340" s="14"/>
      <c r="BI340" s="14"/>
    </row>
    <row r="341" spans="1:61">
      <c r="A341" s="14"/>
      <c r="B341" s="14"/>
      <c r="C341" s="14"/>
      <c r="D341" s="167"/>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t="e">
        <f>IF('Stock Data'!$H$2,IF(ISNUMBER(AK341),AK341,NA()),NA())</f>
        <v>#N/A</v>
      </c>
      <c r="AO341" s="14"/>
      <c r="AP341" s="14"/>
      <c r="AQ341" s="14"/>
      <c r="AR341" s="14"/>
      <c r="AS341" s="14"/>
      <c r="AT341" s="14"/>
      <c r="AU341" s="14"/>
      <c r="AV341" s="14"/>
      <c r="AW341" s="14"/>
      <c r="AX341" s="14"/>
      <c r="AY341" s="14"/>
      <c r="AZ341" s="14"/>
      <c r="BA341" s="14"/>
      <c r="BB341" s="14"/>
      <c r="BC341" s="14"/>
      <c r="BD341" s="14"/>
      <c r="BE341" s="14"/>
      <c r="BF341" s="14"/>
      <c r="BG341" s="14"/>
      <c r="BH341" s="14"/>
      <c r="BI341" s="14"/>
    </row>
    <row r="342" spans="1:61">
      <c r="A342" s="14"/>
      <c r="B342" s="14"/>
      <c r="C342" s="14"/>
      <c r="D342" s="167"/>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t="e">
        <f>IF('Stock Data'!$H$2,IF(ISNUMBER(AK342),AK342,NA()),NA())</f>
        <v>#N/A</v>
      </c>
      <c r="AO342" s="14"/>
      <c r="AP342" s="14"/>
      <c r="AQ342" s="14"/>
      <c r="AR342" s="14"/>
      <c r="AS342" s="14"/>
      <c r="AT342" s="14"/>
      <c r="AU342" s="14"/>
      <c r="AV342" s="14"/>
      <c r="AW342" s="14"/>
      <c r="AX342" s="14"/>
      <c r="AY342" s="14"/>
      <c r="AZ342" s="14"/>
      <c r="BA342" s="14"/>
      <c r="BB342" s="14"/>
      <c r="BC342" s="14"/>
      <c r="BD342" s="14"/>
      <c r="BE342" s="14"/>
      <c r="BF342" s="14"/>
      <c r="BG342" s="14"/>
      <c r="BH342" s="14"/>
      <c r="BI342" s="14"/>
    </row>
    <row r="343" spans="1:61">
      <c r="A343" s="14"/>
      <c r="B343" s="14"/>
      <c r="C343" s="14"/>
      <c r="D343" s="167"/>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t="e">
        <f>IF('Stock Data'!$H$2,IF(ISNUMBER(AK343),AK343,NA()),NA())</f>
        <v>#N/A</v>
      </c>
      <c r="AO343" s="14"/>
      <c r="AP343" s="14"/>
      <c r="AQ343" s="14"/>
      <c r="AR343" s="14"/>
      <c r="AS343" s="14"/>
      <c r="AT343" s="14"/>
      <c r="AU343" s="14"/>
      <c r="AV343" s="14"/>
      <c r="AW343" s="14"/>
      <c r="AX343" s="14"/>
      <c r="AY343" s="14"/>
      <c r="AZ343" s="14"/>
      <c r="BA343" s="14"/>
      <c r="BB343" s="14"/>
      <c r="BC343" s="14"/>
      <c r="BD343" s="14"/>
      <c r="BE343" s="14"/>
      <c r="BF343" s="14"/>
      <c r="BG343" s="14"/>
      <c r="BH343" s="14"/>
      <c r="BI343" s="14"/>
    </row>
    <row r="344" spans="1:61">
      <c r="A344" s="14"/>
      <c r="B344" s="14"/>
      <c r="C344" s="14"/>
      <c r="D344" s="167"/>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t="e">
        <f>IF('Stock Data'!$H$2,IF(ISNUMBER(AK344),AK344,NA()),NA())</f>
        <v>#N/A</v>
      </c>
      <c r="AO344" s="14"/>
      <c r="AP344" s="14"/>
      <c r="AQ344" s="14"/>
      <c r="AR344" s="14"/>
      <c r="AS344" s="14"/>
      <c r="AT344" s="14"/>
      <c r="AU344" s="14"/>
      <c r="AV344" s="14"/>
      <c r="AW344" s="14"/>
      <c r="AX344" s="14"/>
      <c r="AY344" s="14"/>
      <c r="AZ344" s="14"/>
      <c r="BA344" s="14"/>
      <c r="BB344" s="14"/>
      <c r="BC344" s="14"/>
      <c r="BD344" s="14"/>
      <c r="BE344" s="14"/>
      <c r="BF344" s="14"/>
      <c r="BG344" s="14"/>
      <c r="BH344" s="14"/>
      <c r="BI344" s="14"/>
    </row>
    <row r="345" spans="1:61">
      <c r="A345" s="14"/>
      <c r="B345" s="14"/>
      <c r="C345" s="14"/>
      <c r="D345" s="167"/>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t="e">
        <f>IF('Stock Data'!$H$2,IF(ISNUMBER(AK345),AK345,NA()),NA())</f>
        <v>#N/A</v>
      </c>
      <c r="AO345" s="14"/>
      <c r="AP345" s="14"/>
      <c r="AQ345" s="14"/>
      <c r="AR345" s="14"/>
      <c r="AS345" s="14"/>
      <c r="AT345" s="14"/>
      <c r="AU345" s="14"/>
      <c r="AV345" s="14"/>
      <c r="AW345" s="14"/>
      <c r="AX345" s="14"/>
      <c r="AY345" s="14"/>
      <c r="AZ345" s="14"/>
      <c r="BA345" s="14"/>
      <c r="BB345" s="14"/>
      <c r="BC345" s="14"/>
      <c r="BD345" s="14"/>
      <c r="BE345" s="14"/>
      <c r="BF345" s="14"/>
      <c r="BG345" s="14"/>
      <c r="BH345" s="14"/>
      <c r="BI345" s="14"/>
    </row>
    <row r="346" spans="1:61">
      <c r="A346" s="14"/>
      <c r="B346" s="14"/>
      <c r="C346" s="14"/>
      <c r="D346" s="167"/>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t="e">
        <f>IF('Stock Data'!$H$2,IF(ISNUMBER(AK346),AK346,NA()),NA())</f>
        <v>#N/A</v>
      </c>
      <c r="AO346" s="14"/>
      <c r="AP346" s="14"/>
      <c r="AQ346" s="14"/>
      <c r="AR346" s="14"/>
      <c r="AS346" s="14"/>
      <c r="AT346" s="14"/>
      <c r="AU346" s="14"/>
      <c r="AV346" s="14"/>
      <c r="AW346" s="14"/>
      <c r="AX346" s="14"/>
      <c r="AY346" s="14"/>
      <c r="AZ346" s="14"/>
      <c r="BA346" s="14"/>
      <c r="BB346" s="14"/>
      <c r="BC346" s="14"/>
      <c r="BD346" s="14"/>
      <c r="BE346" s="14"/>
      <c r="BF346" s="14"/>
      <c r="BG346" s="14"/>
      <c r="BH346" s="14"/>
      <c r="BI346" s="14"/>
    </row>
    <row r="347" spans="1:61">
      <c r="A347" s="14"/>
      <c r="B347" s="14"/>
      <c r="C347" s="14"/>
      <c r="D347" s="167"/>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t="e">
        <f>IF('Stock Data'!$H$2,IF(ISNUMBER(AK347),AK347,NA()),NA())</f>
        <v>#N/A</v>
      </c>
      <c r="AO347" s="14"/>
      <c r="AP347" s="14"/>
      <c r="AQ347" s="14"/>
      <c r="AR347" s="14"/>
      <c r="AS347" s="14"/>
      <c r="AT347" s="14"/>
      <c r="AU347" s="14"/>
      <c r="AV347" s="14"/>
      <c r="AW347" s="14"/>
      <c r="AX347" s="14"/>
      <c r="AY347" s="14"/>
      <c r="AZ347" s="14"/>
      <c r="BA347" s="14"/>
      <c r="BB347" s="14"/>
      <c r="BC347" s="14"/>
      <c r="BD347" s="14"/>
      <c r="BE347" s="14"/>
      <c r="BF347" s="14"/>
      <c r="BG347" s="14"/>
      <c r="BH347" s="14"/>
      <c r="BI347" s="14"/>
    </row>
    <row r="348" spans="1:61">
      <c r="A348" s="14"/>
      <c r="B348" s="14"/>
      <c r="C348" s="14"/>
      <c r="D348" s="167"/>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t="e">
        <f>IF('Stock Data'!$H$2,IF(ISNUMBER(AK348),AK348,NA()),NA())</f>
        <v>#N/A</v>
      </c>
      <c r="AO348" s="14"/>
      <c r="AP348" s="14"/>
      <c r="AQ348" s="14"/>
      <c r="AR348" s="14"/>
      <c r="AS348" s="14"/>
      <c r="AT348" s="14"/>
      <c r="AU348" s="14"/>
      <c r="AV348" s="14"/>
      <c r="AW348" s="14"/>
      <c r="AX348" s="14"/>
      <c r="AY348" s="14"/>
      <c r="AZ348" s="14"/>
      <c r="BA348" s="14"/>
      <c r="BB348" s="14"/>
      <c r="BC348" s="14"/>
      <c r="BD348" s="14"/>
      <c r="BE348" s="14"/>
      <c r="BF348" s="14"/>
      <c r="BG348" s="14"/>
      <c r="BH348" s="14"/>
      <c r="BI348" s="14"/>
    </row>
    <row r="349" spans="1:61">
      <c r="A349" s="14"/>
      <c r="B349" s="14"/>
      <c r="C349" s="14"/>
      <c r="D349" s="167"/>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t="e">
        <f>IF('Stock Data'!$H$2,IF(ISNUMBER(AK349),AK349,NA()),NA())</f>
        <v>#N/A</v>
      </c>
      <c r="AO349" s="14"/>
      <c r="AP349" s="14"/>
      <c r="AQ349" s="14"/>
      <c r="AR349" s="14"/>
      <c r="AS349" s="14"/>
      <c r="AT349" s="14"/>
      <c r="AU349" s="14"/>
      <c r="AV349" s="14"/>
      <c r="AW349" s="14"/>
      <c r="AX349" s="14"/>
      <c r="AY349" s="14"/>
      <c r="AZ349" s="14"/>
      <c r="BA349" s="14"/>
      <c r="BB349" s="14"/>
      <c r="BC349" s="14"/>
      <c r="BD349" s="14"/>
      <c r="BE349" s="14"/>
      <c r="BF349" s="14"/>
      <c r="BG349" s="14"/>
      <c r="BH349" s="14"/>
      <c r="BI349" s="14"/>
    </row>
    <row r="350" spans="1:61">
      <c r="A350" s="14"/>
      <c r="B350" s="14"/>
      <c r="C350" s="14"/>
      <c r="D350" s="167"/>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t="e">
        <f>IF('Stock Data'!$H$2,IF(ISNUMBER(AK350),AK350,NA()),NA())</f>
        <v>#N/A</v>
      </c>
      <c r="AO350" s="14"/>
      <c r="AP350" s="14"/>
      <c r="AQ350" s="14"/>
      <c r="AR350" s="14"/>
      <c r="AS350" s="14"/>
      <c r="AT350" s="14"/>
      <c r="AU350" s="14"/>
      <c r="AV350" s="14"/>
      <c r="AW350" s="14"/>
      <c r="AX350" s="14"/>
      <c r="AY350" s="14"/>
      <c r="AZ350" s="14"/>
      <c r="BA350" s="14"/>
      <c r="BB350" s="14"/>
      <c r="BC350" s="14"/>
      <c r="BD350" s="14"/>
      <c r="BE350" s="14"/>
      <c r="BF350" s="14"/>
      <c r="BG350" s="14"/>
      <c r="BH350" s="14"/>
      <c r="BI350" s="14"/>
    </row>
    <row r="351" spans="1:61">
      <c r="A351" s="14"/>
      <c r="B351" s="14"/>
      <c r="C351" s="14"/>
      <c r="D351" s="167"/>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t="e">
        <f>IF('Stock Data'!$H$2,IF(ISNUMBER(AK351),AK351,NA()),NA())</f>
        <v>#N/A</v>
      </c>
      <c r="AO351" s="14"/>
      <c r="AP351" s="14"/>
      <c r="AQ351" s="14"/>
      <c r="AR351" s="14"/>
      <c r="AS351" s="14"/>
      <c r="AT351" s="14"/>
      <c r="AU351" s="14"/>
      <c r="AV351" s="14"/>
      <c r="AW351" s="14"/>
      <c r="AX351" s="14"/>
      <c r="AY351" s="14"/>
      <c r="AZ351" s="14"/>
      <c r="BA351" s="14"/>
      <c r="BB351" s="14"/>
      <c r="BC351" s="14"/>
      <c r="BD351" s="14"/>
      <c r="BE351" s="14"/>
      <c r="BF351" s="14"/>
      <c r="BG351" s="14"/>
      <c r="BH351" s="14"/>
      <c r="BI351" s="14"/>
    </row>
    <row r="352" spans="1:61">
      <c r="A352" s="14"/>
      <c r="B352" s="14"/>
      <c r="C352" s="14"/>
      <c r="D352" s="167"/>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t="e">
        <f>IF('Stock Data'!$H$2,IF(ISNUMBER(AK352),AK352,NA()),NA())</f>
        <v>#N/A</v>
      </c>
      <c r="AO352" s="14"/>
      <c r="AP352" s="14"/>
      <c r="AQ352" s="14"/>
      <c r="AR352" s="14"/>
      <c r="AS352" s="14"/>
      <c r="AT352" s="14"/>
      <c r="AU352" s="14"/>
      <c r="AV352" s="14"/>
      <c r="AW352" s="14"/>
      <c r="AX352" s="14"/>
      <c r="AY352" s="14"/>
      <c r="AZ352" s="14"/>
      <c r="BA352" s="14"/>
      <c r="BB352" s="14"/>
      <c r="BC352" s="14"/>
      <c r="BD352" s="14"/>
      <c r="BE352" s="14"/>
      <c r="BF352" s="14"/>
      <c r="BG352" s="14"/>
      <c r="BH352" s="14"/>
      <c r="BI352" s="14"/>
    </row>
    <row r="353" spans="1:61">
      <c r="A353" s="14"/>
      <c r="B353" s="14"/>
      <c r="C353" s="14"/>
      <c r="D353" s="167"/>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t="e">
        <f>IF('Stock Data'!$H$2,IF(ISNUMBER(AK353),AK353,NA()),NA())</f>
        <v>#N/A</v>
      </c>
      <c r="AO353" s="14"/>
      <c r="AP353" s="14"/>
      <c r="AQ353" s="14"/>
      <c r="AR353" s="14"/>
      <c r="AS353" s="14"/>
      <c r="AT353" s="14"/>
      <c r="AU353" s="14"/>
      <c r="AV353" s="14"/>
      <c r="AW353" s="14"/>
      <c r="AX353" s="14"/>
      <c r="AY353" s="14"/>
      <c r="AZ353" s="14"/>
      <c r="BA353" s="14"/>
      <c r="BB353" s="14"/>
      <c r="BC353" s="14"/>
      <c r="BD353" s="14"/>
      <c r="BE353" s="14"/>
      <c r="BF353" s="14"/>
      <c r="BG353" s="14"/>
      <c r="BH353" s="14"/>
      <c r="BI353" s="14"/>
    </row>
    <row r="354" spans="1:61">
      <c r="A354" s="14"/>
      <c r="B354" s="14"/>
      <c r="C354" s="14"/>
      <c r="D354" s="167"/>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t="e">
        <f>IF('Stock Data'!$H$2,IF(ISNUMBER(AK354),AK354,NA()),NA())</f>
        <v>#N/A</v>
      </c>
      <c r="AO354" s="14"/>
      <c r="AP354" s="14"/>
      <c r="AQ354" s="14"/>
      <c r="AR354" s="14"/>
      <c r="AS354" s="14"/>
      <c r="AT354" s="14"/>
      <c r="AU354" s="14"/>
      <c r="AV354" s="14"/>
      <c r="AW354" s="14"/>
      <c r="AX354" s="14"/>
      <c r="AY354" s="14"/>
      <c r="AZ354" s="14"/>
      <c r="BA354" s="14"/>
      <c r="BB354" s="14"/>
      <c r="BC354" s="14"/>
      <c r="BD354" s="14"/>
      <c r="BE354" s="14"/>
      <c r="BF354" s="14"/>
      <c r="BG354" s="14"/>
      <c r="BH354" s="14"/>
      <c r="BI354" s="14"/>
    </row>
    <row r="355" spans="1:61">
      <c r="A355" s="14"/>
      <c r="B355" s="14"/>
      <c r="C355" s="14"/>
      <c r="D355" s="167"/>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t="e">
        <f>IF('Stock Data'!$H$2,IF(ISNUMBER(AK355),AK355,NA()),NA())</f>
        <v>#N/A</v>
      </c>
      <c r="AO355" s="14"/>
      <c r="AP355" s="14"/>
      <c r="AQ355" s="14"/>
      <c r="AR355" s="14"/>
      <c r="AS355" s="14"/>
      <c r="AT355" s="14"/>
      <c r="AU355" s="14"/>
      <c r="AV355" s="14"/>
      <c r="AW355" s="14"/>
      <c r="AX355" s="14"/>
      <c r="AY355" s="14"/>
      <c r="AZ355" s="14"/>
      <c r="BA355" s="14"/>
      <c r="BB355" s="14"/>
      <c r="BC355" s="14"/>
      <c r="BD355" s="14"/>
      <c r="BE355" s="14"/>
      <c r="BF355" s="14"/>
      <c r="BG355" s="14"/>
      <c r="BH355" s="14"/>
      <c r="BI355" s="14"/>
    </row>
    <row r="356" spans="1:61">
      <c r="A356" s="14"/>
      <c r="B356" s="14"/>
      <c r="C356" s="14"/>
      <c r="D356" s="167"/>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t="e">
        <f>IF('Stock Data'!$H$2,IF(ISNUMBER(AK356),AK356,NA()),NA())</f>
        <v>#N/A</v>
      </c>
      <c r="AO356" s="14"/>
      <c r="AP356" s="14"/>
      <c r="AQ356" s="14"/>
      <c r="AR356" s="14"/>
      <c r="AS356" s="14"/>
      <c r="AT356" s="14"/>
      <c r="AU356" s="14"/>
      <c r="AV356" s="14"/>
      <c r="AW356" s="14"/>
      <c r="AX356" s="14"/>
      <c r="AY356" s="14"/>
      <c r="AZ356" s="14"/>
      <c r="BA356" s="14"/>
      <c r="BB356" s="14"/>
      <c r="BC356" s="14"/>
      <c r="BD356" s="14"/>
      <c r="BE356" s="14"/>
      <c r="BF356" s="14"/>
      <c r="BG356" s="14"/>
      <c r="BH356" s="14"/>
      <c r="BI356" s="14"/>
    </row>
    <row r="357" spans="1:61">
      <c r="A357" s="14"/>
      <c r="B357" s="14"/>
      <c r="C357" s="14"/>
      <c r="D357" s="167"/>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t="e">
        <f>IF('Stock Data'!$H$2,IF(ISNUMBER(AK357),AK357,NA()),NA())</f>
        <v>#N/A</v>
      </c>
      <c r="AO357" s="14"/>
      <c r="AP357" s="14"/>
      <c r="AQ357" s="14"/>
      <c r="AR357" s="14"/>
      <c r="AS357" s="14"/>
      <c r="AT357" s="14"/>
      <c r="AU357" s="14"/>
      <c r="AV357" s="14"/>
      <c r="AW357" s="14"/>
      <c r="AX357" s="14"/>
      <c r="AY357" s="14"/>
      <c r="AZ357" s="14"/>
      <c r="BA357" s="14"/>
      <c r="BB357" s="14"/>
      <c r="BC357" s="14"/>
      <c r="BD357" s="14"/>
      <c r="BE357" s="14"/>
      <c r="BF357" s="14"/>
      <c r="BG357" s="14"/>
      <c r="BH357" s="14"/>
      <c r="BI357" s="14"/>
    </row>
    <row r="358" spans="1:61">
      <c r="A358" s="14"/>
      <c r="B358" s="14"/>
      <c r="C358" s="14"/>
      <c r="D358" s="167"/>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t="e">
        <f>IF('Stock Data'!$H$2,IF(ISNUMBER(AK358),AK358,NA()),NA())</f>
        <v>#N/A</v>
      </c>
      <c r="AO358" s="14"/>
      <c r="AP358" s="14"/>
      <c r="AQ358" s="14"/>
      <c r="AR358" s="14"/>
      <c r="AS358" s="14"/>
      <c r="AT358" s="14"/>
      <c r="AU358" s="14"/>
      <c r="AV358" s="14"/>
      <c r="AW358" s="14"/>
      <c r="AX358" s="14"/>
      <c r="AY358" s="14"/>
      <c r="AZ358" s="14"/>
      <c r="BA358" s="14"/>
      <c r="BB358" s="14"/>
      <c r="BC358" s="14"/>
      <c r="BD358" s="14"/>
      <c r="BE358" s="14"/>
      <c r="BF358" s="14"/>
      <c r="BG358" s="14"/>
      <c r="BH358" s="14"/>
      <c r="BI358" s="14"/>
    </row>
    <row r="359" spans="1:61">
      <c r="A359" s="14"/>
      <c r="B359" s="14"/>
      <c r="C359" s="14"/>
      <c r="D359" s="167"/>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t="e">
        <f>IF('Stock Data'!$H$2,IF(ISNUMBER(AK359),AK359,NA()),NA())</f>
        <v>#N/A</v>
      </c>
      <c r="AO359" s="14"/>
      <c r="AP359" s="14"/>
      <c r="AQ359" s="14"/>
      <c r="AR359" s="14"/>
      <c r="AS359" s="14"/>
      <c r="AT359" s="14"/>
      <c r="AU359" s="14"/>
      <c r="AV359" s="14"/>
      <c r="AW359" s="14"/>
      <c r="AX359" s="14"/>
      <c r="AY359" s="14"/>
      <c r="AZ359" s="14"/>
      <c r="BA359" s="14"/>
      <c r="BB359" s="14"/>
      <c r="BC359" s="14"/>
      <c r="BD359" s="14"/>
      <c r="BE359" s="14"/>
      <c r="BF359" s="14"/>
      <c r="BG359" s="14"/>
      <c r="BH359" s="14"/>
      <c r="BI359" s="14"/>
    </row>
    <row r="360" spans="1:61">
      <c r="A360" s="14"/>
      <c r="B360" s="14"/>
      <c r="C360" s="14"/>
      <c r="D360" s="167"/>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t="e">
        <f>IF('Stock Data'!$H$2,IF(ISNUMBER(AK360),AK360,NA()),NA())</f>
        <v>#N/A</v>
      </c>
      <c r="AO360" s="14"/>
      <c r="AP360" s="14"/>
      <c r="AQ360" s="14"/>
      <c r="AR360" s="14"/>
      <c r="AS360" s="14"/>
      <c r="AT360" s="14"/>
      <c r="AU360" s="14"/>
      <c r="AV360" s="14"/>
      <c r="AW360" s="14"/>
      <c r="AX360" s="14"/>
      <c r="AY360" s="14"/>
      <c r="AZ360" s="14"/>
      <c r="BA360" s="14"/>
      <c r="BB360" s="14"/>
      <c r="BC360" s="14"/>
      <c r="BD360" s="14"/>
      <c r="BE360" s="14"/>
      <c r="BF360" s="14"/>
      <c r="BG360" s="14"/>
      <c r="BH360" s="14"/>
      <c r="BI360" s="14"/>
    </row>
    <row r="361" spans="1:61">
      <c r="A361" s="14"/>
      <c r="B361" s="14"/>
      <c r="C361" s="14"/>
      <c r="D361" s="167"/>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t="e">
        <f>IF('Stock Data'!$H$2,IF(ISNUMBER(AK361),AK361,NA()),NA())</f>
        <v>#N/A</v>
      </c>
      <c r="AO361" s="14"/>
      <c r="AP361" s="14"/>
      <c r="AQ361" s="14"/>
      <c r="AR361" s="14"/>
      <c r="AS361" s="14"/>
      <c r="AT361" s="14"/>
      <c r="AU361" s="14"/>
      <c r="AV361" s="14"/>
      <c r="AW361" s="14"/>
      <c r="AX361" s="14"/>
      <c r="AY361" s="14"/>
      <c r="AZ361" s="14"/>
      <c r="BA361" s="14"/>
      <c r="BB361" s="14"/>
      <c r="BC361" s="14"/>
      <c r="BD361" s="14"/>
      <c r="BE361" s="14"/>
      <c r="BF361" s="14"/>
      <c r="BG361" s="14"/>
      <c r="BH361" s="14"/>
      <c r="BI361" s="14"/>
    </row>
    <row r="362" spans="1:61">
      <c r="A362" s="14"/>
      <c r="B362" s="14"/>
      <c r="C362" s="14"/>
      <c r="D362" s="167"/>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t="e">
        <f>IF('Stock Data'!$H$2,IF(ISNUMBER(AK362),AK362,NA()),NA())</f>
        <v>#N/A</v>
      </c>
      <c r="AO362" s="14"/>
      <c r="AP362" s="14"/>
      <c r="AQ362" s="14"/>
      <c r="AR362" s="14"/>
      <c r="AS362" s="14"/>
      <c r="AT362" s="14"/>
      <c r="AU362" s="14"/>
      <c r="AV362" s="14"/>
      <c r="AW362" s="14"/>
      <c r="AX362" s="14"/>
      <c r="AY362" s="14"/>
      <c r="AZ362" s="14"/>
      <c r="BA362" s="14"/>
      <c r="BB362" s="14"/>
      <c r="BC362" s="14"/>
      <c r="BD362" s="14"/>
      <c r="BE362" s="14"/>
      <c r="BF362" s="14"/>
      <c r="BG362" s="14"/>
      <c r="BH362" s="14"/>
      <c r="BI362" s="14"/>
    </row>
    <row r="363" spans="1:61">
      <c r="A363" s="14"/>
      <c r="B363" s="14"/>
      <c r="C363" s="14"/>
      <c r="D363" s="167"/>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t="e">
        <f>IF('Stock Data'!$H$2,IF(ISNUMBER(AK363),AK363,NA()),NA())</f>
        <v>#N/A</v>
      </c>
      <c r="AO363" s="14"/>
      <c r="AP363" s="14"/>
      <c r="AQ363" s="14"/>
      <c r="AR363" s="14"/>
      <c r="AS363" s="14"/>
      <c r="AT363" s="14"/>
      <c r="AU363" s="14"/>
      <c r="AV363" s="14"/>
      <c r="AW363" s="14"/>
      <c r="AX363" s="14"/>
      <c r="AY363" s="14"/>
      <c r="AZ363" s="14"/>
      <c r="BA363" s="14"/>
      <c r="BB363" s="14"/>
      <c r="BC363" s="14"/>
      <c r="BD363" s="14"/>
      <c r="BE363" s="14"/>
      <c r="BF363" s="14"/>
      <c r="BG363" s="14"/>
      <c r="BH363" s="14"/>
      <c r="BI363" s="14"/>
    </row>
    <row r="364" spans="1:61">
      <c r="A364" s="14"/>
      <c r="B364" s="14"/>
      <c r="C364" s="14"/>
      <c r="D364" s="167"/>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t="e">
        <f>IF('Stock Data'!$H$2,IF(ISNUMBER(AK364),AK364,NA()),NA())</f>
        <v>#N/A</v>
      </c>
      <c r="AO364" s="14"/>
      <c r="AP364" s="14"/>
      <c r="AQ364" s="14"/>
      <c r="AR364" s="14"/>
      <c r="AS364" s="14"/>
      <c r="AT364" s="14"/>
      <c r="AU364" s="14"/>
      <c r="AV364" s="14"/>
      <c r="AW364" s="14"/>
      <c r="AX364" s="14"/>
      <c r="AY364" s="14"/>
      <c r="AZ364" s="14"/>
      <c r="BA364" s="14"/>
      <c r="BB364" s="14"/>
      <c r="BC364" s="14"/>
      <c r="BD364" s="14"/>
      <c r="BE364" s="14"/>
      <c r="BF364" s="14"/>
      <c r="BG364" s="14"/>
      <c r="BH364" s="14"/>
      <c r="BI364" s="14"/>
    </row>
    <row r="365" spans="1:61">
      <c r="A365" s="14"/>
      <c r="B365" s="14"/>
      <c r="C365" s="14"/>
      <c r="D365" s="167"/>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t="e">
        <f>IF('Stock Data'!$H$2,IF(ISNUMBER(AK365),AK365,NA()),NA())</f>
        <v>#N/A</v>
      </c>
      <c r="AO365" s="14"/>
      <c r="AP365" s="14"/>
      <c r="AQ365" s="14"/>
      <c r="AR365" s="14"/>
      <c r="AS365" s="14"/>
      <c r="AT365" s="14"/>
      <c r="AU365" s="14"/>
      <c r="AV365" s="14"/>
      <c r="AW365" s="14"/>
      <c r="AX365" s="14"/>
      <c r="AY365" s="14"/>
      <c r="AZ365" s="14"/>
      <c r="BA365" s="14"/>
      <c r="BB365" s="14"/>
      <c r="BC365" s="14"/>
      <c r="BD365" s="14"/>
      <c r="BE365" s="14"/>
      <c r="BF365" s="14"/>
      <c r="BG365" s="14"/>
      <c r="BH365" s="14"/>
      <c r="BI365" s="14"/>
    </row>
    <row r="366" spans="1:61">
      <c r="A366" s="14"/>
      <c r="B366" s="14"/>
      <c r="C366" s="14"/>
      <c r="D366" s="167"/>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t="e">
        <f>IF('Stock Data'!$H$2,IF(ISNUMBER(AK366),AK366,NA()),NA())</f>
        <v>#N/A</v>
      </c>
      <c r="AO366" s="14"/>
      <c r="AP366" s="14"/>
      <c r="AQ366" s="14"/>
      <c r="AR366" s="14"/>
      <c r="AS366" s="14"/>
      <c r="AT366" s="14"/>
      <c r="AU366" s="14"/>
      <c r="AV366" s="14"/>
      <c r="AW366" s="14"/>
      <c r="AX366" s="14"/>
      <c r="AY366" s="14"/>
      <c r="AZ366" s="14"/>
      <c r="BA366" s="14"/>
      <c r="BB366" s="14"/>
      <c r="BC366" s="14"/>
      <c r="BD366" s="14"/>
      <c r="BE366" s="14"/>
      <c r="BF366" s="14"/>
      <c r="BG366" s="14"/>
      <c r="BH366" s="14"/>
      <c r="BI366" s="14"/>
    </row>
    <row r="367" spans="1:61">
      <c r="A367" s="14"/>
      <c r="B367" s="14"/>
      <c r="C367" s="14"/>
      <c r="D367" s="167"/>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t="e">
        <f>IF('Stock Data'!$H$2,IF(ISNUMBER(AK367),AK367,NA()),NA())</f>
        <v>#N/A</v>
      </c>
      <c r="AO367" s="14"/>
      <c r="AP367" s="14"/>
      <c r="AQ367" s="14"/>
      <c r="AR367" s="14"/>
      <c r="AS367" s="14"/>
      <c r="AT367" s="14"/>
      <c r="AU367" s="14"/>
      <c r="AV367" s="14"/>
      <c r="AW367" s="14"/>
      <c r="AX367" s="14"/>
      <c r="AY367" s="14"/>
      <c r="AZ367" s="14"/>
      <c r="BA367" s="14"/>
      <c r="BB367" s="14"/>
      <c r="BC367" s="14"/>
      <c r="BD367" s="14"/>
      <c r="BE367" s="14"/>
      <c r="BF367" s="14"/>
      <c r="BG367" s="14"/>
      <c r="BH367" s="14"/>
      <c r="BI367" s="14"/>
    </row>
    <row r="368" spans="1:61">
      <c r="A368" s="14"/>
      <c r="B368" s="14"/>
      <c r="C368" s="14"/>
      <c r="D368" s="167"/>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t="e">
        <f>IF('Stock Data'!$H$2,IF(ISNUMBER(AK368),AK368,NA()),NA())</f>
        <v>#N/A</v>
      </c>
      <c r="AO368" s="14"/>
      <c r="AP368" s="14"/>
      <c r="AQ368" s="14"/>
      <c r="AR368" s="14"/>
      <c r="AS368" s="14"/>
      <c r="AT368" s="14"/>
      <c r="AU368" s="14"/>
      <c r="AV368" s="14"/>
      <c r="AW368" s="14"/>
      <c r="AX368" s="14"/>
      <c r="AY368" s="14"/>
      <c r="AZ368" s="14"/>
      <c r="BA368" s="14"/>
      <c r="BB368" s="14"/>
      <c r="BC368" s="14"/>
      <c r="BD368" s="14"/>
      <c r="BE368" s="14"/>
      <c r="BF368" s="14"/>
      <c r="BG368" s="14"/>
      <c r="BH368" s="14"/>
      <c r="BI368" s="14"/>
    </row>
    <row r="369" spans="1:61">
      <c r="A369" s="14"/>
      <c r="B369" s="14"/>
      <c r="C369" s="14"/>
      <c r="D369" s="167"/>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t="e">
        <f>IF('Stock Data'!$H$2,IF(ISNUMBER(AK369),AK369,NA()),NA())</f>
        <v>#N/A</v>
      </c>
      <c r="AO369" s="14"/>
      <c r="AP369" s="14"/>
      <c r="AQ369" s="14"/>
      <c r="AR369" s="14"/>
      <c r="AS369" s="14"/>
      <c r="AT369" s="14"/>
      <c r="AU369" s="14"/>
      <c r="AV369" s="14"/>
      <c r="AW369" s="14"/>
      <c r="AX369" s="14"/>
      <c r="AY369" s="14"/>
      <c r="AZ369" s="14"/>
      <c r="BA369" s="14"/>
      <c r="BB369" s="14"/>
      <c r="BC369" s="14"/>
      <c r="BD369" s="14"/>
      <c r="BE369" s="14"/>
      <c r="BF369" s="14"/>
      <c r="BG369" s="14"/>
      <c r="BH369" s="14"/>
      <c r="BI369" s="14"/>
    </row>
    <row r="370" spans="1:61">
      <c r="A370" s="14"/>
      <c r="B370" s="14"/>
      <c r="C370" s="14"/>
      <c r="D370" s="167"/>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t="e">
        <f>IF('Stock Data'!$H$2,IF(ISNUMBER(AK370),AK370,NA()),NA())</f>
        <v>#N/A</v>
      </c>
      <c r="AO370" s="14"/>
      <c r="AP370" s="14"/>
      <c r="AQ370" s="14"/>
      <c r="AR370" s="14"/>
      <c r="AS370" s="14"/>
      <c r="AT370" s="14"/>
      <c r="AU370" s="14"/>
      <c r="AV370" s="14"/>
      <c r="AW370" s="14"/>
      <c r="AX370" s="14"/>
      <c r="AY370" s="14"/>
      <c r="AZ370" s="14"/>
      <c r="BA370" s="14"/>
      <c r="BB370" s="14"/>
      <c r="BC370" s="14"/>
      <c r="BD370" s="14"/>
      <c r="BE370" s="14"/>
      <c r="BF370" s="14"/>
      <c r="BG370" s="14"/>
      <c r="BH370" s="14"/>
      <c r="BI370" s="14"/>
    </row>
    <row r="371" spans="1:61">
      <c r="A371" s="14"/>
      <c r="B371" s="14"/>
      <c r="C371" s="14"/>
      <c r="D371" s="167"/>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t="e">
        <f>IF('Stock Data'!$H$2,IF(ISNUMBER(AK371),AK371,NA()),NA())</f>
        <v>#N/A</v>
      </c>
      <c r="AO371" s="14"/>
      <c r="AP371" s="14"/>
      <c r="AQ371" s="14"/>
      <c r="AR371" s="14"/>
      <c r="AS371" s="14"/>
      <c r="AT371" s="14"/>
      <c r="AU371" s="14"/>
      <c r="AV371" s="14"/>
      <c r="AW371" s="14"/>
      <c r="AX371" s="14"/>
      <c r="AY371" s="14"/>
      <c r="AZ371" s="14"/>
      <c r="BA371" s="14"/>
      <c r="BB371" s="14"/>
      <c r="BC371" s="14"/>
      <c r="BD371" s="14"/>
      <c r="BE371" s="14"/>
      <c r="BF371" s="14"/>
      <c r="BG371" s="14"/>
      <c r="BH371" s="14"/>
      <c r="BI371" s="14"/>
    </row>
    <row r="372" spans="1:61">
      <c r="A372" s="14"/>
      <c r="B372" s="14"/>
      <c r="C372" s="14"/>
      <c r="D372" s="167"/>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t="e">
        <f>IF('Stock Data'!$H$2,IF(ISNUMBER(AK372),AK372,NA()),NA())</f>
        <v>#N/A</v>
      </c>
      <c r="AO372" s="14"/>
      <c r="AP372" s="14"/>
      <c r="AQ372" s="14"/>
      <c r="AR372" s="14"/>
      <c r="AS372" s="14"/>
      <c r="AT372" s="14"/>
      <c r="AU372" s="14"/>
      <c r="AV372" s="14"/>
      <c r="AW372" s="14"/>
      <c r="AX372" s="14"/>
      <c r="AY372" s="14"/>
      <c r="AZ372" s="14"/>
      <c r="BA372" s="14"/>
      <c r="BB372" s="14"/>
      <c r="BC372" s="14"/>
      <c r="BD372" s="14"/>
      <c r="BE372" s="14"/>
      <c r="BF372" s="14"/>
      <c r="BG372" s="14"/>
      <c r="BH372" s="14"/>
      <c r="BI372" s="14"/>
    </row>
    <row r="373" spans="1:61">
      <c r="A373" s="14"/>
      <c r="B373" s="14"/>
      <c r="C373" s="14"/>
      <c r="D373" s="167"/>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t="e">
        <f>IF('Stock Data'!$H$2,IF(ISNUMBER(AK373),AK373,NA()),NA())</f>
        <v>#N/A</v>
      </c>
      <c r="AO373" s="14"/>
      <c r="AP373" s="14"/>
      <c r="AQ373" s="14"/>
      <c r="AR373" s="14"/>
      <c r="AS373" s="14"/>
      <c r="AT373" s="14"/>
      <c r="AU373" s="14"/>
      <c r="AV373" s="14"/>
      <c r="AW373" s="14"/>
      <c r="AX373" s="14"/>
      <c r="AY373" s="14"/>
      <c r="AZ373" s="14"/>
      <c r="BA373" s="14"/>
      <c r="BB373" s="14"/>
      <c r="BC373" s="14"/>
      <c r="BD373" s="14"/>
      <c r="BE373" s="14"/>
      <c r="BF373" s="14"/>
      <c r="BG373" s="14"/>
      <c r="BH373" s="14"/>
      <c r="BI373" s="14"/>
    </row>
    <row r="374" spans="1:61">
      <c r="A374" s="14"/>
      <c r="B374" s="14"/>
      <c r="C374" s="14"/>
      <c r="D374" s="167"/>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t="e">
        <f>IF('Stock Data'!$H$2,IF(ISNUMBER(AK374),AK374,NA()),NA())</f>
        <v>#N/A</v>
      </c>
      <c r="AO374" s="14"/>
      <c r="AP374" s="14"/>
      <c r="AQ374" s="14"/>
      <c r="AR374" s="14"/>
      <c r="AS374" s="14"/>
      <c r="AT374" s="14"/>
      <c r="AU374" s="14"/>
      <c r="AV374" s="14"/>
      <c r="AW374" s="14"/>
      <c r="AX374" s="14"/>
      <c r="AY374" s="14"/>
      <c r="AZ374" s="14"/>
      <c r="BA374" s="14"/>
      <c r="BB374" s="14"/>
      <c r="BC374" s="14"/>
      <c r="BD374" s="14"/>
      <c r="BE374" s="14"/>
      <c r="BF374" s="14"/>
      <c r="BG374" s="14"/>
      <c r="BH374" s="14"/>
      <c r="BI374" s="14"/>
    </row>
    <row r="375" spans="1:61">
      <c r="A375" s="14"/>
      <c r="B375" s="14"/>
      <c r="C375" s="14"/>
      <c r="D375" s="167"/>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t="e">
        <f>IF('Stock Data'!$H$2,IF(ISNUMBER(AK375),AK375,NA()),NA())</f>
        <v>#N/A</v>
      </c>
      <c r="AO375" s="14"/>
      <c r="AP375" s="14"/>
      <c r="AQ375" s="14"/>
      <c r="AR375" s="14"/>
      <c r="AS375" s="14"/>
      <c r="AT375" s="14"/>
      <c r="AU375" s="14"/>
      <c r="AV375" s="14"/>
      <c r="AW375" s="14"/>
      <c r="AX375" s="14"/>
      <c r="AY375" s="14"/>
      <c r="AZ375" s="14"/>
      <c r="BA375" s="14"/>
      <c r="BB375" s="14"/>
      <c r="BC375" s="14"/>
      <c r="BD375" s="14"/>
      <c r="BE375" s="14"/>
      <c r="BF375" s="14"/>
      <c r="BG375" s="14"/>
      <c r="BH375" s="14"/>
      <c r="BI375" s="14"/>
    </row>
    <row r="376" spans="1:61">
      <c r="A376" s="14"/>
      <c r="B376" s="14"/>
      <c r="C376" s="14"/>
      <c r="D376" s="167"/>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t="e">
        <f>IF('Stock Data'!$H$2,IF(ISNUMBER(AK376),AK376,NA()),NA())</f>
        <v>#N/A</v>
      </c>
      <c r="AO376" s="14"/>
      <c r="AP376" s="14"/>
      <c r="AQ376" s="14"/>
      <c r="AR376" s="14"/>
      <c r="AS376" s="14"/>
      <c r="AT376" s="14"/>
      <c r="AU376" s="14"/>
      <c r="AV376" s="14"/>
      <c r="AW376" s="14"/>
      <c r="AX376" s="14"/>
      <c r="AY376" s="14"/>
      <c r="AZ376" s="14"/>
      <c r="BA376" s="14"/>
      <c r="BB376" s="14"/>
      <c r="BC376" s="14"/>
      <c r="BD376" s="14"/>
      <c r="BE376" s="14"/>
      <c r="BF376" s="14"/>
      <c r="BG376" s="14"/>
      <c r="BH376" s="14"/>
      <c r="BI376" s="14"/>
    </row>
    <row r="377" spans="1:61">
      <c r="A377" s="14"/>
      <c r="B377" s="14"/>
      <c r="C377" s="14"/>
      <c r="D377" s="167"/>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t="e">
        <f>IF('Stock Data'!$H$2,IF(ISNUMBER(AK377),AK377,NA()),NA())</f>
        <v>#N/A</v>
      </c>
      <c r="AO377" s="14"/>
      <c r="AP377" s="14"/>
      <c r="AQ377" s="14"/>
      <c r="AR377" s="14"/>
      <c r="AS377" s="14"/>
      <c r="AT377" s="14"/>
      <c r="AU377" s="14"/>
      <c r="AV377" s="14"/>
      <c r="AW377" s="14"/>
      <c r="AX377" s="14"/>
      <c r="AY377" s="14"/>
      <c r="AZ377" s="14"/>
      <c r="BA377" s="14"/>
      <c r="BB377" s="14"/>
      <c r="BC377" s="14"/>
      <c r="BD377" s="14"/>
      <c r="BE377" s="14"/>
      <c r="BF377" s="14"/>
      <c r="BG377" s="14"/>
      <c r="BH377" s="14"/>
      <c r="BI377" s="14"/>
    </row>
    <row r="378" spans="1:61">
      <c r="A378" s="14"/>
      <c r="B378" s="14"/>
      <c r="C378" s="14"/>
      <c r="D378" s="167"/>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t="e">
        <f>IF('Stock Data'!$H$2,IF(ISNUMBER(AK378),AK378,NA()),NA())</f>
        <v>#N/A</v>
      </c>
      <c r="AO378" s="14"/>
      <c r="AP378" s="14"/>
      <c r="AQ378" s="14"/>
      <c r="AR378" s="14"/>
      <c r="AS378" s="14"/>
      <c r="AT378" s="14"/>
      <c r="AU378" s="14"/>
      <c r="AV378" s="14"/>
      <c r="AW378" s="14"/>
      <c r="AX378" s="14"/>
      <c r="AY378" s="14"/>
      <c r="AZ378" s="14"/>
      <c r="BA378" s="14"/>
      <c r="BB378" s="14"/>
      <c r="BC378" s="14"/>
      <c r="BD378" s="14"/>
      <c r="BE378" s="14"/>
      <c r="BF378" s="14"/>
      <c r="BG378" s="14"/>
      <c r="BH378" s="14"/>
      <c r="BI378" s="14"/>
    </row>
    <row r="379" spans="1:61">
      <c r="A379" s="14"/>
      <c r="B379" s="14"/>
      <c r="C379" s="14"/>
      <c r="D379" s="167"/>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t="e">
        <f>IF('Stock Data'!$H$2,IF(ISNUMBER(AK379),AK379,NA()),NA())</f>
        <v>#N/A</v>
      </c>
      <c r="AO379" s="14"/>
      <c r="AP379" s="14"/>
      <c r="AQ379" s="14"/>
      <c r="AR379" s="14"/>
      <c r="AS379" s="14"/>
      <c r="AT379" s="14"/>
      <c r="AU379" s="14"/>
      <c r="AV379" s="14"/>
      <c r="AW379" s="14"/>
      <c r="AX379" s="14"/>
      <c r="AY379" s="14"/>
      <c r="AZ379" s="14"/>
      <c r="BA379" s="14"/>
      <c r="BB379" s="14"/>
      <c r="BC379" s="14"/>
      <c r="BD379" s="14"/>
      <c r="BE379" s="14"/>
      <c r="BF379" s="14"/>
      <c r="BG379" s="14"/>
      <c r="BH379" s="14"/>
      <c r="BI379" s="14"/>
    </row>
    <row r="380" spans="1:61">
      <c r="A380" s="14"/>
      <c r="B380" s="14"/>
      <c r="C380" s="14"/>
      <c r="D380" s="167"/>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t="e">
        <f>IF('Stock Data'!$H$2,IF(ISNUMBER(AK380),AK380,NA()),NA())</f>
        <v>#N/A</v>
      </c>
      <c r="AO380" s="14"/>
      <c r="AP380" s="14"/>
      <c r="AQ380" s="14"/>
      <c r="AR380" s="14"/>
      <c r="AS380" s="14"/>
      <c r="AT380" s="14"/>
      <c r="AU380" s="14"/>
      <c r="AV380" s="14"/>
      <c r="AW380" s="14"/>
      <c r="AX380" s="14"/>
      <c r="AY380" s="14"/>
      <c r="AZ380" s="14"/>
      <c r="BA380" s="14"/>
      <c r="BB380" s="14"/>
      <c r="BC380" s="14"/>
      <c r="BD380" s="14"/>
      <c r="BE380" s="14"/>
      <c r="BF380" s="14"/>
      <c r="BG380" s="14"/>
      <c r="BH380" s="14"/>
      <c r="BI380" s="14"/>
    </row>
    <row r="381" spans="1:61">
      <c r="A381" s="14"/>
      <c r="B381" s="14"/>
      <c r="C381" s="14"/>
      <c r="D381" s="167"/>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t="e">
        <f>IF('Stock Data'!$H$2,IF(ISNUMBER(AK381),AK381,NA()),NA())</f>
        <v>#N/A</v>
      </c>
      <c r="AO381" s="14"/>
      <c r="AP381" s="14"/>
      <c r="AQ381" s="14"/>
      <c r="AR381" s="14"/>
      <c r="AS381" s="14"/>
      <c r="AT381" s="14"/>
      <c r="AU381" s="14"/>
      <c r="AV381" s="14"/>
      <c r="AW381" s="14"/>
      <c r="AX381" s="14"/>
      <c r="AY381" s="14"/>
      <c r="AZ381" s="14"/>
      <c r="BA381" s="14"/>
      <c r="BB381" s="14"/>
      <c r="BC381" s="14"/>
      <c r="BD381" s="14"/>
      <c r="BE381" s="14"/>
      <c r="BF381" s="14"/>
      <c r="BG381" s="14"/>
      <c r="BH381" s="14"/>
      <c r="BI381" s="14"/>
    </row>
    <row r="382" spans="1:61">
      <c r="A382" s="14"/>
      <c r="B382" s="14"/>
      <c r="C382" s="14"/>
      <c r="D382" s="167"/>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t="e">
        <f>IF('Stock Data'!$H$2,IF(ISNUMBER(AK382),AK382,NA()),NA())</f>
        <v>#N/A</v>
      </c>
      <c r="AO382" s="14"/>
      <c r="AP382" s="14"/>
      <c r="AQ382" s="14"/>
      <c r="AR382" s="14"/>
      <c r="AS382" s="14"/>
      <c r="AT382" s="14"/>
      <c r="AU382" s="14"/>
      <c r="AV382" s="14"/>
      <c r="AW382" s="14"/>
      <c r="AX382" s="14"/>
      <c r="AY382" s="14"/>
      <c r="AZ382" s="14"/>
      <c r="BA382" s="14"/>
      <c r="BB382" s="14"/>
      <c r="BC382" s="14"/>
      <c r="BD382" s="14"/>
      <c r="BE382" s="14"/>
      <c r="BF382" s="14"/>
      <c r="BG382" s="14"/>
      <c r="BH382" s="14"/>
      <c r="BI382" s="14"/>
    </row>
    <row r="383" spans="1:61">
      <c r="A383" s="14"/>
      <c r="B383" s="14"/>
      <c r="C383" s="14"/>
      <c r="D383" s="167"/>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t="e">
        <f>IF('Stock Data'!$H$2,IF(ISNUMBER(AK383),AK383,NA()),NA())</f>
        <v>#N/A</v>
      </c>
      <c r="AO383" s="14"/>
      <c r="AP383" s="14"/>
      <c r="AQ383" s="14"/>
      <c r="AR383" s="14"/>
      <c r="AS383" s="14"/>
      <c r="AT383" s="14"/>
      <c r="AU383" s="14"/>
      <c r="AV383" s="14"/>
      <c r="AW383" s="14"/>
      <c r="AX383" s="14"/>
      <c r="AY383" s="14"/>
      <c r="AZ383" s="14"/>
      <c r="BA383" s="14"/>
      <c r="BB383" s="14"/>
      <c r="BC383" s="14"/>
      <c r="BD383" s="14"/>
      <c r="BE383" s="14"/>
      <c r="BF383" s="14"/>
      <c r="BG383" s="14"/>
      <c r="BH383" s="14"/>
      <c r="BI383" s="14"/>
    </row>
    <row r="384" spans="1:61">
      <c r="A384" s="14"/>
      <c r="B384" s="14"/>
      <c r="C384" s="14"/>
      <c r="D384" s="167"/>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t="e">
        <f>IF('Stock Data'!$H$2,IF(ISNUMBER(AK384),AK384,NA()),NA())</f>
        <v>#N/A</v>
      </c>
      <c r="AO384" s="14"/>
      <c r="AP384" s="14"/>
      <c r="AQ384" s="14"/>
      <c r="AR384" s="14"/>
      <c r="AS384" s="14"/>
      <c r="AT384" s="14"/>
      <c r="AU384" s="14"/>
      <c r="AV384" s="14"/>
      <c r="AW384" s="14"/>
      <c r="AX384" s="14"/>
      <c r="AY384" s="14"/>
      <c r="AZ384" s="14"/>
      <c r="BA384" s="14"/>
      <c r="BB384" s="14"/>
      <c r="BC384" s="14"/>
      <c r="BD384" s="14"/>
      <c r="BE384" s="14"/>
      <c r="BF384" s="14"/>
      <c r="BG384" s="14"/>
      <c r="BH384" s="14"/>
      <c r="BI384" s="14"/>
    </row>
    <row r="385" spans="1:61">
      <c r="A385" s="14"/>
      <c r="B385" s="14"/>
      <c r="C385" s="14"/>
      <c r="D385" s="167"/>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t="e">
        <f>IF('Stock Data'!$H$2,IF(ISNUMBER(AK385),AK385,NA()),NA())</f>
        <v>#N/A</v>
      </c>
      <c r="AO385" s="14"/>
      <c r="AP385" s="14"/>
      <c r="AQ385" s="14"/>
      <c r="AR385" s="14"/>
      <c r="AS385" s="14"/>
      <c r="AT385" s="14"/>
      <c r="AU385" s="14"/>
      <c r="AV385" s="14"/>
      <c r="AW385" s="14"/>
      <c r="AX385" s="14"/>
      <c r="AY385" s="14"/>
      <c r="AZ385" s="14"/>
      <c r="BA385" s="14"/>
      <c r="BB385" s="14"/>
      <c r="BC385" s="14"/>
      <c r="BD385" s="14"/>
      <c r="BE385" s="14"/>
      <c r="BF385" s="14"/>
      <c r="BG385" s="14"/>
      <c r="BH385" s="14"/>
      <c r="BI385" s="14"/>
    </row>
    <row r="386" spans="1:61">
      <c r="A386" s="14"/>
      <c r="B386" s="14"/>
      <c r="C386" s="14"/>
      <c r="D386" s="167"/>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t="e">
        <f>IF('Stock Data'!$H$2,IF(ISNUMBER(AK386),AK386,NA()),NA())</f>
        <v>#N/A</v>
      </c>
      <c r="AO386" s="14"/>
      <c r="AP386" s="14"/>
      <c r="AQ386" s="14"/>
      <c r="AR386" s="14"/>
      <c r="AS386" s="14"/>
      <c r="AT386" s="14"/>
      <c r="AU386" s="14"/>
      <c r="AV386" s="14"/>
      <c r="AW386" s="14"/>
      <c r="AX386" s="14"/>
      <c r="AY386" s="14"/>
      <c r="AZ386" s="14"/>
      <c r="BA386" s="14"/>
      <c r="BB386" s="14"/>
      <c r="BC386" s="14"/>
      <c r="BD386" s="14"/>
      <c r="BE386" s="14"/>
      <c r="BF386" s="14"/>
      <c r="BG386" s="14"/>
      <c r="BH386" s="14"/>
      <c r="BI386" s="14"/>
    </row>
    <row r="387" spans="1:61">
      <c r="A387" s="14"/>
      <c r="B387" s="14"/>
      <c r="C387" s="14"/>
      <c r="D387" s="167"/>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t="e">
        <f>IF('Stock Data'!$H$2,IF(ISNUMBER(AK387),AK387,NA()),NA())</f>
        <v>#N/A</v>
      </c>
      <c r="AO387" s="14"/>
      <c r="AP387" s="14"/>
      <c r="AQ387" s="14"/>
      <c r="AR387" s="14"/>
      <c r="AS387" s="14"/>
      <c r="AT387" s="14"/>
      <c r="AU387" s="14"/>
      <c r="AV387" s="14"/>
      <c r="AW387" s="14"/>
      <c r="AX387" s="14"/>
      <c r="AY387" s="14"/>
      <c r="AZ387" s="14"/>
      <c r="BA387" s="14"/>
      <c r="BB387" s="14"/>
      <c r="BC387" s="14"/>
      <c r="BD387" s="14"/>
      <c r="BE387" s="14"/>
      <c r="BF387" s="14"/>
      <c r="BG387" s="14"/>
      <c r="BH387" s="14"/>
      <c r="BI387" s="14"/>
    </row>
    <row r="388" spans="1:61">
      <c r="A388" s="14"/>
      <c r="B388" s="14"/>
      <c r="C388" s="14"/>
      <c r="D388" s="167"/>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t="e">
        <f>IF('Stock Data'!$H$2,IF(ISNUMBER(AK388),AK388,NA()),NA())</f>
        <v>#N/A</v>
      </c>
      <c r="AO388" s="14"/>
      <c r="AP388" s="14"/>
      <c r="AQ388" s="14"/>
      <c r="AR388" s="14"/>
      <c r="AS388" s="14"/>
      <c r="AT388" s="14"/>
      <c r="AU388" s="14"/>
      <c r="AV388" s="14"/>
      <c r="AW388" s="14"/>
      <c r="AX388" s="14"/>
      <c r="AY388" s="14"/>
      <c r="AZ388" s="14"/>
      <c r="BA388" s="14"/>
      <c r="BB388" s="14"/>
      <c r="BC388" s="14"/>
      <c r="BD388" s="14"/>
      <c r="BE388" s="14"/>
      <c r="BF388" s="14"/>
      <c r="BG388" s="14"/>
      <c r="BH388" s="14"/>
      <c r="BI388" s="14"/>
    </row>
    <row r="389" spans="1:61">
      <c r="A389" s="14"/>
      <c r="B389" s="14"/>
      <c r="C389" s="14"/>
      <c r="D389" s="167"/>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t="e">
        <f>IF('Stock Data'!$H$2,IF(ISNUMBER(AK389),AK389,NA()),NA())</f>
        <v>#N/A</v>
      </c>
      <c r="AO389" s="14"/>
      <c r="AP389" s="14"/>
      <c r="AQ389" s="14"/>
      <c r="AR389" s="14"/>
      <c r="AS389" s="14"/>
      <c r="AT389" s="14"/>
      <c r="AU389" s="14"/>
      <c r="AV389" s="14"/>
      <c r="AW389" s="14"/>
      <c r="AX389" s="14"/>
      <c r="AY389" s="14"/>
      <c r="AZ389" s="14"/>
      <c r="BA389" s="14"/>
      <c r="BB389" s="14"/>
      <c r="BC389" s="14"/>
      <c r="BD389" s="14"/>
      <c r="BE389" s="14"/>
      <c r="BF389" s="14"/>
      <c r="BG389" s="14"/>
      <c r="BH389" s="14"/>
      <c r="BI389" s="14"/>
    </row>
    <row r="390" spans="1:61">
      <c r="A390" s="14"/>
      <c r="B390" s="14"/>
      <c r="C390" s="14"/>
      <c r="D390" s="167"/>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t="e">
        <f>IF('Stock Data'!$H$2,IF(ISNUMBER(AK390),AK390,NA()),NA())</f>
        <v>#N/A</v>
      </c>
      <c r="AO390" s="14"/>
      <c r="AP390" s="14"/>
      <c r="AQ390" s="14"/>
      <c r="AR390" s="14"/>
      <c r="AS390" s="14"/>
      <c r="AT390" s="14"/>
      <c r="AU390" s="14"/>
      <c r="AV390" s="14"/>
      <c r="AW390" s="14"/>
      <c r="AX390" s="14"/>
      <c r="AY390" s="14"/>
      <c r="AZ390" s="14"/>
      <c r="BA390" s="14"/>
      <c r="BB390" s="14"/>
      <c r="BC390" s="14"/>
      <c r="BD390" s="14"/>
      <c r="BE390" s="14"/>
      <c r="BF390" s="14"/>
      <c r="BG390" s="14"/>
      <c r="BH390" s="14"/>
      <c r="BI390" s="14"/>
    </row>
    <row r="391" spans="1:61">
      <c r="A391" s="14"/>
      <c r="B391" s="14"/>
      <c r="C391" s="14"/>
      <c r="D391" s="167"/>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t="e">
        <f>IF('Stock Data'!$H$2,IF(ISNUMBER(AK391),AK391,NA()),NA())</f>
        <v>#N/A</v>
      </c>
      <c r="AO391" s="14"/>
      <c r="AP391" s="14"/>
      <c r="AQ391" s="14"/>
      <c r="AR391" s="14"/>
      <c r="AS391" s="14"/>
      <c r="AT391" s="14"/>
      <c r="AU391" s="14"/>
      <c r="AV391" s="14"/>
      <c r="AW391" s="14"/>
      <c r="AX391" s="14"/>
      <c r="AY391" s="14"/>
      <c r="AZ391" s="14"/>
      <c r="BA391" s="14"/>
      <c r="BB391" s="14"/>
      <c r="BC391" s="14"/>
      <c r="BD391" s="14"/>
      <c r="BE391" s="14"/>
      <c r="BF391" s="14"/>
      <c r="BG391" s="14"/>
      <c r="BH391" s="14"/>
      <c r="BI391" s="14"/>
    </row>
    <row r="392" spans="1:61">
      <c r="A392" s="14"/>
      <c r="B392" s="14"/>
      <c r="C392" s="14"/>
      <c r="D392" s="167"/>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t="e">
        <f>IF('Stock Data'!$H$2,IF(ISNUMBER(AK392),AK392,NA()),NA())</f>
        <v>#N/A</v>
      </c>
      <c r="AO392" s="14"/>
      <c r="AP392" s="14"/>
      <c r="AQ392" s="14"/>
      <c r="AR392" s="14"/>
      <c r="AS392" s="14"/>
      <c r="AT392" s="14"/>
      <c r="AU392" s="14"/>
      <c r="AV392" s="14"/>
      <c r="AW392" s="14"/>
      <c r="AX392" s="14"/>
      <c r="AY392" s="14"/>
      <c r="AZ392" s="14"/>
      <c r="BA392" s="14"/>
      <c r="BB392" s="14"/>
      <c r="BC392" s="14"/>
      <c r="BD392" s="14"/>
      <c r="BE392" s="14"/>
      <c r="BF392" s="14"/>
      <c r="BG392" s="14"/>
      <c r="BH392" s="14"/>
      <c r="BI392" s="14"/>
    </row>
    <row r="393" spans="1:61">
      <c r="A393" s="14"/>
      <c r="B393" s="14"/>
      <c r="C393" s="14"/>
      <c r="D393" s="167"/>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t="e">
        <f>IF('Stock Data'!$H$2,IF(ISNUMBER(AK393),AK393,NA()),NA())</f>
        <v>#N/A</v>
      </c>
      <c r="AO393" s="14"/>
      <c r="AP393" s="14"/>
      <c r="AQ393" s="14"/>
      <c r="AR393" s="14"/>
      <c r="AS393" s="14"/>
      <c r="AT393" s="14"/>
      <c r="AU393" s="14"/>
      <c r="AV393" s="14"/>
      <c r="AW393" s="14"/>
      <c r="AX393" s="14"/>
      <c r="AY393" s="14"/>
      <c r="AZ393" s="14"/>
      <c r="BA393" s="14"/>
      <c r="BB393" s="14"/>
      <c r="BC393" s="14"/>
      <c r="BD393" s="14"/>
      <c r="BE393" s="14"/>
      <c r="BF393" s="14"/>
      <c r="BG393" s="14"/>
      <c r="BH393" s="14"/>
      <c r="BI393" s="14"/>
    </row>
    <row r="394" spans="1:61">
      <c r="A394" s="14"/>
      <c r="B394" s="14"/>
      <c r="C394" s="14"/>
      <c r="D394" s="167"/>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t="e">
        <f>IF('Stock Data'!$H$2,IF(ISNUMBER(AK394),AK394,NA()),NA())</f>
        <v>#N/A</v>
      </c>
      <c r="AO394" s="14"/>
      <c r="AP394" s="14"/>
      <c r="AQ394" s="14"/>
      <c r="AR394" s="14"/>
      <c r="AS394" s="14"/>
      <c r="AT394" s="14"/>
      <c r="AU394" s="14"/>
      <c r="AV394" s="14"/>
      <c r="AW394" s="14"/>
      <c r="AX394" s="14"/>
      <c r="AY394" s="14"/>
      <c r="AZ394" s="14"/>
      <c r="BA394" s="14"/>
      <c r="BB394" s="14"/>
      <c r="BC394" s="14"/>
      <c r="BD394" s="14"/>
      <c r="BE394" s="14"/>
      <c r="BF394" s="14"/>
      <c r="BG394" s="14"/>
      <c r="BH394" s="14"/>
      <c r="BI394" s="14"/>
    </row>
    <row r="395" spans="1:61">
      <c r="A395" s="14"/>
      <c r="B395" s="14"/>
      <c r="C395" s="14"/>
      <c r="D395" s="167"/>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t="e">
        <f>IF('Stock Data'!$H$2,IF(ISNUMBER(AK395),AK395,NA()),NA())</f>
        <v>#N/A</v>
      </c>
      <c r="AO395" s="14"/>
      <c r="AP395" s="14"/>
      <c r="AQ395" s="14"/>
      <c r="AR395" s="14"/>
      <c r="AS395" s="14"/>
      <c r="AT395" s="14"/>
      <c r="AU395" s="14"/>
      <c r="AV395" s="14"/>
      <c r="AW395" s="14"/>
      <c r="AX395" s="14"/>
      <c r="AY395" s="14"/>
      <c r="AZ395" s="14"/>
      <c r="BA395" s="14"/>
      <c r="BB395" s="14"/>
      <c r="BC395" s="14"/>
      <c r="BD395" s="14"/>
      <c r="BE395" s="14"/>
      <c r="BF395" s="14"/>
      <c r="BG395" s="14"/>
      <c r="BH395" s="14"/>
      <c r="BI395" s="14"/>
    </row>
    <row r="396" spans="1:61">
      <c r="A396" s="14"/>
      <c r="B396" s="14"/>
      <c r="C396" s="14"/>
      <c r="D396" s="167"/>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t="e">
        <f>IF('Stock Data'!$H$2,IF(ISNUMBER(AK396),AK396,NA()),NA())</f>
        <v>#N/A</v>
      </c>
      <c r="AO396" s="14"/>
      <c r="AP396" s="14"/>
      <c r="AQ396" s="14"/>
      <c r="AR396" s="14"/>
      <c r="AS396" s="14"/>
      <c r="AT396" s="14"/>
      <c r="AU396" s="14"/>
      <c r="AV396" s="14"/>
      <c r="AW396" s="14"/>
      <c r="AX396" s="14"/>
      <c r="AY396" s="14"/>
      <c r="AZ396" s="14"/>
      <c r="BA396" s="14"/>
      <c r="BB396" s="14"/>
      <c r="BC396" s="14"/>
      <c r="BD396" s="14"/>
      <c r="BE396" s="14"/>
      <c r="BF396" s="14"/>
      <c r="BG396" s="14"/>
      <c r="BH396" s="14"/>
      <c r="BI396" s="14"/>
    </row>
    <row r="397" spans="1:61">
      <c r="A397" s="14"/>
      <c r="B397" s="14"/>
      <c r="C397" s="14"/>
      <c r="D397" s="167"/>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t="e">
        <f>IF('Stock Data'!$H$2,IF(ISNUMBER(AK397),AK397,NA()),NA())</f>
        <v>#N/A</v>
      </c>
      <c r="AO397" s="14"/>
      <c r="AP397" s="14"/>
      <c r="AQ397" s="14"/>
      <c r="AR397" s="14"/>
      <c r="AS397" s="14"/>
      <c r="AT397" s="14"/>
      <c r="AU397" s="14"/>
      <c r="AV397" s="14"/>
      <c r="AW397" s="14"/>
      <c r="AX397" s="14"/>
      <c r="AY397" s="14"/>
      <c r="AZ397" s="14"/>
      <c r="BA397" s="14"/>
      <c r="BB397" s="14"/>
      <c r="BC397" s="14"/>
      <c r="BD397" s="14"/>
      <c r="BE397" s="14"/>
      <c r="BF397" s="14"/>
      <c r="BG397" s="14"/>
      <c r="BH397" s="14"/>
      <c r="BI397" s="14"/>
    </row>
    <row r="398" spans="1:61">
      <c r="A398" s="14"/>
      <c r="B398" s="14"/>
      <c r="C398" s="14"/>
      <c r="D398" s="167"/>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t="e">
        <f>IF('Stock Data'!$H$2,IF(ISNUMBER(AK398),AK398,NA()),NA())</f>
        <v>#N/A</v>
      </c>
      <c r="AO398" s="14"/>
      <c r="AP398" s="14"/>
      <c r="AQ398" s="14"/>
      <c r="AR398" s="14"/>
      <c r="AS398" s="14"/>
      <c r="AT398" s="14"/>
      <c r="AU398" s="14"/>
      <c r="AV398" s="14"/>
      <c r="AW398" s="14"/>
      <c r="AX398" s="14"/>
      <c r="AY398" s="14"/>
      <c r="AZ398" s="14"/>
      <c r="BA398" s="14"/>
      <c r="BB398" s="14"/>
      <c r="BC398" s="14"/>
      <c r="BD398" s="14"/>
      <c r="BE398" s="14"/>
      <c r="BF398" s="14"/>
      <c r="BG398" s="14"/>
      <c r="BH398" s="14"/>
      <c r="BI398" s="14"/>
    </row>
    <row r="399" spans="1:61">
      <c r="A399" s="14"/>
      <c r="B399" s="14"/>
      <c r="C399" s="14"/>
      <c r="D399" s="167"/>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t="e">
        <f>IF('Stock Data'!$H$2,IF(ISNUMBER(AK399),AK399,NA()),NA())</f>
        <v>#N/A</v>
      </c>
      <c r="AO399" s="14"/>
      <c r="AP399" s="14"/>
      <c r="AQ399" s="14"/>
      <c r="AR399" s="14"/>
      <c r="AS399" s="14"/>
      <c r="AT399" s="14"/>
      <c r="AU399" s="14"/>
      <c r="AV399" s="14"/>
      <c r="AW399" s="14"/>
      <c r="AX399" s="14"/>
      <c r="AY399" s="14"/>
      <c r="AZ399" s="14"/>
      <c r="BA399" s="14"/>
      <c r="BB399" s="14"/>
      <c r="BC399" s="14"/>
      <c r="BD399" s="14"/>
      <c r="BE399" s="14"/>
      <c r="BF399" s="14"/>
      <c r="BG399" s="14"/>
      <c r="BH399" s="14"/>
      <c r="BI399" s="14"/>
    </row>
    <row r="400" spans="1:61">
      <c r="A400" s="14"/>
      <c r="B400" s="14"/>
      <c r="C400" s="14"/>
      <c r="D400" s="167"/>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t="e">
        <f>IF('Stock Data'!$H$2,IF(ISNUMBER(AK400),AK400,NA()),NA())</f>
        <v>#N/A</v>
      </c>
      <c r="AO400" s="14"/>
      <c r="AP400" s="14"/>
      <c r="AQ400" s="14"/>
      <c r="AR400" s="14"/>
      <c r="AS400" s="14"/>
      <c r="AT400" s="14"/>
      <c r="AU400" s="14"/>
      <c r="AV400" s="14"/>
      <c r="AW400" s="14"/>
      <c r="AX400" s="14"/>
      <c r="AY400" s="14"/>
      <c r="AZ400" s="14"/>
      <c r="BA400" s="14"/>
      <c r="BB400" s="14"/>
      <c r="BC400" s="14"/>
      <c r="BD400" s="14"/>
      <c r="BE400" s="14"/>
      <c r="BF400" s="14"/>
      <c r="BG400" s="14"/>
      <c r="BH400" s="14"/>
      <c r="BI400" s="14"/>
    </row>
    <row r="401" spans="1:61">
      <c r="A401" s="14"/>
      <c r="B401" s="14"/>
      <c r="C401" s="14"/>
      <c r="D401" s="167"/>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t="e">
        <f>IF('Stock Data'!$H$2,IF(ISNUMBER(AK401),AK401,NA()),NA())</f>
        <v>#N/A</v>
      </c>
      <c r="AO401" s="14"/>
      <c r="AP401" s="14"/>
      <c r="AQ401" s="14"/>
      <c r="AR401" s="14"/>
      <c r="AS401" s="14"/>
      <c r="AT401" s="14"/>
      <c r="AU401" s="14"/>
      <c r="AV401" s="14"/>
      <c r="AW401" s="14"/>
      <c r="AX401" s="14"/>
      <c r="AY401" s="14"/>
      <c r="AZ401" s="14"/>
      <c r="BA401" s="14"/>
      <c r="BB401" s="14"/>
      <c r="BC401" s="14"/>
      <c r="BD401" s="14"/>
      <c r="BE401" s="14"/>
      <c r="BF401" s="14"/>
      <c r="BG401" s="14"/>
      <c r="BH401" s="14"/>
      <c r="BI401" s="14"/>
    </row>
    <row r="402" spans="1:61">
      <c r="A402" s="14"/>
      <c r="B402" s="14"/>
      <c r="C402" s="14"/>
      <c r="D402" s="167"/>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t="e">
        <f>IF('Stock Data'!$H$2,IF(ISNUMBER(AK402),AK402,NA()),NA())</f>
        <v>#N/A</v>
      </c>
      <c r="AO402" s="14"/>
      <c r="AP402" s="14"/>
      <c r="AQ402" s="14"/>
      <c r="AR402" s="14"/>
      <c r="AS402" s="14"/>
      <c r="AT402" s="14"/>
      <c r="AU402" s="14"/>
      <c r="AV402" s="14"/>
      <c r="AW402" s="14"/>
      <c r="AX402" s="14"/>
      <c r="AY402" s="14"/>
      <c r="AZ402" s="14"/>
      <c r="BA402" s="14"/>
      <c r="BB402" s="14"/>
      <c r="BC402" s="14"/>
      <c r="BD402" s="14"/>
      <c r="BE402" s="14"/>
      <c r="BF402" s="14"/>
      <c r="BG402" s="14"/>
      <c r="BH402" s="14"/>
      <c r="BI402" s="14"/>
    </row>
    <row r="403" spans="1:61">
      <c r="A403" s="14"/>
      <c r="B403" s="14"/>
      <c r="C403" s="14"/>
      <c r="D403" s="167"/>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t="e">
        <f>IF('Stock Data'!$H$2,IF(ISNUMBER(AK403),AK403,NA()),NA())</f>
        <v>#N/A</v>
      </c>
      <c r="AO403" s="14"/>
      <c r="AP403" s="14"/>
      <c r="AQ403" s="14"/>
      <c r="AR403" s="14"/>
      <c r="AS403" s="14"/>
      <c r="AT403" s="14"/>
      <c r="AU403" s="14"/>
      <c r="AV403" s="14"/>
      <c r="AW403" s="14"/>
      <c r="AX403" s="14"/>
      <c r="AY403" s="14"/>
      <c r="AZ403" s="14"/>
      <c r="BA403" s="14"/>
      <c r="BB403" s="14"/>
      <c r="BC403" s="14"/>
      <c r="BD403" s="14"/>
      <c r="BE403" s="14"/>
      <c r="BF403" s="14"/>
      <c r="BG403" s="14"/>
      <c r="BH403" s="14"/>
      <c r="BI403" s="14"/>
    </row>
    <row r="404" spans="1:61">
      <c r="A404" s="14"/>
      <c r="B404" s="14"/>
      <c r="C404" s="14"/>
      <c r="D404" s="167"/>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t="e">
        <f>IF('Stock Data'!$H$2,IF(ISNUMBER(AK404),AK404,NA()),NA())</f>
        <v>#N/A</v>
      </c>
      <c r="AO404" s="14"/>
      <c r="AP404" s="14"/>
      <c r="AQ404" s="14"/>
      <c r="AR404" s="14"/>
      <c r="AS404" s="14"/>
      <c r="AT404" s="14"/>
      <c r="AU404" s="14"/>
      <c r="AV404" s="14"/>
      <c r="AW404" s="14"/>
      <c r="AX404" s="14"/>
      <c r="AY404" s="14"/>
      <c r="AZ404" s="14"/>
      <c r="BA404" s="14"/>
      <c r="BB404" s="14"/>
      <c r="BC404" s="14"/>
      <c r="BD404" s="14"/>
      <c r="BE404" s="14"/>
      <c r="BF404" s="14"/>
      <c r="BG404" s="14"/>
      <c r="BH404" s="14"/>
      <c r="BI404" s="14"/>
    </row>
    <row r="405" spans="1:61">
      <c r="A405" s="14"/>
      <c r="B405" s="14"/>
      <c r="C405" s="14"/>
      <c r="D405" s="167"/>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t="e">
        <f>IF('Stock Data'!$H$2,IF(ISNUMBER(AK405),AK405,NA()),NA())</f>
        <v>#N/A</v>
      </c>
      <c r="AO405" s="14"/>
      <c r="AP405" s="14"/>
      <c r="AQ405" s="14"/>
      <c r="AR405" s="14"/>
      <c r="AS405" s="14"/>
      <c r="AT405" s="14"/>
      <c r="AU405" s="14"/>
      <c r="AV405" s="14"/>
      <c r="AW405" s="14"/>
      <c r="AX405" s="14"/>
      <c r="AY405" s="14"/>
      <c r="AZ405" s="14"/>
      <c r="BA405" s="14"/>
      <c r="BB405" s="14"/>
      <c r="BC405" s="14"/>
      <c r="BD405" s="14"/>
      <c r="BE405" s="14"/>
      <c r="BF405" s="14"/>
      <c r="BG405" s="14"/>
      <c r="BH405" s="14"/>
      <c r="BI405" s="14"/>
    </row>
    <row r="406" spans="1:61">
      <c r="A406" s="14"/>
      <c r="B406" s="14"/>
      <c r="C406" s="14"/>
      <c r="D406" s="167"/>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t="e">
        <f>IF('Stock Data'!$H$2,IF(ISNUMBER(AK406),AK406,NA()),NA())</f>
        <v>#N/A</v>
      </c>
      <c r="AO406" s="14"/>
      <c r="AP406" s="14"/>
      <c r="AQ406" s="14"/>
      <c r="AR406" s="14"/>
      <c r="AS406" s="14"/>
      <c r="AT406" s="14"/>
      <c r="AU406" s="14"/>
      <c r="AV406" s="14"/>
      <c r="AW406" s="14"/>
      <c r="AX406" s="14"/>
      <c r="AY406" s="14"/>
      <c r="AZ406" s="14"/>
      <c r="BA406" s="14"/>
      <c r="BB406" s="14"/>
      <c r="BC406" s="14"/>
      <c r="BD406" s="14"/>
      <c r="BE406" s="14"/>
      <c r="BF406" s="14"/>
      <c r="BG406" s="14"/>
      <c r="BH406" s="14"/>
      <c r="BI406" s="14"/>
    </row>
    <row r="407" spans="1:61">
      <c r="A407" s="14"/>
      <c r="B407" s="14"/>
      <c r="C407" s="14"/>
      <c r="D407" s="167"/>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t="e">
        <f>IF('Stock Data'!$H$2,IF(ISNUMBER(AK407),AK407,NA()),NA())</f>
        <v>#N/A</v>
      </c>
      <c r="AO407" s="14"/>
      <c r="AP407" s="14"/>
      <c r="AQ407" s="14"/>
      <c r="AR407" s="14"/>
      <c r="AS407" s="14"/>
      <c r="AT407" s="14"/>
      <c r="AU407" s="14"/>
      <c r="AV407" s="14"/>
      <c r="AW407" s="14"/>
      <c r="AX407" s="14"/>
      <c r="AY407" s="14"/>
      <c r="AZ407" s="14"/>
      <c r="BA407" s="14"/>
      <c r="BB407" s="14"/>
      <c r="BC407" s="14"/>
      <c r="BD407" s="14"/>
      <c r="BE407" s="14"/>
      <c r="BF407" s="14"/>
      <c r="BG407" s="14"/>
      <c r="BH407" s="14"/>
      <c r="BI407" s="14"/>
    </row>
    <row r="408" spans="1:61">
      <c r="A408" s="14"/>
      <c r="B408" s="14"/>
      <c r="C408" s="14"/>
      <c r="D408" s="167"/>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t="e">
        <f>IF('Stock Data'!$H$2,IF(ISNUMBER(AK408),AK408,NA()),NA())</f>
        <v>#N/A</v>
      </c>
      <c r="AO408" s="14"/>
      <c r="AP408" s="14"/>
      <c r="AQ408" s="14"/>
      <c r="AR408" s="14"/>
      <c r="AS408" s="14"/>
      <c r="AT408" s="14"/>
      <c r="AU408" s="14"/>
      <c r="AV408" s="14"/>
      <c r="AW408" s="14"/>
      <c r="AX408" s="14"/>
      <c r="AY408" s="14"/>
      <c r="AZ408" s="14"/>
      <c r="BA408" s="14"/>
      <c r="BB408" s="14"/>
      <c r="BC408" s="14"/>
      <c r="BD408" s="14"/>
      <c r="BE408" s="14"/>
      <c r="BF408" s="14"/>
      <c r="BG408" s="14"/>
      <c r="BH408" s="14"/>
      <c r="BI408" s="14"/>
    </row>
    <row r="409" spans="1:61">
      <c r="A409" s="14"/>
      <c r="B409" s="14"/>
      <c r="C409" s="14"/>
      <c r="D409" s="167"/>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t="e">
        <f>IF('Stock Data'!$H$2,IF(ISNUMBER(AK409),AK409,NA()),NA())</f>
        <v>#N/A</v>
      </c>
      <c r="AO409" s="14"/>
      <c r="AP409" s="14"/>
      <c r="AQ409" s="14"/>
      <c r="AR409" s="14"/>
      <c r="AS409" s="14"/>
      <c r="AT409" s="14"/>
      <c r="AU409" s="14"/>
      <c r="AV409" s="14"/>
      <c r="AW409" s="14"/>
      <c r="AX409" s="14"/>
      <c r="AY409" s="14"/>
      <c r="AZ409" s="14"/>
      <c r="BA409" s="14"/>
      <c r="BB409" s="14"/>
      <c r="BC409" s="14"/>
      <c r="BD409" s="14"/>
      <c r="BE409" s="14"/>
      <c r="BF409" s="14"/>
      <c r="BG409" s="14"/>
      <c r="BH409" s="14"/>
      <c r="BI409" s="14"/>
    </row>
    <row r="410" spans="1:61">
      <c r="A410" s="14"/>
      <c r="B410" s="14"/>
      <c r="C410" s="14"/>
      <c r="D410" s="167"/>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t="e">
        <f>IF('Stock Data'!$H$2,IF(ISNUMBER(AK410),AK410,NA()),NA())</f>
        <v>#N/A</v>
      </c>
      <c r="AO410" s="14"/>
      <c r="AP410" s="14"/>
      <c r="AQ410" s="14"/>
      <c r="AR410" s="14"/>
      <c r="AS410" s="14"/>
      <c r="AT410" s="14"/>
      <c r="AU410" s="14"/>
      <c r="AV410" s="14"/>
      <c r="AW410" s="14"/>
      <c r="AX410" s="14"/>
      <c r="AY410" s="14"/>
      <c r="AZ410" s="14"/>
      <c r="BA410" s="14"/>
      <c r="BB410" s="14"/>
      <c r="BC410" s="14"/>
      <c r="BD410" s="14"/>
      <c r="BE410" s="14"/>
      <c r="BF410" s="14"/>
      <c r="BG410" s="14"/>
      <c r="BH410" s="14"/>
      <c r="BI410" s="14"/>
    </row>
    <row r="411" spans="1:61">
      <c r="A411" s="14"/>
      <c r="B411" s="14"/>
      <c r="C411" s="14"/>
      <c r="D411" s="167"/>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t="e">
        <f>IF('Stock Data'!$H$2,IF(ISNUMBER(AK411),AK411,NA()),NA())</f>
        <v>#N/A</v>
      </c>
      <c r="AO411" s="14"/>
      <c r="AP411" s="14"/>
      <c r="AQ411" s="14"/>
      <c r="AR411" s="14"/>
      <c r="AS411" s="14"/>
      <c r="AT411" s="14"/>
      <c r="AU411" s="14"/>
      <c r="AV411" s="14"/>
      <c r="AW411" s="14"/>
      <c r="AX411" s="14"/>
      <c r="AY411" s="14"/>
      <c r="AZ411" s="14"/>
      <c r="BA411" s="14"/>
      <c r="BB411" s="14"/>
      <c r="BC411" s="14"/>
      <c r="BD411" s="14"/>
      <c r="BE411" s="14"/>
      <c r="BF411" s="14"/>
      <c r="BG411" s="14"/>
      <c r="BH411" s="14"/>
      <c r="BI411" s="14"/>
    </row>
    <row r="412" spans="1:61">
      <c r="A412" s="14"/>
      <c r="B412" s="14"/>
      <c r="C412" s="14"/>
      <c r="D412" s="167"/>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t="e">
        <f>IF('Stock Data'!$H$2,IF(ISNUMBER(AK412),AK412,NA()),NA())</f>
        <v>#N/A</v>
      </c>
      <c r="AO412" s="14"/>
      <c r="AP412" s="14"/>
      <c r="AQ412" s="14"/>
      <c r="AR412" s="14"/>
      <c r="AS412" s="14"/>
      <c r="AT412" s="14"/>
      <c r="AU412" s="14"/>
      <c r="AV412" s="14"/>
      <c r="AW412" s="14"/>
      <c r="AX412" s="14"/>
      <c r="AY412" s="14"/>
      <c r="AZ412" s="14"/>
      <c r="BA412" s="14"/>
      <c r="BB412" s="14"/>
      <c r="BC412" s="14"/>
      <c r="BD412" s="14"/>
      <c r="BE412" s="14"/>
      <c r="BF412" s="14"/>
      <c r="BG412" s="14"/>
      <c r="BH412" s="14"/>
      <c r="BI412" s="14"/>
    </row>
    <row r="413" spans="1:61">
      <c r="A413" s="14"/>
      <c r="B413" s="14"/>
      <c r="C413" s="14"/>
      <c r="D413" s="167"/>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t="e">
        <f>IF('Stock Data'!$H$2,IF(ISNUMBER(AK413),AK413,NA()),NA())</f>
        <v>#N/A</v>
      </c>
      <c r="AO413" s="14"/>
      <c r="AP413" s="14"/>
      <c r="AQ413" s="14"/>
      <c r="AR413" s="14"/>
      <c r="AS413" s="14"/>
      <c r="AT413" s="14"/>
      <c r="AU413" s="14"/>
      <c r="AV413" s="14"/>
      <c r="AW413" s="14"/>
      <c r="AX413" s="14"/>
      <c r="AY413" s="14"/>
      <c r="AZ413" s="14"/>
      <c r="BA413" s="14"/>
      <c r="BB413" s="14"/>
      <c r="BC413" s="14"/>
      <c r="BD413" s="14"/>
      <c r="BE413" s="14"/>
      <c r="BF413" s="14"/>
      <c r="BG413" s="14"/>
      <c r="BH413" s="14"/>
      <c r="BI413" s="14"/>
    </row>
    <row r="414" spans="1:61">
      <c r="A414" s="14"/>
      <c r="B414" s="14"/>
      <c r="C414" s="14"/>
      <c r="D414" s="167"/>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t="e">
        <f>IF('Stock Data'!$H$2,IF(ISNUMBER(AK414),AK414,NA()),NA())</f>
        <v>#N/A</v>
      </c>
      <c r="AO414" s="14"/>
      <c r="AP414" s="14"/>
      <c r="AQ414" s="14"/>
      <c r="AR414" s="14"/>
      <c r="AS414" s="14"/>
      <c r="AT414" s="14"/>
      <c r="AU414" s="14"/>
      <c r="AV414" s="14"/>
      <c r="AW414" s="14"/>
      <c r="AX414" s="14"/>
      <c r="AY414" s="14"/>
      <c r="AZ414" s="14"/>
      <c r="BA414" s="14"/>
      <c r="BB414" s="14"/>
      <c r="BC414" s="14"/>
      <c r="BD414" s="14"/>
      <c r="BE414" s="14"/>
      <c r="BF414" s="14"/>
      <c r="BG414" s="14"/>
      <c r="BH414" s="14"/>
      <c r="BI414" s="14"/>
    </row>
    <row r="415" spans="1:61">
      <c r="A415" s="14"/>
      <c r="B415" s="14"/>
      <c r="C415" s="14"/>
      <c r="D415" s="167"/>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t="e">
        <f>IF('Stock Data'!$H$2,IF(ISNUMBER(AK415),AK415,NA()),NA())</f>
        <v>#N/A</v>
      </c>
      <c r="AO415" s="14"/>
      <c r="AP415" s="14"/>
      <c r="AQ415" s="14"/>
      <c r="AR415" s="14"/>
      <c r="AS415" s="14"/>
      <c r="AT415" s="14"/>
      <c r="AU415" s="14"/>
      <c r="AV415" s="14"/>
      <c r="AW415" s="14"/>
      <c r="AX415" s="14"/>
      <c r="AY415" s="14"/>
      <c r="AZ415" s="14"/>
      <c r="BA415" s="14"/>
      <c r="BB415" s="14"/>
      <c r="BC415" s="14"/>
      <c r="BD415" s="14"/>
      <c r="BE415" s="14"/>
      <c r="BF415" s="14"/>
      <c r="BG415" s="14"/>
      <c r="BH415" s="14"/>
      <c r="BI415" s="14"/>
    </row>
    <row r="416" spans="1:61">
      <c r="A416" s="14"/>
      <c r="B416" s="14"/>
      <c r="C416" s="14"/>
      <c r="D416" s="167"/>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t="e">
        <f>IF('Stock Data'!$H$2,IF(ISNUMBER(AK416),AK416,NA()),NA())</f>
        <v>#N/A</v>
      </c>
      <c r="AO416" s="14"/>
      <c r="AP416" s="14"/>
      <c r="AQ416" s="14"/>
      <c r="AR416" s="14"/>
      <c r="AS416" s="14"/>
      <c r="AT416" s="14"/>
      <c r="AU416" s="14"/>
      <c r="AV416" s="14"/>
      <c r="AW416" s="14"/>
      <c r="AX416" s="14"/>
      <c r="AY416" s="14"/>
      <c r="AZ416" s="14"/>
      <c r="BA416" s="14"/>
      <c r="BB416" s="14"/>
      <c r="BC416" s="14"/>
      <c r="BD416" s="14"/>
      <c r="BE416" s="14"/>
      <c r="BF416" s="14"/>
      <c r="BG416" s="14"/>
      <c r="BH416" s="14"/>
      <c r="BI416" s="14"/>
    </row>
    <row r="417" spans="1:61">
      <c r="A417" s="14"/>
      <c r="B417" s="14"/>
      <c r="C417" s="14"/>
      <c r="D417" s="167"/>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t="e">
        <f>IF('Stock Data'!$H$2,IF(ISNUMBER(AK417),AK417,NA()),NA())</f>
        <v>#N/A</v>
      </c>
      <c r="AO417" s="14"/>
      <c r="AP417" s="14"/>
      <c r="AQ417" s="14"/>
      <c r="AR417" s="14"/>
      <c r="AS417" s="14"/>
      <c r="AT417" s="14"/>
      <c r="AU417" s="14"/>
      <c r="AV417" s="14"/>
      <c r="AW417" s="14"/>
      <c r="AX417" s="14"/>
      <c r="AY417" s="14"/>
      <c r="AZ417" s="14"/>
      <c r="BA417" s="14"/>
      <c r="BB417" s="14"/>
      <c r="BC417" s="14"/>
      <c r="BD417" s="14"/>
      <c r="BE417" s="14"/>
      <c r="BF417" s="14"/>
      <c r="BG417" s="14"/>
      <c r="BH417" s="14"/>
      <c r="BI417" s="14"/>
    </row>
    <row r="418" spans="1:61">
      <c r="A418" s="14"/>
      <c r="B418" s="14"/>
      <c r="C418" s="14"/>
      <c r="D418" s="167"/>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t="e">
        <f>IF('Stock Data'!$H$2,IF(ISNUMBER(AK418),AK418,NA()),NA())</f>
        <v>#N/A</v>
      </c>
      <c r="AO418" s="14"/>
      <c r="AP418" s="14"/>
      <c r="AQ418" s="14"/>
      <c r="AR418" s="14"/>
      <c r="AS418" s="14"/>
      <c r="AT418" s="14"/>
      <c r="AU418" s="14"/>
      <c r="AV418" s="14"/>
      <c r="AW418" s="14"/>
      <c r="AX418" s="14"/>
      <c r="AY418" s="14"/>
      <c r="AZ418" s="14"/>
      <c r="BA418" s="14"/>
      <c r="BB418" s="14"/>
      <c r="BC418" s="14"/>
      <c r="BD418" s="14"/>
      <c r="BE418" s="14"/>
      <c r="BF418" s="14"/>
      <c r="BG418" s="14"/>
      <c r="BH418" s="14"/>
      <c r="BI418" s="14"/>
    </row>
    <row r="419" spans="1:61">
      <c r="A419" s="14"/>
      <c r="B419" s="14"/>
      <c r="C419" s="14"/>
      <c r="D419" s="167"/>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t="e">
        <f>IF('Stock Data'!$H$2,IF(ISNUMBER(AK419),AK419,NA()),NA())</f>
        <v>#N/A</v>
      </c>
      <c r="AO419" s="14"/>
      <c r="AP419" s="14"/>
      <c r="AQ419" s="14"/>
      <c r="AR419" s="14"/>
      <c r="AS419" s="14"/>
      <c r="AT419" s="14"/>
      <c r="AU419" s="14"/>
      <c r="AV419" s="14"/>
      <c r="AW419" s="14"/>
      <c r="AX419" s="14"/>
      <c r="AY419" s="14"/>
      <c r="AZ419" s="14"/>
      <c r="BA419" s="14"/>
      <c r="BB419" s="14"/>
      <c r="BC419" s="14"/>
      <c r="BD419" s="14"/>
      <c r="BE419" s="14"/>
      <c r="BF419" s="14"/>
      <c r="BG419" s="14"/>
      <c r="BH419" s="14"/>
      <c r="BI419" s="14"/>
    </row>
    <row r="420" spans="1:61">
      <c r="A420" s="14"/>
      <c r="B420" s="14"/>
      <c r="C420" s="14"/>
      <c r="D420" s="167"/>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t="e">
        <f>IF('Stock Data'!$H$2,IF(ISNUMBER(AK420),AK420,NA()),NA())</f>
        <v>#N/A</v>
      </c>
      <c r="AO420" s="14"/>
      <c r="AP420" s="14"/>
      <c r="AQ420" s="14"/>
      <c r="AR420" s="14"/>
      <c r="AS420" s="14"/>
      <c r="AT420" s="14"/>
      <c r="AU420" s="14"/>
      <c r="AV420" s="14"/>
      <c r="AW420" s="14"/>
      <c r="AX420" s="14"/>
      <c r="AY420" s="14"/>
      <c r="AZ420" s="14"/>
      <c r="BA420" s="14"/>
      <c r="BB420" s="14"/>
      <c r="BC420" s="14"/>
      <c r="BD420" s="14"/>
      <c r="BE420" s="14"/>
      <c r="BF420" s="14"/>
      <c r="BG420" s="14"/>
      <c r="BH420" s="14"/>
      <c r="BI420" s="14"/>
    </row>
    <row r="421" spans="1:61">
      <c r="A421" s="14"/>
      <c r="B421" s="14"/>
      <c r="C421" s="14"/>
      <c r="D421" s="167"/>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t="e">
        <f>IF('Stock Data'!$H$2,IF(ISNUMBER(AK421),AK421,NA()),NA())</f>
        <v>#N/A</v>
      </c>
      <c r="AO421" s="14"/>
      <c r="AP421" s="14"/>
      <c r="AQ421" s="14"/>
      <c r="AR421" s="14"/>
      <c r="AS421" s="14"/>
      <c r="AT421" s="14"/>
      <c r="AU421" s="14"/>
      <c r="AV421" s="14"/>
      <c r="AW421" s="14"/>
      <c r="AX421" s="14"/>
      <c r="AY421" s="14"/>
      <c r="AZ421" s="14"/>
      <c r="BA421" s="14"/>
      <c r="BB421" s="14"/>
      <c r="BC421" s="14"/>
      <c r="BD421" s="14"/>
      <c r="BE421" s="14"/>
      <c r="BF421" s="14"/>
      <c r="BG421" s="14"/>
      <c r="BH421" s="14"/>
      <c r="BI421" s="14"/>
    </row>
    <row r="422" spans="1:61">
      <c r="A422" s="14"/>
      <c r="B422" s="14"/>
      <c r="C422" s="14"/>
      <c r="D422" s="167"/>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t="e">
        <f>IF('Stock Data'!$H$2,IF(ISNUMBER(AK422),AK422,NA()),NA())</f>
        <v>#N/A</v>
      </c>
      <c r="AO422" s="14"/>
      <c r="AP422" s="14"/>
      <c r="AQ422" s="14"/>
      <c r="AR422" s="14"/>
      <c r="AS422" s="14"/>
      <c r="AT422" s="14"/>
      <c r="AU422" s="14"/>
      <c r="AV422" s="14"/>
      <c r="AW422" s="14"/>
      <c r="AX422" s="14"/>
      <c r="AY422" s="14"/>
      <c r="AZ422" s="14"/>
      <c r="BA422" s="14"/>
      <c r="BB422" s="14"/>
      <c r="BC422" s="14"/>
      <c r="BD422" s="14"/>
      <c r="BE422" s="14"/>
      <c r="BF422" s="14"/>
      <c r="BG422" s="14"/>
      <c r="BH422" s="14"/>
      <c r="BI422" s="14"/>
    </row>
    <row r="423" spans="1:61">
      <c r="A423" s="14"/>
      <c r="B423" s="14"/>
      <c r="C423" s="14"/>
      <c r="D423" s="167"/>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t="e">
        <f>IF('Stock Data'!$H$2,IF(ISNUMBER(AK423),AK423,NA()),NA())</f>
        <v>#N/A</v>
      </c>
      <c r="AO423" s="14"/>
      <c r="AP423" s="14"/>
      <c r="AQ423" s="14"/>
      <c r="AR423" s="14"/>
      <c r="AS423" s="14"/>
      <c r="AT423" s="14"/>
      <c r="AU423" s="14"/>
      <c r="AV423" s="14"/>
      <c r="AW423" s="14"/>
      <c r="AX423" s="14"/>
      <c r="AY423" s="14"/>
      <c r="AZ423" s="14"/>
      <c r="BA423" s="14"/>
      <c r="BB423" s="14"/>
      <c r="BC423" s="14"/>
      <c r="BD423" s="14"/>
      <c r="BE423" s="14"/>
      <c r="BF423" s="14"/>
      <c r="BG423" s="14"/>
      <c r="BH423" s="14"/>
      <c r="BI423" s="14"/>
    </row>
    <row r="424" spans="1:61">
      <c r="A424" s="14"/>
      <c r="B424" s="14"/>
      <c r="C424" s="14"/>
      <c r="D424" s="167"/>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t="e">
        <f>IF('Stock Data'!$H$2,IF(ISNUMBER(AK424),AK424,NA()),NA())</f>
        <v>#N/A</v>
      </c>
      <c r="AO424" s="14"/>
      <c r="AP424" s="14"/>
      <c r="AQ424" s="14"/>
      <c r="AR424" s="14"/>
      <c r="AS424" s="14"/>
      <c r="AT424" s="14"/>
      <c r="AU424" s="14"/>
      <c r="AV424" s="14"/>
      <c r="AW424" s="14"/>
      <c r="AX424" s="14"/>
      <c r="AY424" s="14"/>
      <c r="AZ424" s="14"/>
      <c r="BA424" s="14"/>
      <c r="BB424" s="14"/>
      <c r="BC424" s="14"/>
      <c r="BD424" s="14"/>
      <c r="BE424" s="14"/>
      <c r="BF424" s="14"/>
      <c r="BG424" s="14"/>
      <c r="BH424" s="14"/>
      <c r="BI424" s="14"/>
    </row>
    <row r="425" spans="1:61">
      <c r="A425" s="14"/>
      <c r="B425" s="14"/>
      <c r="C425" s="14"/>
      <c r="D425" s="167"/>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t="e">
        <f>IF('Stock Data'!$H$2,IF(ISNUMBER(AK425),AK425,NA()),NA())</f>
        <v>#N/A</v>
      </c>
      <c r="AO425" s="14"/>
      <c r="AP425" s="14"/>
      <c r="AQ425" s="14"/>
      <c r="AR425" s="14"/>
      <c r="AS425" s="14"/>
      <c r="AT425" s="14"/>
      <c r="AU425" s="14"/>
      <c r="AV425" s="14"/>
      <c r="AW425" s="14"/>
      <c r="AX425" s="14"/>
      <c r="AY425" s="14"/>
      <c r="AZ425" s="14"/>
      <c r="BA425" s="14"/>
      <c r="BB425" s="14"/>
      <c r="BC425" s="14"/>
      <c r="BD425" s="14"/>
      <c r="BE425" s="14"/>
      <c r="BF425" s="14"/>
      <c r="BG425" s="14"/>
      <c r="BH425" s="14"/>
      <c r="BI425" s="14"/>
    </row>
    <row r="426" spans="1:61">
      <c r="A426" s="14"/>
      <c r="B426" s="14"/>
      <c r="C426" s="14"/>
      <c r="D426" s="167"/>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t="e">
        <f>IF('Stock Data'!$H$2,IF(ISNUMBER(AK426),AK426,NA()),NA())</f>
        <v>#N/A</v>
      </c>
      <c r="AO426" s="14"/>
      <c r="AP426" s="14"/>
      <c r="AQ426" s="14"/>
      <c r="AR426" s="14"/>
      <c r="AS426" s="14"/>
      <c r="AT426" s="14"/>
      <c r="AU426" s="14"/>
      <c r="AV426" s="14"/>
      <c r="AW426" s="14"/>
      <c r="AX426" s="14"/>
      <c r="AY426" s="14"/>
      <c r="AZ426" s="14"/>
      <c r="BA426" s="14"/>
      <c r="BB426" s="14"/>
      <c r="BC426" s="14"/>
      <c r="BD426" s="14"/>
      <c r="BE426" s="14"/>
      <c r="BF426" s="14"/>
      <c r="BG426" s="14"/>
      <c r="BH426" s="14"/>
      <c r="BI426" s="14"/>
    </row>
    <row r="427" spans="1:61">
      <c r="A427" s="14"/>
      <c r="B427" s="14"/>
      <c r="C427" s="14"/>
      <c r="D427" s="167"/>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t="e">
        <f>IF('Stock Data'!$H$2,IF(ISNUMBER(AK427),AK427,NA()),NA())</f>
        <v>#N/A</v>
      </c>
      <c r="AO427" s="14"/>
      <c r="AP427" s="14"/>
      <c r="AQ427" s="14"/>
      <c r="AR427" s="14"/>
      <c r="AS427" s="14"/>
      <c r="AT427" s="14"/>
      <c r="AU427" s="14"/>
      <c r="AV427" s="14"/>
      <c r="AW427" s="14"/>
      <c r="AX427" s="14"/>
      <c r="AY427" s="14"/>
      <c r="AZ427" s="14"/>
      <c r="BA427" s="14"/>
      <c r="BB427" s="14"/>
      <c r="BC427" s="14"/>
      <c r="BD427" s="14"/>
      <c r="BE427" s="14"/>
      <c r="BF427" s="14"/>
      <c r="BG427" s="14"/>
      <c r="BH427" s="14"/>
      <c r="BI427" s="14"/>
    </row>
    <row r="428" spans="1:61">
      <c r="A428" s="14"/>
      <c r="B428" s="14"/>
      <c r="C428" s="14"/>
      <c r="D428" s="167"/>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t="e">
        <f>IF('Stock Data'!$H$2,IF(ISNUMBER(AK428),AK428,NA()),NA())</f>
        <v>#N/A</v>
      </c>
      <c r="AO428" s="14"/>
      <c r="AP428" s="14"/>
      <c r="AQ428" s="14"/>
      <c r="AR428" s="14"/>
      <c r="AS428" s="14"/>
      <c r="AT428" s="14"/>
      <c r="AU428" s="14"/>
      <c r="AV428" s="14"/>
      <c r="AW428" s="14"/>
      <c r="AX428" s="14"/>
      <c r="AY428" s="14"/>
      <c r="AZ428" s="14"/>
      <c r="BA428" s="14"/>
      <c r="BB428" s="14"/>
      <c r="BC428" s="14"/>
      <c r="BD428" s="14"/>
      <c r="BE428" s="14"/>
      <c r="BF428" s="14"/>
      <c r="BG428" s="14"/>
      <c r="BH428" s="14"/>
      <c r="BI428" s="14"/>
    </row>
    <row r="429" spans="1:61">
      <c r="A429" s="14"/>
      <c r="B429" s="14"/>
      <c r="C429" s="14"/>
      <c r="D429" s="167"/>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t="e">
        <f>IF('Stock Data'!$H$2,IF(ISNUMBER(AK429),AK429,NA()),NA())</f>
        <v>#N/A</v>
      </c>
      <c r="AO429" s="14"/>
      <c r="AP429" s="14"/>
      <c r="AQ429" s="14"/>
      <c r="AR429" s="14"/>
      <c r="AS429" s="14"/>
      <c r="AT429" s="14"/>
      <c r="AU429" s="14"/>
      <c r="AV429" s="14"/>
      <c r="AW429" s="14"/>
      <c r="AX429" s="14"/>
      <c r="AY429" s="14"/>
      <c r="AZ429" s="14"/>
      <c r="BA429" s="14"/>
      <c r="BB429" s="14"/>
      <c r="BC429" s="14"/>
      <c r="BD429" s="14"/>
      <c r="BE429" s="14"/>
      <c r="BF429" s="14"/>
      <c r="BG429" s="14"/>
      <c r="BH429" s="14"/>
      <c r="BI429" s="14"/>
    </row>
    <row r="430" spans="1:61">
      <c r="A430" s="14"/>
      <c r="B430" s="14"/>
      <c r="C430" s="14"/>
      <c r="D430" s="167"/>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t="e">
        <f>IF('Stock Data'!$H$2,IF(ISNUMBER(AK430),AK430,NA()),NA())</f>
        <v>#N/A</v>
      </c>
      <c r="AO430" s="14"/>
      <c r="AP430" s="14"/>
      <c r="AQ430" s="14"/>
      <c r="AR430" s="14"/>
      <c r="AS430" s="14"/>
      <c r="AT430" s="14"/>
      <c r="AU430" s="14"/>
      <c r="AV430" s="14"/>
      <c r="AW430" s="14"/>
      <c r="AX430" s="14"/>
      <c r="AY430" s="14"/>
      <c r="AZ430" s="14"/>
      <c r="BA430" s="14"/>
      <c r="BB430" s="14"/>
      <c r="BC430" s="14"/>
      <c r="BD430" s="14"/>
      <c r="BE430" s="14"/>
      <c r="BF430" s="14"/>
      <c r="BG430" s="14"/>
      <c r="BH430" s="14"/>
      <c r="BI430" s="14"/>
    </row>
    <row r="431" spans="1:61">
      <c r="A431" s="14"/>
      <c r="B431" s="14"/>
      <c r="C431" s="14"/>
      <c r="D431" s="167"/>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t="e">
        <f>IF('Stock Data'!$H$2,IF(ISNUMBER(AK431),AK431,NA()),NA())</f>
        <v>#N/A</v>
      </c>
      <c r="AO431" s="14"/>
      <c r="AP431" s="14"/>
      <c r="AQ431" s="14"/>
      <c r="AR431" s="14"/>
      <c r="AS431" s="14"/>
      <c r="AT431" s="14"/>
      <c r="AU431" s="14"/>
      <c r="AV431" s="14"/>
      <c r="AW431" s="14"/>
      <c r="AX431" s="14"/>
      <c r="AY431" s="14"/>
      <c r="AZ431" s="14"/>
      <c r="BA431" s="14"/>
      <c r="BB431" s="14"/>
      <c r="BC431" s="14"/>
      <c r="BD431" s="14"/>
      <c r="BE431" s="14"/>
      <c r="BF431" s="14"/>
      <c r="BG431" s="14"/>
      <c r="BH431" s="14"/>
      <c r="BI431" s="14"/>
    </row>
    <row r="432" spans="1:61">
      <c r="A432" s="14"/>
      <c r="B432" s="14"/>
      <c r="C432" s="14"/>
      <c r="D432" s="167"/>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t="e">
        <f>IF('Stock Data'!$H$2,IF(ISNUMBER(AK432),AK432,NA()),NA())</f>
        <v>#N/A</v>
      </c>
      <c r="AO432" s="14"/>
      <c r="AP432" s="14"/>
      <c r="AQ432" s="14"/>
      <c r="AR432" s="14"/>
      <c r="AS432" s="14"/>
      <c r="AT432" s="14"/>
      <c r="AU432" s="14"/>
      <c r="AV432" s="14"/>
      <c r="AW432" s="14"/>
      <c r="AX432" s="14"/>
      <c r="AY432" s="14"/>
      <c r="AZ432" s="14"/>
      <c r="BA432" s="14"/>
      <c r="BB432" s="14"/>
      <c r="BC432" s="14"/>
      <c r="BD432" s="14"/>
      <c r="BE432" s="14"/>
      <c r="BF432" s="14"/>
      <c r="BG432" s="14"/>
      <c r="BH432" s="14"/>
      <c r="BI432" s="14"/>
    </row>
    <row r="433" spans="1:61">
      <c r="A433" s="14"/>
      <c r="B433" s="14"/>
      <c r="C433" s="14"/>
      <c r="D433" s="167"/>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t="e">
        <f>IF('Stock Data'!$H$2,IF(ISNUMBER(AK433),AK433,NA()),NA())</f>
        <v>#N/A</v>
      </c>
      <c r="AO433" s="14"/>
      <c r="AP433" s="14"/>
      <c r="AQ433" s="14"/>
      <c r="AR433" s="14"/>
      <c r="AS433" s="14"/>
      <c r="AT433" s="14"/>
      <c r="AU433" s="14"/>
      <c r="AV433" s="14"/>
      <c r="AW433" s="14"/>
      <c r="AX433" s="14"/>
      <c r="AY433" s="14"/>
      <c r="AZ433" s="14"/>
      <c r="BA433" s="14"/>
      <c r="BB433" s="14"/>
      <c r="BC433" s="14"/>
      <c r="BD433" s="14"/>
      <c r="BE433" s="14"/>
      <c r="BF433" s="14"/>
      <c r="BG433" s="14"/>
      <c r="BH433" s="14"/>
      <c r="BI433" s="14"/>
    </row>
    <row r="434" spans="1:61">
      <c r="A434" s="14"/>
      <c r="B434" s="14"/>
      <c r="C434" s="14"/>
      <c r="D434" s="167"/>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t="e">
        <f>IF('Stock Data'!$H$2,IF(ISNUMBER(AK434),AK434,NA()),NA())</f>
        <v>#N/A</v>
      </c>
      <c r="AO434" s="14"/>
      <c r="AP434" s="14"/>
      <c r="AQ434" s="14"/>
      <c r="AR434" s="14"/>
      <c r="AS434" s="14"/>
      <c r="AT434" s="14"/>
      <c r="AU434" s="14"/>
      <c r="AV434" s="14"/>
      <c r="AW434" s="14"/>
      <c r="AX434" s="14"/>
      <c r="AY434" s="14"/>
      <c r="AZ434" s="14"/>
      <c r="BA434" s="14"/>
      <c r="BB434" s="14"/>
      <c r="BC434" s="14"/>
      <c r="BD434" s="14"/>
      <c r="BE434" s="14"/>
      <c r="BF434" s="14"/>
      <c r="BG434" s="14"/>
      <c r="BH434" s="14"/>
      <c r="BI434" s="14"/>
    </row>
    <row r="435" spans="1:61">
      <c r="A435" s="14"/>
      <c r="B435" s="14"/>
      <c r="C435" s="14"/>
      <c r="D435" s="167"/>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t="e">
        <f>IF('Stock Data'!$H$2,IF(ISNUMBER(AK435),AK435,NA()),NA())</f>
        <v>#N/A</v>
      </c>
      <c r="AO435" s="14"/>
      <c r="AP435" s="14"/>
      <c r="AQ435" s="14"/>
      <c r="AR435" s="14"/>
      <c r="AS435" s="14"/>
      <c r="AT435" s="14"/>
      <c r="AU435" s="14"/>
      <c r="AV435" s="14"/>
      <c r="AW435" s="14"/>
      <c r="AX435" s="14"/>
      <c r="AY435" s="14"/>
      <c r="AZ435" s="14"/>
      <c r="BA435" s="14"/>
      <c r="BB435" s="14"/>
      <c r="BC435" s="14"/>
      <c r="BD435" s="14"/>
      <c r="BE435" s="14"/>
      <c r="BF435" s="14"/>
      <c r="BG435" s="14"/>
      <c r="BH435" s="14"/>
      <c r="BI435" s="14"/>
    </row>
    <row r="436" spans="1:61">
      <c r="A436" s="14"/>
      <c r="B436" s="14"/>
      <c r="C436" s="14"/>
      <c r="D436" s="167"/>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t="e">
        <f>IF('Stock Data'!$H$2,IF(ISNUMBER(AK436),AK436,NA()),NA())</f>
        <v>#N/A</v>
      </c>
      <c r="AO436" s="14"/>
      <c r="AP436" s="14"/>
      <c r="AQ436" s="14"/>
      <c r="AR436" s="14"/>
      <c r="AS436" s="14"/>
      <c r="AT436" s="14"/>
      <c r="AU436" s="14"/>
      <c r="AV436" s="14"/>
      <c r="AW436" s="14"/>
      <c r="AX436" s="14"/>
      <c r="AY436" s="14"/>
      <c r="AZ436" s="14"/>
      <c r="BA436" s="14"/>
      <c r="BB436" s="14"/>
      <c r="BC436" s="14"/>
      <c r="BD436" s="14"/>
      <c r="BE436" s="14"/>
      <c r="BF436" s="14"/>
      <c r="BG436" s="14"/>
      <c r="BH436" s="14"/>
      <c r="BI436" s="14"/>
    </row>
    <row r="437" spans="1:61">
      <c r="A437" s="14"/>
      <c r="B437" s="14"/>
      <c r="C437" s="14"/>
      <c r="D437" s="167"/>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t="e">
        <f>IF('Stock Data'!$H$2,IF(ISNUMBER(AK437),AK437,NA()),NA())</f>
        <v>#N/A</v>
      </c>
      <c r="AO437" s="14"/>
      <c r="AP437" s="14"/>
      <c r="AQ437" s="14"/>
      <c r="AR437" s="14"/>
      <c r="AS437" s="14"/>
      <c r="AT437" s="14"/>
      <c r="AU437" s="14"/>
      <c r="AV437" s="14"/>
      <c r="AW437" s="14"/>
      <c r="AX437" s="14"/>
      <c r="AY437" s="14"/>
      <c r="AZ437" s="14"/>
      <c r="BA437" s="14"/>
      <c r="BB437" s="14"/>
      <c r="BC437" s="14"/>
      <c r="BD437" s="14"/>
      <c r="BE437" s="14"/>
      <c r="BF437" s="14"/>
      <c r="BG437" s="14"/>
      <c r="BH437" s="14"/>
      <c r="BI437" s="14"/>
    </row>
    <row r="438" spans="1:61">
      <c r="A438" s="14"/>
      <c r="B438" s="14"/>
      <c r="C438" s="14"/>
      <c r="D438" s="167"/>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t="e">
        <f>IF('Stock Data'!$H$2,IF(ISNUMBER(AK438),AK438,NA()),NA())</f>
        <v>#N/A</v>
      </c>
      <c r="AO438" s="14"/>
      <c r="AP438" s="14"/>
      <c r="AQ438" s="14"/>
      <c r="AR438" s="14"/>
      <c r="AS438" s="14"/>
      <c r="AT438" s="14"/>
      <c r="AU438" s="14"/>
      <c r="AV438" s="14"/>
      <c r="AW438" s="14"/>
      <c r="AX438" s="14"/>
      <c r="AY438" s="14"/>
      <c r="AZ438" s="14"/>
      <c r="BA438" s="14"/>
      <c r="BB438" s="14"/>
      <c r="BC438" s="14"/>
      <c r="BD438" s="14"/>
      <c r="BE438" s="14"/>
      <c r="BF438" s="14"/>
      <c r="BG438" s="14"/>
      <c r="BH438" s="14"/>
      <c r="BI438" s="14"/>
    </row>
    <row r="439" spans="1:61">
      <c r="A439" s="14"/>
      <c r="B439" s="14"/>
      <c r="C439" s="14"/>
      <c r="D439" s="167"/>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t="e">
        <f>IF('Stock Data'!$H$2,IF(ISNUMBER(AK439),AK439,NA()),NA())</f>
        <v>#N/A</v>
      </c>
      <c r="AO439" s="14"/>
      <c r="AP439" s="14"/>
      <c r="AQ439" s="14"/>
      <c r="AR439" s="14"/>
      <c r="AS439" s="14"/>
      <c r="AT439" s="14"/>
      <c r="AU439" s="14"/>
      <c r="AV439" s="14"/>
      <c r="AW439" s="14"/>
      <c r="AX439" s="14"/>
      <c r="AY439" s="14"/>
      <c r="AZ439" s="14"/>
      <c r="BA439" s="14"/>
      <c r="BB439" s="14"/>
      <c r="BC439" s="14"/>
      <c r="BD439" s="14"/>
      <c r="BE439" s="14"/>
      <c r="BF439" s="14"/>
      <c r="BG439" s="14"/>
      <c r="BH439" s="14"/>
      <c r="BI439" s="14"/>
    </row>
    <row r="440" spans="1:61">
      <c r="A440" s="14"/>
      <c r="B440" s="14"/>
      <c r="C440" s="14"/>
      <c r="D440" s="167"/>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t="e">
        <f>IF('Stock Data'!$H$2,IF(ISNUMBER(AK440),AK440,NA()),NA())</f>
        <v>#N/A</v>
      </c>
      <c r="AO440" s="14"/>
      <c r="AP440" s="14"/>
      <c r="AQ440" s="14"/>
      <c r="AR440" s="14"/>
      <c r="AS440" s="14"/>
      <c r="AT440" s="14"/>
      <c r="AU440" s="14"/>
      <c r="AV440" s="14"/>
      <c r="AW440" s="14"/>
      <c r="AX440" s="14"/>
      <c r="AY440" s="14"/>
      <c r="AZ440" s="14"/>
      <c r="BA440" s="14"/>
      <c r="BB440" s="14"/>
      <c r="BC440" s="14"/>
      <c r="BD440" s="14"/>
      <c r="BE440" s="14"/>
      <c r="BF440" s="14"/>
      <c r="BG440" s="14"/>
      <c r="BH440" s="14"/>
      <c r="BI440" s="14"/>
    </row>
    <row r="441" spans="1:61">
      <c r="A441" s="14"/>
      <c r="B441" s="14"/>
      <c r="C441" s="14"/>
      <c r="D441" s="167"/>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t="e">
        <f>IF('Stock Data'!$H$2,IF(ISNUMBER(AK441),AK441,NA()),NA())</f>
        <v>#N/A</v>
      </c>
      <c r="AO441" s="14"/>
      <c r="AP441" s="14"/>
      <c r="AQ441" s="14"/>
      <c r="AR441" s="14"/>
      <c r="AS441" s="14"/>
      <c r="AT441" s="14"/>
      <c r="AU441" s="14"/>
      <c r="AV441" s="14"/>
      <c r="AW441" s="14"/>
      <c r="AX441" s="14"/>
      <c r="AY441" s="14"/>
      <c r="AZ441" s="14"/>
      <c r="BA441" s="14"/>
      <c r="BB441" s="14"/>
      <c r="BC441" s="14"/>
      <c r="BD441" s="14"/>
      <c r="BE441" s="14"/>
      <c r="BF441" s="14"/>
      <c r="BG441" s="14"/>
      <c r="BH441" s="14"/>
      <c r="BI441" s="14"/>
    </row>
    <row r="442" spans="1:61">
      <c r="A442" s="14"/>
      <c r="B442" s="14"/>
      <c r="C442" s="14"/>
      <c r="D442" s="167"/>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t="e">
        <f>IF('Stock Data'!$H$2,IF(ISNUMBER(AK442),AK442,NA()),NA())</f>
        <v>#N/A</v>
      </c>
      <c r="AO442" s="14"/>
      <c r="AP442" s="14"/>
      <c r="AQ442" s="14"/>
      <c r="AR442" s="14"/>
      <c r="AS442" s="14"/>
      <c r="AT442" s="14"/>
      <c r="AU442" s="14"/>
      <c r="AV442" s="14"/>
      <c r="AW442" s="14"/>
      <c r="AX442" s="14"/>
      <c r="AY442" s="14"/>
      <c r="AZ442" s="14"/>
      <c r="BA442" s="14"/>
      <c r="BB442" s="14"/>
      <c r="BC442" s="14"/>
      <c r="BD442" s="14"/>
      <c r="BE442" s="14"/>
      <c r="BF442" s="14"/>
      <c r="BG442" s="14"/>
      <c r="BH442" s="14"/>
      <c r="BI442" s="14"/>
    </row>
    <row r="443" spans="1:61">
      <c r="A443" s="14"/>
      <c r="B443" s="14"/>
      <c r="C443" s="14"/>
      <c r="D443" s="167"/>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t="e">
        <f>IF('Stock Data'!$H$2,IF(ISNUMBER(AK443),AK443,NA()),NA())</f>
        <v>#N/A</v>
      </c>
      <c r="AO443" s="14"/>
      <c r="AP443" s="14"/>
      <c r="AQ443" s="14"/>
      <c r="AR443" s="14"/>
      <c r="AS443" s="14"/>
      <c r="AT443" s="14"/>
      <c r="AU443" s="14"/>
      <c r="AV443" s="14"/>
      <c r="AW443" s="14"/>
      <c r="AX443" s="14"/>
      <c r="AY443" s="14"/>
      <c r="AZ443" s="14"/>
      <c r="BA443" s="14"/>
      <c r="BB443" s="14"/>
      <c r="BC443" s="14"/>
      <c r="BD443" s="14"/>
      <c r="BE443" s="14"/>
      <c r="BF443" s="14"/>
      <c r="BG443" s="14"/>
      <c r="BH443" s="14"/>
      <c r="BI443" s="14"/>
    </row>
    <row r="444" spans="1:61">
      <c r="A444" s="14"/>
      <c r="B444" s="14"/>
      <c r="C444" s="14"/>
      <c r="D444" s="167"/>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t="e">
        <f>IF('Stock Data'!$H$2,IF(ISNUMBER(AK444),AK444,NA()),NA())</f>
        <v>#N/A</v>
      </c>
      <c r="AO444" s="14"/>
      <c r="AP444" s="14"/>
      <c r="AQ444" s="14"/>
      <c r="AR444" s="14"/>
      <c r="AS444" s="14"/>
      <c r="AT444" s="14"/>
      <c r="AU444" s="14"/>
      <c r="AV444" s="14"/>
      <c r="AW444" s="14"/>
      <c r="AX444" s="14"/>
      <c r="AY444" s="14"/>
      <c r="AZ444" s="14"/>
      <c r="BA444" s="14"/>
      <c r="BB444" s="14"/>
      <c r="BC444" s="14"/>
      <c r="BD444" s="14"/>
      <c r="BE444" s="14"/>
      <c r="BF444" s="14"/>
      <c r="BG444" s="14"/>
      <c r="BH444" s="14"/>
      <c r="BI444" s="14"/>
    </row>
    <row r="445" spans="1:61">
      <c r="A445" s="14"/>
      <c r="B445" s="14"/>
      <c r="C445" s="14"/>
      <c r="D445" s="167"/>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t="e">
        <f>IF('Stock Data'!$H$2,IF(ISNUMBER(AK445),AK445,NA()),NA())</f>
        <v>#N/A</v>
      </c>
      <c r="AO445" s="14"/>
      <c r="AP445" s="14"/>
      <c r="AQ445" s="14"/>
      <c r="AR445" s="14"/>
      <c r="AS445" s="14"/>
      <c r="AT445" s="14"/>
      <c r="AU445" s="14"/>
      <c r="AV445" s="14"/>
      <c r="AW445" s="14"/>
      <c r="AX445" s="14"/>
      <c r="AY445" s="14"/>
      <c r="AZ445" s="14"/>
      <c r="BA445" s="14"/>
      <c r="BB445" s="14"/>
      <c r="BC445" s="14"/>
      <c r="BD445" s="14"/>
      <c r="BE445" s="14"/>
      <c r="BF445" s="14"/>
      <c r="BG445" s="14"/>
      <c r="BH445" s="14"/>
      <c r="BI445" s="14"/>
    </row>
    <row r="446" spans="1:61">
      <c r="A446" s="14"/>
      <c r="B446" s="14"/>
      <c r="C446" s="14"/>
      <c r="D446" s="167"/>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t="e">
        <f>IF('Stock Data'!$H$2,IF(ISNUMBER(AK446),AK446,NA()),NA())</f>
        <v>#N/A</v>
      </c>
      <c r="AO446" s="14"/>
      <c r="AP446" s="14"/>
      <c r="AQ446" s="14"/>
      <c r="AR446" s="14"/>
      <c r="AS446" s="14"/>
      <c r="AT446" s="14"/>
      <c r="AU446" s="14"/>
      <c r="AV446" s="14"/>
      <c r="AW446" s="14"/>
      <c r="AX446" s="14"/>
      <c r="AY446" s="14"/>
      <c r="AZ446" s="14"/>
      <c r="BA446" s="14"/>
      <c r="BB446" s="14"/>
      <c r="BC446" s="14"/>
      <c r="BD446" s="14"/>
      <c r="BE446" s="14"/>
      <c r="BF446" s="14"/>
      <c r="BG446" s="14"/>
      <c r="BH446" s="14"/>
      <c r="BI446" s="14"/>
    </row>
    <row r="447" spans="1:61">
      <c r="A447" s="14"/>
      <c r="B447" s="14"/>
      <c r="C447" s="14"/>
      <c r="D447" s="167"/>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t="e">
        <f>IF('Stock Data'!$H$2,IF(ISNUMBER(AK447),AK447,NA()),NA())</f>
        <v>#N/A</v>
      </c>
      <c r="AO447" s="14"/>
      <c r="AP447" s="14"/>
      <c r="AQ447" s="14"/>
      <c r="AR447" s="14"/>
      <c r="AS447" s="14"/>
      <c r="AT447" s="14"/>
      <c r="AU447" s="14"/>
      <c r="AV447" s="14"/>
      <c r="AW447" s="14"/>
      <c r="AX447" s="14"/>
      <c r="AY447" s="14"/>
      <c r="AZ447" s="14"/>
      <c r="BA447" s="14"/>
      <c r="BB447" s="14"/>
      <c r="BC447" s="14"/>
      <c r="BD447" s="14"/>
      <c r="BE447" s="14"/>
      <c r="BF447" s="14"/>
      <c r="BG447" s="14"/>
      <c r="BH447" s="14"/>
      <c r="BI447" s="14"/>
    </row>
    <row r="448" spans="1:61">
      <c r="A448" s="14"/>
      <c r="B448" s="14"/>
      <c r="C448" s="14"/>
      <c r="D448" s="167"/>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t="e">
        <f>IF('Stock Data'!$H$2,IF(ISNUMBER(AK448),AK448,NA()),NA())</f>
        <v>#N/A</v>
      </c>
      <c r="AO448" s="14"/>
      <c r="AP448" s="14"/>
      <c r="AQ448" s="14"/>
      <c r="AR448" s="14"/>
      <c r="AS448" s="14"/>
      <c r="AT448" s="14"/>
      <c r="AU448" s="14"/>
      <c r="AV448" s="14"/>
      <c r="AW448" s="14"/>
      <c r="AX448" s="14"/>
      <c r="AY448" s="14"/>
      <c r="AZ448" s="14"/>
      <c r="BA448" s="14"/>
      <c r="BB448" s="14"/>
      <c r="BC448" s="14"/>
      <c r="BD448" s="14"/>
      <c r="BE448" s="14"/>
      <c r="BF448" s="14"/>
      <c r="BG448" s="14"/>
      <c r="BH448" s="14"/>
      <c r="BI448" s="14"/>
    </row>
    <row r="449" spans="1:61">
      <c r="A449" s="14"/>
      <c r="B449" s="14"/>
      <c r="C449" s="14"/>
      <c r="D449" s="167"/>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t="e">
        <f>IF('Stock Data'!$H$2,IF(ISNUMBER(AK449),AK449,NA()),NA())</f>
        <v>#N/A</v>
      </c>
      <c r="AO449" s="14"/>
      <c r="AP449" s="14"/>
      <c r="AQ449" s="14"/>
      <c r="AR449" s="14"/>
      <c r="AS449" s="14"/>
      <c r="AT449" s="14"/>
      <c r="AU449" s="14"/>
      <c r="AV449" s="14"/>
      <c r="AW449" s="14"/>
      <c r="AX449" s="14"/>
      <c r="AY449" s="14"/>
      <c r="AZ449" s="14"/>
      <c r="BA449" s="14"/>
      <c r="BB449" s="14"/>
      <c r="BC449" s="14"/>
      <c r="BD449" s="14"/>
      <c r="BE449" s="14"/>
      <c r="BF449" s="14"/>
      <c r="BG449" s="14"/>
      <c r="BH449" s="14"/>
      <c r="BI449" s="14"/>
    </row>
    <row r="450" spans="1:61">
      <c r="A450" s="14"/>
      <c r="B450" s="14"/>
      <c r="C450" s="14"/>
      <c r="D450" s="167"/>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t="e">
        <f>IF('Stock Data'!$H$2,IF(ISNUMBER(AK450),AK450,NA()),NA())</f>
        <v>#N/A</v>
      </c>
      <c r="AO450" s="14"/>
      <c r="AP450" s="14"/>
      <c r="AQ450" s="14"/>
      <c r="AR450" s="14"/>
      <c r="AS450" s="14"/>
      <c r="AT450" s="14"/>
      <c r="AU450" s="14"/>
      <c r="AV450" s="14"/>
      <c r="AW450" s="14"/>
      <c r="AX450" s="14"/>
      <c r="AY450" s="14"/>
      <c r="AZ450" s="14"/>
      <c r="BA450" s="14"/>
      <c r="BB450" s="14"/>
      <c r="BC450" s="14"/>
      <c r="BD450" s="14"/>
      <c r="BE450" s="14"/>
      <c r="BF450" s="14"/>
      <c r="BG450" s="14"/>
      <c r="BH450" s="14"/>
      <c r="BI450" s="14"/>
    </row>
    <row r="451" spans="1:61">
      <c r="A451" s="14"/>
      <c r="B451" s="14"/>
      <c r="C451" s="14"/>
      <c r="D451" s="167"/>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t="e">
        <f>IF('Stock Data'!$H$2,IF(ISNUMBER(AK451),AK451,NA()),NA())</f>
        <v>#N/A</v>
      </c>
      <c r="AO451" s="14"/>
      <c r="AP451" s="14"/>
      <c r="AQ451" s="14"/>
      <c r="AR451" s="14"/>
      <c r="AS451" s="14"/>
      <c r="AT451" s="14"/>
      <c r="AU451" s="14"/>
      <c r="AV451" s="14"/>
      <c r="AW451" s="14"/>
      <c r="AX451" s="14"/>
      <c r="AY451" s="14"/>
      <c r="AZ451" s="14"/>
      <c r="BA451" s="14"/>
      <c r="BB451" s="14"/>
      <c r="BC451" s="14"/>
      <c r="BD451" s="14"/>
      <c r="BE451" s="14"/>
      <c r="BF451" s="14"/>
      <c r="BG451" s="14"/>
      <c r="BH451" s="14"/>
      <c r="BI451" s="14"/>
    </row>
    <row r="452" spans="1:61">
      <c r="A452" s="14"/>
      <c r="B452" s="14"/>
      <c r="C452" s="14"/>
      <c r="D452" s="167"/>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4"/>
      <c r="AN452" s="14" t="e">
        <f>IF('Stock Data'!$H$2,IF(ISNUMBER(AK452),AK452,NA()),NA())</f>
        <v>#N/A</v>
      </c>
      <c r="AO452" s="14"/>
      <c r="AP452" s="14"/>
      <c r="AQ452" s="14"/>
      <c r="AR452" s="14"/>
      <c r="AS452" s="14"/>
      <c r="AT452" s="14"/>
      <c r="AU452" s="14"/>
      <c r="AV452" s="14"/>
      <c r="AW452" s="14"/>
      <c r="AX452" s="14"/>
      <c r="AY452" s="14"/>
      <c r="AZ452" s="14"/>
      <c r="BA452" s="14"/>
      <c r="BB452" s="14"/>
      <c r="BC452" s="14"/>
      <c r="BD452" s="14"/>
      <c r="BE452" s="14"/>
      <c r="BF452" s="14"/>
      <c r="BG452" s="14"/>
      <c r="BH452" s="14"/>
      <c r="BI452" s="14"/>
    </row>
    <row r="453" spans="1:61">
      <c r="A453" s="14"/>
      <c r="B453" s="14"/>
      <c r="C453" s="14"/>
      <c r="D453" s="167"/>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t="e">
        <f>IF('Stock Data'!$H$2,IF(ISNUMBER(AK453),AK453,NA()),NA())</f>
        <v>#N/A</v>
      </c>
      <c r="AO453" s="14"/>
      <c r="AP453" s="14"/>
      <c r="AQ453" s="14"/>
      <c r="AR453" s="14"/>
      <c r="AS453" s="14"/>
      <c r="AT453" s="14"/>
      <c r="AU453" s="14"/>
      <c r="AV453" s="14"/>
      <c r="AW453" s="14"/>
      <c r="AX453" s="14"/>
      <c r="AY453" s="14"/>
      <c r="AZ453" s="14"/>
      <c r="BA453" s="14"/>
      <c r="BB453" s="14"/>
      <c r="BC453" s="14"/>
      <c r="BD453" s="14"/>
      <c r="BE453" s="14"/>
      <c r="BF453" s="14"/>
      <c r="BG453" s="14"/>
      <c r="BH453" s="14"/>
      <c r="BI453" s="14"/>
    </row>
    <row r="454" spans="1:61">
      <c r="A454" s="14"/>
      <c r="B454" s="14"/>
      <c r="C454" s="14"/>
      <c r="D454" s="167"/>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t="e">
        <f>IF('Stock Data'!$H$2,IF(ISNUMBER(AK454),AK454,NA()),NA())</f>
        <v>#N/A</v>
      </c>
      <c r="AO454" s="14"/>
      <c r="AP454" s="14"/>
      <c r="AQ454" s="14"/>
      <c r="AR454" s="14"/>
      <c r="AS454" s="14"/>
      <c r="AT454" s="14"/>
      <c r="AU454" s="14"/>
      <c r="AV454" s="14"/>
      <c r="AW454" s="14"/>
      <c r="AX454" s="14"/>
      <c r="AY454" s="14"/>
      <c r="AZ454" s="14"/>
      <c r="BA454" s="14"/>
      <c r="BB454" s="14"/>
      <c r="BC454" s="14"/>
      <c r="BD454" s="14"/>
      <c r="BE454" s="14"/>
      <c r="BF454" s="14"/>
      <c r="BG454" s="14"/>
      <c r="BH454" s="14"/>
      <c r="BI454" s="14"/>
    </row>
    <row r="455" spans="1:61">
      <c r="A455" s="14"/>
      <c r="B455" s="14"/>
      <c r="C455" s="14"/>
      <c r="D455" s="167"/>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t="e">
        <f>IF('Stock Data'!$H$2,IF(ISNUMBER(AK455),AK455,NA()),NA())</f>
        <v>#N/A</v>
      </c>
      <c r="AO455" s="14"/>
      <c r="AP455" s="14"/>
      <c r="AQ455" s="14"/>
      <c r="AR455" s="14"/>
      <c r="AS455" s="14"/>
      <c r="AT455" s="14"/>
      <c r="AU455" s="14"/>
      <c r="AV455" s="14"/>
      <c r="AW455" s="14"/>
      <c r="AX455" s="14"/>
      <c r="AY455" s="14"/>
      <c r="AZ455" s="14"/>
      <c r="BA455" s="14"/>
      <c r="BB455" s="14"/>
      <c r="BC455" s="14"/>
      <c r="BD455" s="14"/>
      <c r="BE455" s="14"/>
      <c r="BF455" s="14"/>
      <c r="BG455" s="14"/>
      <c r="BH455" s="14"/>
      <c r="BI455" s="14"/>
    </row>
    <row r="456" spans="1:61">
      <c r="A456" s="14"/>
      <c r="B456" s="14"/>
      <c r="C456" s="14"/>
      <c r="D456" s="167"/>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t="e">
        <f>IF('Stock Data'!$H$2,IF(ISNUMBER(AK456),AK456,NA()),NA())</f>
        <v>#N/A</v>
      </c>
      <c r="AO456" s="14"/>
      <c r="AP456" s="14"/>
      <c r="AQ456" s="14"/>
      <c r="AR456" s="14"/>
      <c r="AS456" s="14"/>
      <c r="AT456" s="14"/>
      <c r="AU456" s="14"/>
      <c r="AV456" s="14"/>
      <c r="AW456" s="14"/>
      <c r="AX456" s="14"/>
      <c r="AY456" s="14"/>
      <c r="AZ456" s="14"/>
      <c r="BA456" s="14"/>
      <c r="BB456" s="14"/>
      <c r="BC456" s="14"/>
      <c r="BD456" s="14"/>
      <c r="BE456" s="14"/>
      <c r="BF456" s="14"/>
      <c r="BG456" s="14"/>
      <c r="BH456" s="14"/>
      <c r="BI456" s="14"/>
    </row>
    <row r="457" spans="1:61">
      <c r="A457" s="14"/>
      <c r="B457" s="14"/>
      <c r="C457" s="14"/>
      <c r="D457" s="167"/>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t="e">
        <f>IF('Stock Data'!$H$2,IF(ISNUMBER(AK457),AK457,NA()),NA())</f>
        <v>#N/A</v>
      </c>
      <c r="AO457" s="14"/>
      <c r="AP457" s="14"/>
      <c r="AQ457" s="14"/>
      <c r="AR457" s="14"/>
      <c r="AS457" s="14"/>
      <c r="AT457" s="14"/>
      <c r="AU457" s="14"/>
      <c r="AV457" s="14"/>
      <c r="AW457" s="14"/>
      <c r="AX457" s="14"/>
      <c r="AY457" s="14"/>
      <c r="AZ457" s="14"/>
      <c r="BA457" s="14"/>
      <c r="BB457" s="14"/>
      <c r="BC457" s="14"/>
      <c r="BD457" s="14"/>
      <c r="BE457" s="14"/>
      <c r="BF457" s="14"/>
      <c r="BG457" s="14"/>
      <c r="BH457" s="14"/>
      <c r="BI457" s="14"/>
    </row>
    <row r="458" spans="1:61">
      <c r="A458" s="14"/>
      <c r="B458" s="14"/>
      <c r="C458" s="14"/>
      <c r="D458" s="167"/>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t="e">
        <f>IF('Stock Data'!$H$2,IF(ISNUMBER(AK458),AK458,NA()),NA())</f>
        <v>#N/A</v>
      </c>
      <c r="AO458" s="14"/>
      <c r="AP458" s="14"/>
      <c r="AQ458" s="14"/>
      <c r="AR458" s="14"/>
      <c r="AS458" s="14"/>
      <c r="AT458" s="14"/>
      <c r="AU458" s="14"/>
      <c r="AV458" s="14"/>
      <c r="AW458" s="14"/>
      <c r="AX458" s="14"/>
      <c r="AY458" s="14"/>
      <c r="AZ458" s="14"/>
      <c r="BA458" s="14"/>
      <c r="BB458" s="14"/>
      <c r="BC458" s="14"/>
      <c r="BD458" s="14"/>
      <c r="BE458" s="14"/>
      <c r="BF458" s="14"/>
      <c r="BG458" s="14"/>
      <c r="BH458" s="14"/>
      <c r="BI458" s="14"/>
    </row>
    <row r="459" spans="1:61">
      <c r="A459" s="14"/>
      <c r="B459" s="14"/>
      <c r="C459" s="14"/>
      <c r="D459" s="167"/>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t="e">
        <f>IF('Stock Data'!$H$2,IF(ISNUMBER(AK459),AK459,NA()),NA())</f>
        <v>#N/A</v>
      </c>
      <c r="AO459" s="14"/>
      <c r="AP459" s="14"/>
      <c r="AQ459" s="14"/>
      <c r="AR459" s="14"/>
      <c r="AS459" s="14"/>
      <c r="AT459" s="14"/>
      <c r="AU459" s="14"/>
      <c r="AV459" s="14"/>
      <c r="AW459" s="14"/>
      <c r="AX459" s="14"/>
      <c r="AY459" s="14"/>
      <c r="AZ459" s="14"/>
      <c r="BA459" s="14"/>
      <c r="BB459" s="14"/>
      <c r="BC459" s="14"/>
      <c r="BD459" s="14"/>
      <c r="BE459" s="14"/>
      <c r="BF459" s="14"/>
      <c r="BG459" s="14"/>
      <c r="BH459" s="14"/>
      <c r="BI459" s="14"/>
    </row>
    <row r="460" spans="1:61">
      <c r="A460" s="14"/>
      <c r="B460" s="14"/>
      <c r="C460" s="14"/>
      <c r="D460" s="167"/>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t="e">
        <f>IF('Stock Data'!$H$2,IF(ISNUMBER(AK460),AK460,NA()),NA())</f>
        <v>#N/A</v>
      </c>
      <c r="AO460" s="14"/>
      <c r="AP460" s="14"/>
      <c r="AQ460" s="14"/>
      <c r="AR460" s="14"/>
      <c r="AS460" s="14"/>
      <c r="AT460" s="14"/>
      <c r="AU460" s="14"/>
      <c r="AV460" s="14"/>
      <c r="AW460" s="14"/>
      <c r="AX460" s="14"/>
      <c r="AY460" s="14"/>
      <c r="AZ460" s="14"/>
      <c r="BA460" s="14"/>
      <c r="BB460" s="14"/>
      <c r="BC460" s="14"/>
      <c r="BD460" s="14"/>
      <c r="BE460" s="14"/>
      <c r="BF460" s="14"/>
      <c r="BG460" s="14"/>
      <c r="BH460" s="14"/>
      <c r="BI460" s="14"/>
    </row>
    <row r="461" spans="1:61">
      <c r="A461" s="14"/>
      <c r="B461" s="14"/>
      <c r="C461" s="14"/>
      <c r="D461" s="167"/>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t="e">
        <f>IF('Stock Data'!$H$2,IF(ISNUMBER(AK461),AK461,NA()),NA())</f>
        <v>#N/A</v>
      </c>
      <c r="AO461" s="14"/>
      <c r="AP461" s="14"/>
      <c r="AQ461" s="14"/>
      <c r="AR461" s="14"/>
      <c r="AS461" s="14"/>
      <c r="AT461" s="14"/>
      <c r="AU461" s="14"/>
      <c r="AV461" s="14"/>
      <c r="AW461" s="14"/>
      <c r="AX461" s="14"/>
      <c r="AY461" s="14"/>
      <c r="AZ461" s="14"/>
      <c r="BA461" s="14"/>
      <c r="BB461" s="14"/>
      <c r="BC461" s="14"/>
      <c r="BD461" s="14"/>
      <c r="BE461" s="14"/>
      <c r="BF461" s="14"/>
      <c r="BG461" s="14"/>
      <c r="BH461" s="14"/>
      <c r="BI461" s="14"/>
    </row>
    <row r="462" spans="1:61">
      <c r="A462" s="14"/>
      <c r="B462" s="14"/>
      <c r="C462" s="14"/>
      <c r="D462" s="167"/>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t="e">
        <f>IF('Stock Data'!$H$2,IF(ISNUMBER(AK462),AK462,NA()),NA())</f>
        <v>#N/A</v>
      </c>
      <c r="AO462" s="14"/>
      <c r="AP462" s="14"/>
      <c r="AQ462" s="14"/>
      <c r="AR462" s="14"/>
      <c r="AS462" s="14"/>
      <c r="AT462" s="14"/>
      <c r="AU462" s="14"/>
      <c r="AV462" s="14"/>
      <c r="AW462" s="14"/>
      <c r="AX462" s="14"/>
      <c r="AY462" s="14"/>
      <c r="AZ462" s="14"/>
      <c r="BA462" s="14"/>
      <c r="BB462" s="14"/>
      <c r="BC462" s="14"/>
      <c r="BD462" s="14"/>
      <c r="BE462" s="14"/>
      <c r="BF462" s="14"/>
      <c r="BG462" s="14"/>
      <c r="BH462" s="14"/>
      <c r="BI462" s="14"/>
    </row>
    <row r="463" spans="1:61">
      <c r="A463" s="14"/>
      <c r="B463" s="14"/>
      <c r="C463" s="14"/>
      <c r="D463" s="167"/>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t="e">
        <f>IF('Stock Data'!$H$2,IF(ISNUMBER(AK463),AK463,NA()),NA())</f>
        <v>#N/A</v>
      </c>
      <c r="AO463" s="14"/>
      <c r="AP463" s="14"/>
      <c r="AQ463" s="14"/>
      <c r="AR463" s="14"/>
      <c r="AS463" s="14"/>
      <c r="AT463" s="14"/>
      <c r="AU463" s="14"/>
      <c r="AV463" s="14"/>
      <c r="AW463" s="14"/>
      <c r="AX463" s="14"/>
      <c r="AY463" s="14"/>
      <c r="AZ463" s="14"/>
      <c r="BA463" s="14"/>
      <c r="BB463" s="14"/>
      <c r="BC463" s="14"/>
      <c r="BD463" s="14"/>
      <c r="BE463" s="14"/>
      <c r="BF463" s="14"/>
      <c r="BG463" s="14"/>
      <c r="BH463" s="14"/>
      <c r="BI463" s="14"/>
    </row>
    <row r="464" spans="1:61">
      <c r="A464" s="14"/>
      <c r="B464" s="14"/>
      <c r="C464" s="14"/>
      <c r="D464" s="167"/>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t="e">
        <f>IF('Stock Data'!$H$2,IF(ISNUMBER(AK464),AK464,NA()),NA())</f>
        <v>#N/A</v>
      </c>
      <c r="AO464" s="14"/>
      <c r="AP464" s="14"/>
      <c r="AQ464" s="14"/>
      <c r="AR464" s="14"/>
      <c r="AS464" s="14"/>
      <c r="AT464" s="14"/>
      <c r="AU464" s="14"/>
      <c r="AV464" s="14"/>
      <c r="AW464" s="14"/>
      <c r="AX464" s="14"/>
      <c r="AY464" s="14"/>
      <c r="AZ464" s="14"/>
      <c r="BA464" s="14"/>
      <c r="BB464" s="14"/>
      <c r="BC464" s="14"/>
      <c r="BD464" s="14"/>
      <c r="BE464" s="14"/>
      <c r="BF464" s="14"/>
      <c r="BG464" s="14"/>
      <c r="BH464" s="14"/>
      <c r="BI464" s="14"/>
    </row>
    <row r="465" spans="1:61">
      <c r="A465" s="14"/>
      <c r="B465" s="14"/>
      <c r="C465" s="14"/>
      <c r="D465" s="167"/>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t="e">
        <f>IF('Stock Data'!$H$2,IF(ISNUMBER(AK465),AK465,NA()),NA())</f>
        <v>#N/A</v>
      </c>
      <c r="AO465" s="14"/>
      <c r="AP465" s="14"/>
      <c r="AQ465" s="14"/>
      <c r="AR465" s="14"/>
      <c r="AS465" s="14"/>
      <c r="AT465" s="14"/>
      <c r="AU465" s="14"/>
      <c r="AV465" s="14"/>
      <c r="AW465" s="14"/>
      <c r="AX465" s="14"/>
      <c r="AY465" s="14"/>
      <c r="AZ465" s="14"/>
      <c r="BA465" s="14"/>
      <c r="BB465" s="14"/>
      <c r="BC465" s="14"/>
      <c r="BD465" s="14"/>
      <c r="BE465" s="14"/>
      <c r="BF465" s="14"/>
      <c r="BG465" s="14"/>
      <c r="BH465" s="14"/>
      <c r="BI465" s="14"/>
    </row>
    <row r="466" spans="1:61">
      <c r="A466" s="14"/>
      <c r="B466" s="14"/>
      <c r="C466" s="14"/>
      <c r="D466" s="167"/>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t="e">
        <f>IF('Stock Data'!$H$2,IF(ISNUMBER(AK466),AK466,NA()),NA())</f>
        <v>#N/A</v>
      </c>
      <c r="AO466" s="14"/>
      <c r="AP466" s="14"/>
      <c r="AQ466" s="14"/>
      <c r="AR466" s="14"/>
      <c r="AS466" s="14"/>
      <c r="AT466" s="14"/>
      <c r="AU466" s="14"/>
      <c r="AV466" s="14"/>
      <c r="AW466" s="14"/>
      <c r="AX466" s="14"/>
      <c r="AY466" s="14"/>
      <c r="AZ466" s="14"/>
      <c r="BA466" s="14"/>
      <c r="BB466" s="14"/>
      <c r="BC466" s="14"/>
      <c r="BD466" s="14"/>
      <c r="BE466" s="14"/>
      <c r="BF466" s="14"/>
      <c r="BG466" s="14"/>
      <c r="BH466" s="14"/>
      <c r="BI466" s="14"/>
    </row>
    <row r="467" spans="1:61">
      <c r="A467" s="14"/>
      <c r="B467" s="14"/>
      <c r="C467" s="14"/>
      <c r="D467" s="167"/>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t="e">
        <f>IF('Stock Data'!$H$2,IF(ISNUMBER(AK467),AK467,NA()),NA())</f>
        <v>#N/A</v>
      </c>
      <c r="AO467" s="14"/>
      <c r="AP467" s="14"/>
      <c r="AQ467" s="14"/>
      <c r="AR467" s="14"/>
      <c r="AS467" s="14"/>
      <c r="AT467" s="14"/>
      <c r="AU467" s="14"/>
      <c r="AV467" s="14"/>
      <c r="AW467" s="14"/>
      <c r="AX467" s="14"/>
      <c r="AY467" s="14"/>
      <c r="AZ467" s="14"/>
      <c r="BA467" s="14"/>
      <c r="BB467" s="14"/>
      <c r="BC467" s="14"/>
      <c r="BD467" s="14"/>
      <c r="BE467" s="14"/>
      <c r="BF467" s="14"/>
      <c r="BG467" s="14"/>
      <c r="BH467" s="14"/>
      <c r="BI467" s="14"/>
    </row>
    <row r="468" spans="1:61">
      <c r="A468" s="14"/>
      <c r="B468" s="14"/>
      <c r="C468" s="14"/>
      <c r="D468" s="167"/>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t="e">
        <f>IF('Stock Data'!$H$2,IF(ISNUMBER(AK468),AK468,NA()),NA())</f>
        <v>#N/A</v>
      </c>
      <c r="AO468" s="14"/>
      <c r="AP468" s="14"/>
      <c r="AQ468" s="14"/>
      <c r="AR468" s="14"/>
      <c r="AS468" s="14"/>
      <c r="AT468" s="14"/>
      <c r="AU468" s="14"/>
      <c r="AV468" s="14"/>
      <c r="AW468" s="14"/>
      <c r="AX468" s="14"/>
      <c r="AY468" s="14"/>
      <c r="AZ468" s="14"/>
      <c r="BA468" s="14"/>
      <c r="BB468" s="14"/>
      <c r="BC468" s="14"/>
      <c r="BD468" s="14"/>
      <c r="BE468" s="14"/>
      <c r="BF468" s="14"/>
      <c r="BG468" s="14"/>
      <c r="BH468" s="14"/>
      <c r="BI468" s="14"/>
    </row>
    <row r="469" spans="1:61">
      <c r="A469" s="14"/>
      <c r="B469" s="14"/>
      <c r="C469" s="14"/>
      <c r="D469" s="167"/>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t="e">
        <f>IF('Stock Data'!$H$2,IF(ISNUMBER(AK469),AK469,NA()),NA())</f>
        <v>#N/A</v>
      </c>
      <c r="AO469" s="14"/>
      <c r="AP469" s="14"/>
      <c r="AQ469" s="14"/>
      <c r="AR469" s="14"/>
      <c r="AS469" s="14"/>
      <c r="AT469" s="14"/>
      <c r="AU469" s="14"/>
      <c r="AV469" s="14"/>
      <c r="AW469" s="14"/>
      <c r="AX469" s="14"/>
      <c r="AY469" s="14"/>
      <c r="AZ469" s="14"/>
      <c r="BA469" s="14"/>
      <c r="BB469" s="14"/>
      <c r="BC469" s="14"/>
      <c r="BD469" s="14"/>
      <c r="BE469" s="14"/>
      <c r="BF469" s="14"/>
      <c r="BG469" s="14"/>
      <c r="BH469" s="14"/>
      <c r="BI469" s="14"/>
    </row>
    <row r="470" spans="1:61">
      <c r="A470" s="14"/>
      <c r="B470" s="14"/>
      <c r="C470" s="14"/>
      <c r="D470" s="167"/>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t="e">
        <f>IF('Stock Data'!$H$2,IF(ISNUMBER(AK470),AK470,NA()),NA())</f>
        <v>#N/A</v>
      </c>
      <c r="AO470" s="14"/>
      <c r="AP470" s="14"/>
      <c r="AQ470" s="14"/>
      <c r="AR470" s="14"/>
      <c r="AS470" s="14"/>
      <c r="AT470" s="14"/>
      <c r="AU470" s="14"/>
      <c r="AV470" s="14"/>
      <c r="AW470" s="14"/>
      <c r="AX470" s="14"/>
      <c r="AY470" s="14"/>
      <c r="AZ470" s="14"/>
      <c r="BA470" s="14"/>
      <c r="BB470" s="14"/>
      <c r="BC470" s="14"/>
      <c r="BD470" s="14"/>
      <c r="BE470" s="14"/>
      <c r="BF470" s="14"/>
      <c r="BG470" s="14"/>
      <c r="BH470" s="14"/>
      <c r="BI470" s="14"/>
    </row>
    <row r="471" spans="1:61">
      <c r="A471" s="14"/>
      <c r="B471" s="14"/>
      <c r="C471" s="14"/>
      <c r="D471" s="167"/>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t="e">
        <f>IF('Stock Data'!$H$2,IF(ISNUMBER(AK471),AK471,NA()),NA())</f>
        <v>#N/A</v>
      </c>
      <c r="AO471" s="14"/>
      <c r="AP471" s="14"/>
      <c r="AQ471" s="14"/>
      <c r="AR471" s="14"/>
      <c r="AS471" s="14"/>
      <c r="AT471" s="14"/>
      <c r="AU471" s="14"/>
      <c r="AV471" s="14"/>
      <c r="AW471" s="14"/>
      <c r="AX471" s="14"/>
      <c r="AY471" s="14"/>
      <c r="AZ471" s="14"/>
      <c r="BA471" s="14"/>
      <c r="BB471" s="14"/>
      <c r="BC471" s="14"/>
      <c r="BD471" s="14"/>
      <c r="BE471" s="14"/>
      <c r="BF471" s="14"/>
      <c r="BG471" s="14"/>
      <c r="BH471" s="14"/>
      <c r="BI471" s="14"/>
    </row>
    <row r="472" spans="1:61">
      <c r="A472" s="14"/>
      <c r="B472" s="14"/>
      <c r="C472" s="14"/>
      <c r="D472" s="167"/>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t="e">
        <f>IF('Stock Data'!$H$2,IF(ISNUMBER(AK472),AK472,NA()),NA())</f>
        <v>#N/A</v>
      </c>
      <c r="AO472" s="14"/>
      <c r="AP472" s="14"/>
      <c r="AQ472" s="14"/>
      <c r="AR472" s="14"/>
      <c r="AS472" s="14"/>
      <c r="AT472" s="14"/>
      <c r="AU472" s="14"/>
      <c r="AV472" s="14"/>
      <c r="AW472" s="14"/>
      <c r="AX472" s="14"/>
      <c r="AY472" s="14"/>
      <c r="AZ472" s="14"/>
      <c r="BA472" s="14"/>
      <c r="BB472" s="14"/>
      <c r="BC472" s="14"/>
      <c r="BD472" s="14"/>
      <c r="BE472" s="14"/>
      <c r="BF472" s="14"/>
      <c r="BG472" s="14"/>
      <c r="BH472" s="14"/>
      <c r="BI472" s="14"/>
    </row>
    <row r="473" spans="1:61">
      <c r="A473" s="14"/>
      <c r="B473" s="14"/>
      <c r="C473" s="14"/>
      <c r="D473" s="167"/>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t="e">
        <f>IF('Stock Data'!$H$2,IF(ISNUMBER(AK473),AK473,NA()),NA())</f>
        <v>#N/A</v>
      </c>
      <c r="AO473" s="14"/>
      <c r="AP473" s="14"/>
      <c r="AQ473" s="14"/>
      <c r="AR473" s="14"/>
      <c r="AS473" s="14"/>
      <c r="AT473" s="14"/>
      <c r="AU473" s="14"/>
      <c r="AV473" s="14"/>
      <c r="AW473" s="14"/>
      <c r="AX473" s="14"/>
      <c r="AY473" s="14"/>
      <c r="AZ473" s="14"/>
      <c r="BA473" s="14"/>
      <c r="BB473" s="14"/>
      <c r="BC473" s="14"/>
      <c r="BD473" s="14"/>
      <c r="BE473" s="14"/>
      <c r="BF473" s="14"/>
      <c r="BG473" s="14"/>
      <c r="BH473" s="14"/>
      <c r="BI473" s="14"/>
    </row>
    <row r="474" spans="1:61">
      <c r="A474" s="14"/>
      <c r="B474" s="14"/>
      <c r="C474" s="14"/>
      <c r="D474" s="167"/>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t="e">
        <f>IF('Stock Data'!$H$2,IF(ISNUMBER(AK474),AK474,NA()),NA())</f>
        <v>#N/A</v>
      </c>
      <c r="AO474" s="14"/>
      <c r="AP474" s="14"/>
      <c r="AQ474" s="14"/>
      <c r="AR474" s="14"/>
      <c r="AS474" s="14"/>
      <c r="AT474" s="14"/>
      <c r="AU474" s="14"/>
      <c r="AV474" s="14"/>
      <c r="AW474" s="14"/>
      <c r="AX474" s="14"/>
      <c r="AY474" s="14"/>
      <c r="AZ474" s="14"/>
      <c r="BA474" s="14"/>
      <c r="BB474" s="14"/>
      <c r="BC474" s="14"/>
      <c r="BD474" s="14"/>
      <c r="BE474" s="14"/>
      <c r="BF474" s="14"/>
      <c r="BG474" s="14"/>
      <c r="BH474" s="14"/>
      <c r="BI474" s="14"/>
    </row>
    <row r="475" spans="1:61">
      <c r="A475" s="14"/>
      <c r="B475" s="14"/>
      <c r="C475" s="14"/>
      <c r="D475" s="167"/>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t="e">
        <f>IF('Stock Data'!$H$2,IF(ISNUMBER(AK475),AK475,NA()),NA())</f>
        <v>#N/A</v>
      </c>
      <c r="AO475" s="14"/>
      <c r="AP475" s="14"/>
      <c r="AQ475" s="14"/>
      <c r="AR475" s="14"/>
      <c r="AS475" s="14"/>
      <c r="AT475" s="14"/>
      <c r="AU475" s="14"/>
      <c r="AV475" s="14"/>
      <c r="AW475" s="14"/>
      <c r="AX475" s="14"/>
      <c r="AY475" s="14"/>
      <c r="AZ475" s="14"/>
      <c r="BA475" s="14"/>
      <c r="BB475" s="14"/>
      <c r="BC475" s="14"/>
      <c r="BD475" s="14"/>
      <c r="BE475" s="14"/>
      <c r="BF475" s="14"/>
      <c r="BG475" s="14"/>
      <c r="BH475" s="14"/>
      <c r="BI475" s="14"/>
    </row>
    <row r="476" spans="1:61">
      <c r="A476" s="14"/>
      <c r="B476" s="14"/>
      <c r="C476" s="14"/>
      <c r="D476" s="167"/>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4"/>
      <c r="AN476" s="14" t="e">
        <f>IF('Stock Data'!$H$2,IF(ISNUMBER(AK476),AK476,NA()),NA())</f>
        <v>#N/A</v>
      </c>
      <c r="AO476" s="14"/>
      <c r="AP476" s="14"/>
      <c r="AQ476" s="14"/>
      <c r="AR476" s="14"/>
      <c r="AS476" s="14"/>
      <c r="AT476" s="14"/>
      <c r="AU476" s="14"/>
      <c r="AV476" s="14"/>
      <c r="AW476" s="14"/>
      <c r="AX476" s="14"/>
      <c r="AY476" s="14"/>
      <c r="AZ476" s="14"/>
      <c r="BA476" s="14"/>
      <c r="BB476" s="14"/>
      <c r="BC476" s="14"/>
      <c r="BD476" s="14"/>
      <c r="BE476" s="14"/>
      <c r="BF476" s="14"/>
      <c r="BG476" s="14"/>
      <c r="BH476" s="14"/>
      <c r="BI476" s="14"/>
    </row>
    <row r="477" spans="1:61">
      <c r="A477" s="14"/>
      <c r="B477" s="14"/>
      <c r="C477" s="14"/>
      <c r="D477" s="167"/>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t="e">
        <f>IF('Stock Data'!$H$2,IF(ISNUMBER(AK477),AK477,NA()),NA())</f>
        <v>#N/A</v>
      </c>
      <c r="AO477" s="14"/>
      <c r="AP477" s="14"/>
      <c r="AQ477" s="14"/>
      <c r="AR477" s="14"/>
      <c r="AS477" s="14"/>
      <c r="AT477" s="14"/>
      <c r="AU477" s="14"/>
      <c r="AV477" s="14"/>
      <c r="AW477" s="14"/>
      <c r="AX477" s="14"/>
      <c r="AY477" s="14"/>
      <c r="AZ477" s="14"/>
      <c r="BA477" s="14"/>
      <c r="BB477" s="14"/>
      <c r="BC477" s="14"/>
      <c r="BD477" s="14"/>
      <c r="BE477" s="14"/>
      <c r="BF477" s="14"/>
      <c r="BG477" s="14"/>
      <c r="BH477" s="14"/>
      <c r="BI477" s="14"/>
    </row>
    <row r="478" spans="1:61">
      <c r="A478" s="14"/>
      <c r="B478" s="14"/>
      <c r="C478" s="14"/>
      <c r="D478" s="167"/>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t="e">
        <f>IF('Stock Data'!$H$2,IF(ISNUMBER(AK478),AK478,NA()),NA())</f>
        <v>#N/A</v>
      </c>
      <c r="AO478" s="14"/>
      <c r="AP478" s="14"/>
      <c r="AQ478" s="14"/>
      <c r="AR478" s="14"/>
      <c r="AS478" s="14"/>
      <c r="AT478" s="14"/>
      <c r="AU478" s="14"/>
      <c r="AV478" s="14"/>
      <c r="AW478" s="14"/>
      <c r="AX478" s="14"/>
      <c r="AY478" s="14"/>
      <c r="AZ478" s="14"/>
      <c r="BA478" s="14"/>
      <c r="BB478" s="14"/>
      <c r="BC478" s="14"/>
      <c r="BD478" s="14"/>
      <c r="BE478" s="14"/>
      <c r="BF478" s="14"/>
      <c r="BG478" s="14"/>
      <c r="BH478" s="14"/>
      <c r="BI478" s="14"/>
    </row>
    <row r="479" spans="1:61">
      <c r="A479" s="14"/>
      <c r="B479" s="14"/>
      <c r="C479" s="14"/>
      <c r="D479" s="167"/>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t="e">
        <f>IF('Stock Data'!$H$2,IF(ISNUMBER(AK479),AK479,NA()),NA())</f>
        <v>#N/A</v>
      </c>
      <c r="AO479" s="14"/>
      <c r="AP479" s="14"/>
      <c r="AQ479" s="14"/>
      <c r="AR479" s="14"/>
      <c r="AS479" s="14"/>
      <c r="AT479" s="14"/>
      <c r="AU479" s="14"/>
      <c r="AV479" s="14"/>
      <c r="AW479" s="14"/>
      <c r="AX479" s="14"/>
      <c r="AY479" s="14"/>
      <c r="AZ479" s="14"/>
      <c r="BA479" s="14"/>
      <c r="BB479" s="14"/>
      <c r="BC479" s="14"/>
      <c r="BD479" s="14"/>
      <c r="BE479" s="14"/>
      <c r="BF479" s="14"/>
      <c r="BG479" s="14"/>
      <c r="BH479" s="14"/>
      <c r="BI479" s="14"/>
    </row>
    <row r="480" spans="1:61">
      <c r="A480" s="14"/>
      <c r="B480" s="14"/>
      <c r="C480" s="14"/>
      <c r="D480" s="167"/>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t="e">
        <f>IF('Stock Data'!$H$2,IF(ISNUMBER(AK480),AK480,NA()),NA())</f>
        <v>#N/A</v>
      </c>
      <c r="AO480" s="14"/>
      <c r="AP480" s="14"/>
      <c r="AQ480" s="14"/>
      <c r="AR480" s="14"/>
      <c r="AS480" s="14"/>
      <c r="AT480" s="14"/>
      <c r="AU480" s="14"/>
      <c r="AV480" s="14"/>
      <c r="AW480" s="14"/>
      <c r="AX480" s="14"/>
      <c r="AY480" s="14"/>
      <c r="AZ480" s="14"/>
      <c r="BA480" s="14"/>
      <c r="BB480" s="14"/>
      <c r="BC480" s="14"/>
      <c r="BD480" s="14"/>
      <c r="BE480" s="14"/>
      <c r="BF480" s="14"/>
      <c r="BG480" s="14"/>
      <c r="BH480" s="14"/>
      <c r="BI480" s="14"/>
    </row>
    <row r="481" spans="1:61">
      <c r="A481" s="14"/>
      <c r="B481" s="14"/>
      <c r="C481" s="14"/>
      <c r="D481" s="167"/>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t="e">
        <f>IF('Stock Data'!$H$2,IF(ISNUMBER(AK481),AK481,NA()),NA())</f>
        <v>#N/A</v>
      </c>
      <c r="AO481" s="14"/>
      <c r="AP481" s="14"/>
      <c r="AQ481" s="14"/>
      <c r="AR481" s="14"/>
      <c r="AS481" s="14"/>
      <c r="AT481" s="14"/>
      <c r="AU481" s="14"/>
      <c r="AV481" s="14"/>
      <c r="AW481" s="14"/>
      <c r="AX481" s="14"/>
      <c r="AY481" s="14"/>
      <c r="AZ481" s="14"/>
      <c r="BA481" s="14"/>
      <c r="BB481" s="14"/>
      <c r="BC481" s="14"/>
      <c r="BD481" s="14"/>
      <c r="BE481" s="14"/>
      <c r="BF481" s="14"/>
      <c r="BG481" s="14"/>
      <c r="BH481" s="14"/>
      <c r="BI481" s="14"/>
    </row>
    <row r="482" spans="1:61">
      <c r="A482" s="14"/>
      <c r="B482" s="14"/>
      <c r="C482" s="14"/>
      <c r="D482" s="167"/>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t="e">
        <f>IF('Stock Data'!$H$2,IF(ISNUMBER(AK482),AK482,NA()),NA())</f>
        <v>#N/A</v>
      </c>
      <c r="AO482" s="14"/>
      <c r="AP482" s="14"/>
      <c r="AQ482" s="14"/>
      <c r="AR482" s="14"/>
      <c r="AS482" s="14"/>
      <c r="AT482" s="14"/>
      <c r="AU482" s="14"/>
      <c r="AV482" s="14"/>
      <c r="AW482" s="14"/>
      <c r="AX482" s="14"/>
      <c r="AY482" s="14"/>
      <c r="AZ482" s="14"/>
      <c r="BA482" s="14"/>
      <c r="BB482" s="14"/>
      <c r="BC482" s="14"/>
      <c r="BD482" s="14"/>
      <c r="BE482" s="14"/>
      <c r="BF482" s="14"/>
      <c r="BG482" s="14"/>
      <c r="BH482" s="14"/>
      <c r="BI482" s="14"/>
    </row>
    <row r="483" spans="1:61">
      <c r="A483" s="14"/>
      <c r="B483" s="14"/>
      <c r="C483" s="14"/>
      <c r="D483" s="167"/>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t="e">
        <f>IF('Stock Data'!$H$2,IF(ISNUMBER(AK483),AK483,NA()),NA())</f>
        <v>#N/A</v>
      </c>
      <c r="AO483" s="14"/>
      <c r="AP483" s="14"/>
      <c r="AQ483" s="14"/>
      <c r="AR483" s="14"/>
      <c r="AS483" s="14"/>
      <c r="AT483" s="14"/>
      <c r="AU483" s="14"/>
      <c r="AV483" s="14"/>
      <c r="AW483" s="14"/>
      <c r="AX483" s="14"/>
      <c r="AY483" s="14"/>
      <c r="AZ483" s="14"/>
      <c r="BA483" s="14"/>
      <c r="BB483" s="14"/>
      <c r="BC483" s="14"/>
      <c r="BD483" s="14"/>
      <c r="BE483" s="14"/>
      <c r="BF483" s="14"/>
      <c r="BG483" s="14"/>
      <c r="BH483" s="14"/>
      <c r="BI483" s="14"/>
    </row>
    <row r="484" spans="1:61">
      <c r="A484" s="14"/>
      <c r="B484" s="14"/>
      <c r="C484" s="14"/>
      <c r="D484" s="167"/>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t="e">
        <f>IF('Stock Data'!$H$2,IF(ISNUMBER(AK484),AK484,NA()),NA())</f>
        <v>#N/A</v>
      </c>
      <c r="AO484" s="14"/>
      <c r="AP484" s="14"/>
      <c r="AQ484" s="14"/>
      <c r="AR484" s="14"/>
      <c r="AS484" s="14"/>
      <c r="AT484" s="14"/>
      <c r="AU484" s="14"/>
      <c r="AV484" s="14"/>
      <c r="AW484" s="14"/>
      <c r="AX484" s="14"/>
      <c r="AY484" s="14"/>
      <c r="AZ484" s="14"/>
      <c r="BA484" s="14"/>
      <c r="BB484" s="14"/>
      <c r="BC484" s="14"/>
      <c r="BD484" s="14"/>
      <c r="BE484" s="14"/>
      <c r="BF484" s="14"/>
      <c r="BG484" s="14"/>
      <c r="BH484" s="14"/>
      <c r="BI484" s="14"/>
    </row>
    <row r="485" spans="1:61">
      <c r="A485" s="14"/>
      <c r="B485" s="14"/>
      <c r="C485" s="14"/>
      <c r="D485" s="167"/>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t="e">
        <f>IF('Stock Data'!$H$2,IF(ISNUMBER(AK485),AK485,NA()),NA())</f>
        <v>#N/A</v>
      </c>
      <c r="AO485" s="14"/>
      <c r="AP485" s="14"/>
      <c r="AQ485" s="14"/>
      <c r="AR485" s="14"/>
      <c r="AS485" s="14"/>
      <c r="AT485" s="14"/>
      <c r="AU485" s="14"/>
      <c r="AV485" s="14"/>
      <c r="AW485" s="14"/>
      <c r="AX485" s="14"/>
      <c r="AY485" s="14"/>
      <c r="AZ485" s="14"/>
      <c r="BA485" s="14"/>
      <c r="BB485" s="14"/>
      <c r="BC485" s="14"/>
      <c r="BD485" s="14"/>
      <c r="BE485" s="14"/>
      <c r="BF485" s="14"/>
      <c r="BG485" s="14"/>
      <c r="BH485" s="14"/>
      <c r="BI485" s="14"/>
    </row>
    <row r="486" spans="1:61">
      <c r="A486" s="14"/>
      <c r="B486" s="14"/>
      <c r="C486" s="14"/>
      <c r="D486" s="167"/>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t="e">
        <f>IF('Stock Data'!$H$2,IF(ISNUMBER(AK486),AK486,NA()),NA())</f>
        <v>#N/A</v>
      </c>
      <c r="AO486" s="14"/>
      <c r="AP486" s="14"/>
      <c r="AQ486" s="14"/>
      <c r="AR486" s="14"/>
      <c r="AS486" s="14"/>
      <c r="AT486" s="14"/>
      <c r="AU486" s="14"/>
      <c r="AV486" s="14"/>
      <c r="AW486" s="14"/>
      <c r="AX486" s="14"/>
      <c r="AY486" s="14"/>
      <c r="AZ486" s="14"/>
      <c r="BA486" s="14"/>
      <c r="BB486" s="14"/>
      <c r="BC486" s="14"/>
      <c r="BD486" s="14"/>
      <c r="BE486" s="14"/>
      <c r="BF486" s="14"/>
      <c r="BG486" s="14"/>
      <c r="BH486" s="14"/>
      <c r="BI486" s="14"/>
    </row>
    <row r="487" spans="1:61">
      <c r="A487" s="14"/>
      <c r="B487" s="14"/>
      <c r="C487" s="14"/>
      <c r="D487" s="167"/>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t="e">
        <f>IF('Stock Data'!$H$2,IF(ISNUMBER(AK487),AK487,NA()),NA())</f>
        <v>#N/A</v>
      </c>
      <c r="AO487" s="14"/>
      <c r="AP487" s="14"/>
      <c r="AQ487" s="14"/>
      <c r="AR487" s="14"/>
      <c r="AS487" s="14"/>
      <c r="AT487" s="14"/>
      <c r="AU487" s="14"/>
      <c r="AV487" s="14"/>
      <c r="AW487" s="14"/>
      <c r="AX487" s="14"/>
      <c r="AY487" s="14"/>
      <c r="AZ487" s="14"/>
      <c r="BA487" s="14"/>
      <c r="BB487" s="14"/>
      <c r="BC487" s="14"/>
      <c r="BD487" s="14"/>
      <c r="BE487" s="14"/>
      <c r="BF487" s="14"/>
      <c r="BG487" s="14"/>
      <c r="BH487" s="14"/>
      <c r="BI487" s="14"/>
    </row>
    <row r="488" spans="1:61">
      <c r="A488" s="14"/>
      <c r="B488" s="14"/>
      <c r="C488" s="14"/>
      <c r="D488" s="167"/>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t="e">
        <f>IF('Stock Data'!$H$2,IF(ISNUMBER(AK488),AK488,NA()),NA())</f>
        <v>#N/A</v>
      </c>
      <c r="AO488" s="14"/>
      <c r="AP488" s="14"/>
      <c r="AQ488" s="14"/>
      <c r="AR488" s="14"/>
      <c r="AS488" s="14"/>
      <c r="AT488" s="14"/>
      <c r="AU488" s="14"/>
      <c r="AV488" s="14"/>
      <c r="AW488" s="14"/>
      <c r="AX488" s="14"/>
      <c r="AY488" s="14"/>
      <c r="AZ488" s="14"/>
      <c r="BA488" s="14"/>
      <c r="BB488" s="14"/>
      <c r="BC488" s="14"/>
      <c r="BD488" s="14"/>
      <c r="BE488" s="14"/>
      <c r="BF488" s="14"/>
      <c r="BG488" s="14"/>
      <c r="BH488" s="14"/>
      <c r="BI488" s="14"/>
    </row>
    <row r="489" spans="1:61">
      <c r="A489" s="14"/>
      <c r="B489" s="14"/>
      <c r="C489" s="14"/>
      <c r="D489" s="167"/>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t="e">
        <f>IF('Stock Data'!$H$2,IF(ISNUMBER(AK489),AK489,NA()),NA())</f>
        <v>#N/A</v>
      </c>
      <c r="AO489" s="14"/>
      <c r="AP489" s="14"/>
      <c r="AQ489" s="14"/>
      <c r="AR489" s="14"/>
      <c r="AS489" s="14"/>
      <c r="AT489" s="14"/>
      <c r="AU489" s="14"/>
      <c r="AV489" s="14"/>
      <c r="AW489" s="14"/>
      <c r="AX489" s="14"/>
      <c r="AY489" s="14"/>
      <c r="AZ489" s="14"/>
      <c r="BA489" s="14"/>
      <c r="BB489" s="14"/>
      <c r="BC489" s="14"/>
      <c r="BD489" s="14"/>
      <c r="BE489" s="14"/>
      <c r="BF489" s="14"/>
      <c r="BG489" s="14"/>
      <c r="BH489" s="14"/>
      <c r="BI489" s="14"/>
    </row>
    <row r="490" spans="1:61">
      <c r="A490" s="14"/>
      <c r="B490" s="14"/>
      <c r="C490" s="14"/>
      <c r="D490" s="167"/>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t="e">
        <f>IF('Stock Data'!$H$2,IF(ISNUMBER(AK490),AK490,NA()),NA())</f>
        <v>#N/A</v>
      </c>
      <c r="AO490" s="14"/>
      <c r="AP490" s="14"/>
      <c r="AQ490" s="14"/>
      <c r="AR490" s="14"/>
      <c r="AS490" s="14"/>
      <c r="AT490" s="14"/>
      <c r="AU490" s="14"/>
      <c r="AV490" s="14"/>
      <c r="AW490" s="14"/>
      <c r="AX490" s="14"/>
      <c r="AY490" s="14"/>
      <c r="AZ490" s="14"/>
      <c r="BA490" s="14"/>
      <c r="BB490" s="14"/>
      <c r="BC490" s="14"/>
      <c r="BD490" s="14"/>
      <c r="BE490" s="14"/>
      <c r="BF490" s="14"/>
      <c r="BG490" s="14"/>
      <c r="BH490" s="14"/>
      <c r="BI490" s="14"/>
    </row>
    <row r="491" spans="1:61">
      <c r="A491" s="14"/>
      <c r="B491" s="14"/>
      <c r="C491" s="14"/>
      <c r="D491" s="167"/>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t="e">
        <f>IF('Stock Data'!$H$2,IF(ISNUMBER(AK491),AK491,NA()),NA())</f>
        <v>#N/A</v>
      </c>
      <c r="AO491" s="14"/>
      <c r="AP491" s="14"/>
      <c r="AQ491" s="14"/>
      <c r="AR491" s="14"/>
      <c r="AS491" s="14"/>
      <c r="AT491" s="14"/>
      <c r="AU491" s="14"/>
      <c r="AV491" s="14"/>
      <c r="AW491" s="14"/>
      <c r="AX491" s="14"/>
      <c r="AY491" s="14"/>
      <c r="AZ491" s="14"/>
      <c r="BA491" s="14"/>
      <c r="BB491" s="14"/>
      <c r="BC491" s="14"/>
      <c r="BD491" s="14"/>
      <c r="BE491" s="14"/>
      <c r="BF491" s="14"/>
      <c r="BG491" s="14"/>
      <c r="BH491" s="14"/>
      <c r="BI491" s="14"/>
    </row>
    <row r="492" spans="1:61">
      <c r="A492" s="14"/>
      <c r="B492" s="14"/>
      <c r="C492" s="14"/>
      <c r="D492" s="167"/>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t="e">
        <f>IF('Stock Data'!$H$2,IF(ISNUMBER(AK492),AK492,NA()),NA())</f>
        <v>#N/A</v>
      </c>
      <c r="AO492" s="14"/>
      <c r="AP492" s="14"/>
      <c r="AQ492" s="14"/>
      <c r="AR492" s="14"/>
      <c r="AS492" s="14"/>
      <c r="AT492" s="14"/>
      <c r="AU492" s="14"/>
      <c r="AV492" s="14"/>
      <c r="AW492" s="14"/>
      <c r="AX492" s="14"/>
      <c r="AY492" s="14"/>
      <c r="AZ492" s="14"/>
      <c r="BA492" s="14"/>
      <c r="BB492" s="14"/>
      <c r="BC492" s="14"/>
      <c r="BD492" s="14"/>
      <c r="BE492" s="14"/>
      <c r="BF492" s="14"/>
      <c r="BG492" s="14"/>
      <c r="BH492" s="14"/>
      <c r="BI492" s="14"/>
    </row>
    <row r="493" spans="1:61">
      <c r="A493" s="14"/>
      <c r="B493" s="14"/>
      <c r="C493" s="14"/>
      <c r="D493" s="167"/>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t="e">
        <f>IF('Stock Data'!$H$2,IF(ISNUMBER(AK493),AK493,NA()),NA())</f>
        <v>#N/A</v>
      </c>
      <c r="AO493" s="14"/>
      <c r="AP493" s="14"/>
      <c r="AQ493" s="14"/>
      <c r="AR493" s="14"/>
      <c r="AS493" s="14"/>
      <c r="AT493" s="14"/>
      <c r="AU493" s="14"/>
      <c r="AV493" s="14"/>
      <c r="AW493" s="14"/>
      <c r="AX493" s="14"/>
      <c r="AY493" s="14"/>
      <c r="AZ493" s="14"/>
      <c r="BA493" s="14"/>
      <c r="BB493" s="14"/>
      <c r="BC493" s="14"/>
      <c r="BD493" s="14"/>
      <c r="BE493" s="14"/>
      <c r="BF493" s="14"/>
      <c r="BG493" s="14"/>
      <c r="BH493" s="14"/>
      <c r="BI493" s="14"/>
    </row>
    <row r="494" spans="1:61">
      <c r="A494" s="14"/>
      <c r="B494" s="14"/>
      <c r="C494" s="14"/>
      <c r="D494" s="167"/>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t="e">
        <f>IF('Stock Data'!$H$2,IF(ISNUMBER(AK494),AK494,NA()),NA())</f>
        <v>#N/A</v>
      </c>
      <c r="AO494" s="14"/>
      <c r="AP494" s="14"/>
      <c r="AQ494" s="14"/>
      <c r="AR494" s="14"/>
      <c r="AS494" s="14"/>
      <c r="AT494" s="14"/>
      <c r="AU494" s="14"/>
      <c r="AV494" s="14"/>
      <c r="AW494" s="14"/>
      <c r="AX494" s="14"/>
      <c r="AY494" s="14"/>
      <c r="AZ494" s="14"/>
      <c r="BA494" s="14"/>
      <c r="BB494" s="14"/>
      <c r="BC494" s="14"/>
      <c r="BD494" s="14"/>
      <c r="BE494" s="14"/>
      <c r="BF494" s="14"/>
      <c r="BG494" s="14"/>
      <c r="BH494" s="14"/>
      <c r="BI494" s="14"/>
    </row>
    <row r="495" spans="1:61">
      <c r="A495" s="14"/>
      <c r="B495" s="14"/>
      <c r="C495" s="14"/>
      <c r="D495" s="167"/>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t="e">
        <f>IF('Stock Data'!$H$2,IF(ISNUMBER(AK495),AK495,NA()),NA())</f>
        <v>#N/A</v>
      </c>
      <c r="AO495" s="14"/>
      <c r="AP495" s="14"/>
      <c r="AQ495" s="14"/>
      <c r="AR495" s="14"/>
      <c r="AS495" s="14"/>
      <c r="AT495" s="14"/>
      <c r="AU495" s="14"/>
      <c r="AV495" s="14"/>
      <c r="AW495" s="14"/>
      <c r="AX495" s="14"/>
      <c r="AY495" s="14"/>
      <c r="AZ495" s="14"/>
      <c r="BA495" s="14"/>
      <c r="BB495" s="14"/>
      <c r="BC495" s="14"/>
      <c r="BD495" s="14"/>
      <c r="BE495" s="14"/>
      <c r="BF495" s="14"/>
      <c r="BG495" s="14"/>
      <c r="BH495" s="14"/>
      <c r="BI495" s="14"/>
    </row>
    <row r="496" spans="1:61">
      <c r="A496" s="14"/>
      <c r="B496" s="14"/>
      <c r="C496" s="14"/>
      <c r="D496" s="167"/>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t="e">
        <f>IF('Stock Data'!$H$2,IF(ISNUMBER(AK496),AK496,NA()),NA())</f>
        <v>#N/A</v>
      </c>
      <c r="AO496" s="14"/>
      <c r="AP496" s="14"/>
      <c r="AQ496" s="14"/>
      <c r="AR496" s="14"/>
      <c r="AS496" s="14"/>
      <c r="AT496" s="14"/>
      <c r="AU496" s="14"/>
      <c r="AV496" s="14"/>
      <c r="AW496" s="14"/>
      <c r="AX496" s="14"/>
      <c r="AY496" s="14"/>
      <c r="AZ496" s="14"/>
      <c r="BA496" s="14"/>
      <c r="BB496" s="14"/>
      <c r="BC496" s="14"/>
      <c r="BD496" s="14"/>
      <c r="BE496" s="14"/>
      <c r="BF496" s="14"/>
      <c r="BG496" s="14"/>
      <c r="BH496" s="14"/>
      <c r="BI496" s="14"/>
    </row>
    <row r="497" spans="1:61">
      <c r="A497" s="14"/>
      <c r="B497" s="14"/>
      <c r="C497" s="14"/>
      <c r="D497" s="167"/>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t="e">
        <f>IF('Stock Data'!$H$2,IF(ISNUMBER(AK497),AK497,NA()),NA())</f>
        <v>#N/A</v>
      </c>
      <c r="AO497" s="14"/>
      <c r="AP497" s="14"/>
      <c r="AQ497" s="14"/>
      <c r="AR497" s="14"/>
      <c r="AS497" s="14"/>
      <c r="AT497" s="14"/>
      <c r="AU497" s="14"/>
      <c r="AV497" s="14"/>
      <c r="AW497" s="14"/>
      <c r="AX497" s="14"/>
      <c r="AY497" s="14"/>
      <c r="AZ497" s="14"/>
      <c r="BA497" s="14"/>
      <c r="BB497" s="14"/>
      <c r="BC497" s="14"/>
      <c r="BD497" s="14"/>
      <c r="BE497" s="14"/>
      <c r="BF497" s="14"/>
      <c r="BG497" s="14"/>
      <c r="BH497" s="14"/>
      <c r="BI497" s="14"/>
    </row>
    <row r="498" spans="1:61">
      <c r="A498" s="14"/>
      <c r="B498" s="14"/>
      <c r="C498" s="14"/>
      <c r="D498" s="167"/>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t="e">
        <f>IF('Stock Data'!$H$2,IF(ISNUMBER(AK498),AK498,NA()),NA())</f>
        <v>#N/A</v>
      </c>
      <c r="AO498" s="14"/>
      <c r="AP498" s="14"/>
      <c r="AQ498" s="14"/>
      <c r="AR498" s="14"/>
      <c r="AS498" s="14"/>
      <c r="AT498" s="14"/>
      <c r="AU498" s="14"/>
      <c r="AV498" s="14"/>
      <c r="AW498" s="14"/>
      <c r="AX498" s="14"/>
      <c r="AY498" s="14"/>
      <c r="AZ498" s="14"/>
      <c r="BA498" s="14"/>
      <c r="BB498" s="14"/>
      <c r="BC498" s="14"/>
      <c r="BD498" s="14"/>
      <c r="BE498" s="14"/>
      <c r="BF498" s="14"/>
      <c r="BG498" s="14"/>
      <c r="BH498" s="14"/>
      <c r="BI498" s="14"/>
    </row>
    <row r="499" spans="1:61">
      <c r="A499" s="14"/>
      <c r="B499" s="14"/>
      <c r="C499" s="14"/>
      <c r="D499" s="167"/>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t="e">
        <f>IF('Stock Data'!$H$2,IF(ISNUMBER(AK499),AK499,NA()),NA())</f>
        <v>#N/A</v>
      </c>
      <c r="AO499" s="14"/>
      <c r="AP499" s="14"/>
      <c r="AQ499" s="14"/>
      <c r="AR499" s="14"/>
      <c r="AS499" s="14"/>
      <c r="AT499" s="14"/>
      <c r="AU499" s="14"/>
      <c r="AV499" s="14"/>
      <c r="AW499" s="14"/>
      <c r="AX499" s="14"/>
      <c r="AY499" s="14"/>
      <c r="AZ499" s="14"/>
      <c r="BA499" s="14"/>
      <c r="BB499" s="14"/>
      <c r="BC499" s="14"/>
      <c r="BD499" s="14"/>
      <c r="BE499" s="14"/>
      <c r="BF499" s="14"/>
      <c r="BG499" s="14"/>
      <c r="BH499" s="14"/>
      <c r="BI499" s="14"/>
    </row>
    <row r="500" spans="1:61">
      <c r="A500" s="14"/>
      <c r="B500" s="14"/>
      <c r="C500" s="14"/>
      <c r="D500" s="167"/>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t="e">
        <f>IF('Stock Data'!$H$2,IF(ISNUMBER(AK500),AK500,NA()),NA())</f>
        <v>#N/A</v>
      </c>
      <c r="AO500" s="14"/>
      <c r="AP500" s="14"/>
      <c r="AQ500" s="14"/>
      <c r="AR500" s="14"/>
      <c r="AS500" s="14"/>
      <c r="AT500" s="14"/>
      <c r="AU500" s="14"/>
      <c r="AV500" s="14"/>
      <c r="AW500" s="14"/>
      <c r="AX500" s="14"/>
      <c r="AY500" s="14"/>
      <c r="AZ500" s="14"/>
      <c r="BA500" s="14"/>
      <c r="BB500" s="14"/>
      <c r="BC500" s="14"/>
      <c r="BD500" s="14"/>
      <c r="BE500" s="14"/>
      <c r="BF500" s="14"/>
      <c r="BG500" s="14"/>
      <c r="BH500" s="14"/>
      <c r="BI500" s="14"/>
    </row>
    <row r="501" spans="1:61">
      <c r="A501" s="14"/>
      <c r="B501" s="14"/>
      <c r="C501" s="14"/>
      <c r="D501" s="167"/>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t="e">
        <f>IF('Stock Data'!$H$2,IF(ISNUMBER(AK501),AK501,NA()),NA())</f>
        <v>#N/A</v>
      </c>
      <c r="AO501" s="14"/>
      <c r="AP501" s="14"/>
      <c r="AQ501" s="14"/>
      <c r="AR501" s="14"/>
      <c r="AS501" s="14"/>
      <c r="AT501" s="14"/>
      <c r="AU501" s="14"/>
      <c r="AV501" s="14"/>
      <c r="AW501" s="14"/>
      <c r="AX501" s="14"/>
      <c r="AY501" s="14"/>
      <c r="AZ501" s="14"/>
      <c r="BA501" s="14"/>
      <c r="BB501" s="14"/>
      <c r="BC501" s="14"/>
      <c r="BD501" s="14"/>
      <c r="BE501" s="14"/>
      <c r="BF501" s="14"/>
      <c r="BG501" s="14"/>
      <c r="BH501" s="14"/>
      <c r="BI501" s="14"/>
    </row>
    <row r="502" spans="1:61">
      <c r="A502" s="14"/>
      <c r="B502" s="14"/>
      <c r="C502" s="14"/>
      <c r="D502" s="167"/>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t="e">
        <f>IF('Stock Data'!$H$2,IF(ISNUMBER(AK502),AK502,NA()),NA())</f>
        <v>#N/A</v>
      </c>
      <c r="AO502" s="14"/>
      <c r="AP502" s="14"/>
      <c r="AQ502" s="14"/>
      <c r="AR502" s="14"/>
      <c r="AS502" s="14"/>
      <c r="AT502" s="14"/>
      <c r="AU502" s="14"/>
      <c r="AV502" s="14"/>
      <c r="AW502" s="14"/>
      <c r="AX502" s="14"/>
      <c r="AY502" s="14"/>
      <c r="AZ502" s="14"/>
      <c r="BA502" s="14"/>
      <c r="BB502" s="14"/>
      <c r="BC502" s="14"/>
      <c r="BD502" s="14"/>
      <c r="BE502" s="14"/>
      <c r="BF502" s="14"/>
      <c r="BG502" s="14"/>
      <c r="BH502" s="14"/>
      <c r="BI502" s="14"/>
    </row>
    <row r="503" spans="1:61">
      <c r="A503" s="14"/>
      <c r="B503" s="14"/>
      <c r="C503" s="14"/>
      <c r="D503" s="167"/>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t="e">
        <f>IF('Stock Data'!$H$2,IF(ISNUMBER(AK503),AK503,NA()),NA())</f>
        <v>#N/A</v>
      </c>
      <c r="AO503" s="14"/>
      <c r="AP503" s="14"/>
      <c r="AQ503" s="14"/>
      <c r="AR503" s="14"/>
      <c r="AS503" s="14"/>
      <c r="AT503" s="14"/>
      <c r="AU503" s="14"/>
      <c r="AV503" s="14"/>
      <c r="AW503" s="14"/>
      <c r="AX503" s="14"/>
      <c r="AY503" s="14"/>
      <c r="AZ503" s="14"/>
      <c r="BA503" s="14"/>
      <c r="BB503" s="14"/>
      <c r="BC503" s="14"/>
      <c r="BD503" s="14"/>
      <c r="BE503" s="14"/>
      <c r="BF503" s="14"/>
      <c r="BG503" s="14"/>
      <c r="BH503" s="14"/>
      <c r="BI503" s="14"/>
    </row>
    <row r="504" spans="1:61">
      <c r="A504" s="14"/>
      <c r="B504" s="14"/>
      <c r="C504" s="14"/>
      <c r="D504" s="167"/>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t="e">
        <f>IF('Stock Data'!$H$2,IF(ISNUMBER(AK504),AK504,NA()),NA())</f>
        <v>#N/A</v>
      </c>
      <c r="AO504" s="14"/>
      <c r="AP504" s="14"/>
      <c r="AQ504" s="14"/>
      <c r="AR504" s="14"/>
      <c r="AS504" s="14"/>
      <c r="AT504" s="14"/>
      <c r="AU504" s="14"/>
      <c r="AV504" s="14"/>
      <c r="AW504" s="14"/>
      <c r="AX504" s="14"/>
      <c r="AY504" s="14"/>
      <c r="AZ504" s="14"/>
      <c r="BA504" s="14"/>
      <c r="BB504" s="14"/>
      <c r="BC504" s="14"/>
      <c r="BD504" s="14"/>
      <c r="BE504" s="14"/>
      <c r="BF504" s="14"/>
      <c r="BG504" s="14"/>
      <c r="BH504" s="14"/>
      <c r="BI504" s="14"/>
    </row>
    <row r="505" spans="1:61">
      <c r="A505" s="14"/>
      <c r="B505" s="14"/>
      <c r="C505" s="14"/>
      <c r="D505" s="167"/>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t="e">
        <f>IF('Stock Data'!$H$2,IF(ISNUMBER(AK505),AK505,NA()),NA())</f>
        <v>#N/A</v>
      </c>
      <c r="AO505" s="14"/>
      <c r="AP505" s="14"/>
      <c r="AQ505" s="14"/>
      <c r="AR505" s="14"/>
      <c r="AS505" s="14"/>
      <c r="AT505" s="14"/>
      <c r="AU505" s="14"/>
      <c r="AV505" s="14"/>
      <c r="AW505" s="14"/>
      <c r="AX505" s="14"/>
      <c r="AY505" s="14"/>
      <c r="AZ505" s="14"/>
      <c r="BA505" s="14"/>
      <c r="BB505" s="14"/>
      <c r="BC505" s="14"/>
      <c r="BD505" s="14"/>
      <c r="BE505" s="14"/>
      <c r="BF505" s="14"/>
      <c r="BG505" s="14"/>
      <c r="BH505" s="14"/>
      <c r="BI505" s="14"/>
    </row>
    <row r="506" spans="1:61">
      <c r="A506" s="14"/>
      <c r="B506" s="14"/>
      <c r="C506" s="14"/>
      <c r="D506" s="167"/>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t="e">
        <f>IF('Stock Data'!$H$2,IF(ISNUMBER(AK506),AK506,NA()),NA())</f>
        <v>#N/A</v>
      </c>
      <c r="AO506" s="14"/>
      <c r="AP506" s="14"/>
      <c r="AQ506" s="14"/>
      <c r="AR506" s="14"/>
      <c r="AS506" s="14"/>
      <c r="AT506" s="14"/>
      <c r="AU506" s="14"/>
      <c r="AV506" s="14"/>
      <c r="AW506" s="14"/>
      <c r="AX506" s="14"/>
      <c r="AY506" s="14"/>
      <c r="AZ506" s="14"/>
      <c r="BA506" s="14"/>
      <c r="BB506" s="14"/>
      <c r="BC506" s="14"/>
      <c r="BD506" s="14"/>
      <c r="BE506" s="14"/>
      <c r="BF506" s="14"/>
      <c r="BG506" s="14"/>
      <c r="BH506" s="14"/>
      <c r="BI506" s="14"/>
    </row>
    <row r="507" spans="1:61">
      <c r="A507" s="14"/>
      <c r="B507" s="14"/>
      <c r="C507" s="14"/>
      <c r="D507" s="167"/>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t="e">
        <f>IF('Stock Data'!$H$2,IF(ISNUMBER(AK507),AK507,NA()),NA())</f>
        <v>#N/A</v>
      </c>
      <c r="AO507" s="14"/>
      <c r="AP507" s="14"/>
      <c r="AQ507" s="14"/>
      <c r="AR507" s="14"/>
      <c r="AS507" s="14"/>
      <c r="AT507" s="14"/>
      <c r="AU507" s="14"/>
      <c r="AV507" s="14"/>
      <c r="AW507" s="14"/>
      <c r="AX507" s="14"/>
      <c r="AY507" s="14"/>
      <c r="AZ507" s="14"/>
      <c r="BA507" s="14"/>
      <c r="BB507" s="14"/>
      <c r="BC507" s="14"/>
      <c r="BD507" s="14"/>
      <c r="BE507" s="14"/>
      <c r="BF507" s="14"/>
      <c r="BG507" s="14"/>
      <c r="BH507" s="14"/>
      <c r="BI507" s="14"/>
    </row>
    <row r="508" spans="1:61">
      <c r="A508" s="14"/>
      <c r="B508" s="14"/>
      <c r="C508" s="14"/>
      <c r="D508" s="167"/>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t="e">
        <f>IF('Stock Data'!$H$2,IF(ISNUMBER(AK508),AK508,NA()),NA())</f>
        <v>#N/A</v>
      </c>
      <c r="AO508" s="14"/>
      <c r="AP508" s="14"/>
      <c r="AQ508" s="14"/>
      <c r="AR508" s="14"/>
      <c r="AS508" s="14"/>
      <c r="AT508" s="14"/>
      <c r="AU508" s="14"/>
      <c r="AV508" s="14"/>
      <c r="AW508" s="14"/>
      <c r="AX508" s="14"/>
      <c r="AY508" s="14"/>
      <c r="AZ508" s="14"/>
      <c r="BA508" s="14"/>
      <c r="BB508" s="14"/>
      <c r="BC508" s="14"/>
      <c r="BD508" s="14"/>
      <c r="BE508" s="14"/>
      <c r="BF508" s="14"/>
      <c r="BG508" s="14"/>
      <c r="BH508" s="14"/>
      <c r="BI508" s="14"/>
    </row>
    <row r="509" spans="1:61">
      <c r="A509" s="14"/>
      <c r="B509" s="14"/>
      <c r="C509" s="14"/>
      <c r="D509" s="167"/>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t="e">
        <f>IF('Stock Data'!$H$2,IF(ISNUMBER(AK509),AK509,NA()),NA())</f>
        <v>#N/A</v>
      </c>
      <c r="AO509" s="14"/>
      <c r="AP509" s="14"/>
      <c r="AQ509" s="14"/>
      <c r="AR509" s="14"/>
      <c r="AS509" s="14"/>
      <c r="AT509" s="14"/>
      <c r="AU509" s="14"/>
      <c r="AV509" s="14"/>
      <c r="AW509" s="14"/>
      <c r="AX509" s="14"/>
      <c r="AY509" s="14"/>
      <c r="AZ509" s="14"/>
      <c r="BA509" s="14"/>
      <c r="BB509" s="14"/>
      <c r="BC509" s="14"/>
      <c r="BD509" s="14"/>
      <c r="BE509" s="14"/>
      <c r="BF509" s="14"/>
      <c r="BG509" s="14"/>
      <c r="BH509" s="14"/>
      <c r="BI509" s="14"/>
    </row>
    <row r="510" spans="1:61">
      <c r="A510" s="14"/>
      <c r="B510" s="14"/>
      <c r="C510" s="14"/>
      <c r="D510" s="167"/>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t="e">
        <f>IF('Stock Data'!$H$2,IF(ISNUMBER(AK510),AK510,NA()),NA())</f>
        <v>#N/A</v>
      </c>
      <c r="AO510" s="14"/>
      <c r="AP510" s="14"/>
      <c r="AQ510" s="14"/>
      <c r="AR510" s="14"/>
      <c r="AS510" s="14"/>
      <c r="AT510" s="14"/>
      <c r="AU510" s="14"/>
      <c r="AV510" s="14"/>
      <c r="AW510" s="14"/>
      <c r="AX510" s="14"/>
      <c r="AY510" s="14"/>
      <c r="AZ510" s="14"/>
      <c r="BA510" s="14"/>
      <c r="BB510" s="14"/>
      <c r="BC510" s="14"/>
      <c r="BD510" s="14"/>
      <c r="BE510" s="14"/>
      <c r="BF510" s="14"/>
      <c r="BG510" s="14"/>
      <c r="BH510" s="14"/>
      <c r="BI510" s="14"/>
    </row>
    <row r="511" spans="1:61">
      <c r="A511" s="14"/>
      <c r="B511" s="14"/>
      <c r="C511" s="14"/>
      <c r="D511" s="167"/>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t="e">
        <f>IF('Stock Data'!$H$2,IF(ISNUMBER(AK511),AK511,NA()),NA())</f>
        <v>#N/A</v>
      </c>
      <c r="AO511" s="14"/>
      <c r="AP511" s="14"/>
      <c r="AQ511" s="14"/>
      <c r="AR511" s="14"/>
      <c r="AS511" s="14"/>
      <c r="AT511" s="14"/>
      <c r="AU511" s="14"/>
      <c r="AV511" s="14"/>
      <c r="AW511" s="14"/>
      <c r="AX511" s="14"/>
      <c r="AY511" s="14"/>
      <c r="AZ511" s="14"/>
      <c r="BA511" s="14"/>
      <c r="BB511" s="14"/>
      <c r="BC511" s="14"/>
      <c r="BD511" s="14"/>
      <c r="BE511" s="14"/>
      <c r="BF511" s="14"/>
      <c r="BG511" s="14"/>
      <c r="BH511" s="14"/>
      <c r="BI511" s="14"/>
    </row>
    <row r="512" spans="1:61">
      <c r="A512" s="14"/>
      <c r="B512" s="14"/>
      <c r="C512" s="14"/>
      <c r="D512" s="167"/>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t="e">
        <f>IF('Stock Data'!$H$2,IF(ISNUMBER(AK512),AK512,NA()),NA())</f>
        <v>#N/A</v>
      </c>
      <c r="AO512" s="14"/>
      <c r="AP512" s="14"/>
      <c r="AQ512" s="14"/>
      <c r="AR512" s="14"/>
      <c r="AS512" s="14"/>
      <c r="AT512" s="14"/>
      <c r="AU512" s="14"/>
      <c r="AV512" s="14"/>
      <c r="AW512" s="14"/>
      <c r="AX512" s="14"/>
      <c r="AY512" s="14"/>
      <c r="AZ512" s="14"/>
      <c r="BA512" s="14"/>
      <c r="BB512" s="14"/>
      <c r="BC512" s="14"/>
      <c r="BD512" s="14"/>
      <c r="BE512" s="14"/>
      <c r="BF512" s="14"/>
      <c r="BG512" s="14"/>
      <c r="BH512" s="14"/>
      <c r="BI512" s="14"/>
    </row>
    <row r="513" spans="1:61">
      <c r="A513" s="14"/>
      <c r="B513" s="14"/>
      <c r="C513" s="14"/>
      <c r="D513" s="167"/>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t="e">
        <f>IF('Stock Data'!$H$2,IF(ISNUMBER(AK513),AK513,NA()),NA())</f>
        <v>#N/A</v>
      </c>
      <c r="AO513" s="14"/>
      <c r="AP513" s="14"/>
      <c r="AQ513" s="14"/>
      <c r="AR513" s="14"/>
      <c r="AS513" s="14"/>
      <c r="AT513" s="14"/>
      <c r="AU513" s="14"/>
      <c r="AV513" s="14"/>
      <c r="AW513" s="14"/>
      <c r="AX513" s="14"/>
      <c r="AY513" s="14"/>
      <c r="AZ513" s="14"/>
      <c r="BA513" s="14"/>
      <c r="BB513" s="14"/>
      <c r="BC513" s="14"/>
      <c r="BD513" s="14"/>
      <c r="BE513" s="14"/>
      <c r="BF513" s="14"/>
      <c r="BG513" s="14"/>
      <c r="BH513" s="14"/>
      <c r="BI513" s="14"/>
    </row>
    <row r="514" spans="1:61">
      <c r="A514" s="14"/>
      <c r="B514" s="14"/>
      <c r="C514" s="14"/>
      <c r="D514" s="167"/>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t="e">
        <f>IF('Stock Data'!$H$2,IF(ISNUMBER(AK514),AK514,NA()),NA())</f>
        <v>#N/A</v>
      </c>
      <c r="AO514" s="14"/>
      <c r="AP514" s="14"/>
      <c r="AQ514" s="14"/>
      <c r="AR514" s="14"/>
      <c r="AS514" s="14"/>
      <c r="AT514" s="14"/>
      <c r="AU514" s="14"/>
      <c r="AV514" s="14"/>
      <c r="AW514" s="14"/>
      <c r="AX514" s="14"/>
      <c r="AY514" s="14"/>
      <c r="AZ514" s="14"/>
      <c r="BA514" s="14"/>
      <c r="BB514" s="14"/>
      <c r="BC514" s="14"/>
      <c r="BD514" s="14"/>
      <c r="BE514" s="14"/>
      <c r="BF514" s="14"/>
      <c r="BG514" s="14"/>
      <c r="BH514" s="14"/>
      <c r="BI514" s="14"/>
    </row>
    <row r="515" spans="1:61">
      <c r="A515" s="14"/>
      <c r="B515" s="14"/>
      <c r="C515" s="14"/>
      <c r="D515" s="167"/>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t="e">
        <f>IF('Stock Data'!$H$2,IF(ISNUMBER(AK515),AK515,NA()),NA())</f>
        <v>#N/A</v>
      </c>
      <c r="AO515" s="14"/>
      <c r="AP515" s="14"/>
      <c r="AQ515" s="14"/>
      <c r="AR515" s="14"/>
      <c r="AS515" s="14"/>
      <c r="AT515" s="14"/>
      <c r="AU515" s="14"/>
      <c r="AV515" s="14"/>
      <c r="AW515" s="14"/>
      <c r="AX515" s="14"/>
      <c r="AY515" s="14"/>
      <c r="AZ515" s="14"/>
      <c r="BA515" s="14"/>
      <c r="BB515" s="14"/>
      <c r="BC515" s="14"/>
      <c r="BD515" s="14"/>
      <c r="BE515" s="14"/>
      <c r="BF515" s="14"/>
      <c r="BG515" s="14"/>
      <c r="BH515" s="14"/>
      <c r="BI515" s="14"/>
    </row>
    <row r="516" spans="1:61">
      <c r="A516" s="14"/>
      <c r="B516" s="14"/>
      <c r="C516" s="14"/>
      <c r="D516" s="167"/>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t="e">
        <f>IF('Stock Data'!$H$2,IF(ISNUMBER(AK516),AK516,NA()),NA())</f>
        <v>#N/A</v>
      </c>
      <c r="AO516" s="14"/>
      <c r="AP516" s="14"/>
      <c r="AQ516" s="14"/>
      <c r="AR516" s="14"/>
      <c r="AS516" s="14"/>
      <c r="AT516" s="14"/>
      <c r="AU516" s="14"/>
      <c r="AV516" s="14"/>
      <c r="AW516" s="14"/>
      <c r="AX516" s="14"/>
      <c r="AY516" s="14"/>
      <c r="AZ516" s="14"/>
      <c r="BA516" s="14"/>
      <c r="BB516" s="14"/>
      <c r="BC516" s="14"/>
      <c r="BD516" s="14"/>
      <c r="BE516" s="14"/>
      <c r="BF516" s="14"/>
      <c r="BG516" s="14"/>
      <c r="BH516" s="14"/>
      <c r="BI516" s="14"/>
    </row>
    <row r="517" spans="1:61">
      <c r="A517" s="14"/>
      <c r="B517" s="14"/>
      <c r="C517" s="14"/>
      <c r="D517" s="167"/>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t="e">
        <f>IF('Stock Data'!$H$2,IF(ISNUMBER(AK517),AK517,NA()),NA())</f>
        <v>#N/A</v>
      </c>
      <c r="AO517" s="14"/>
      <c r="AP517" s="14"/>
      <c r="AQ517" s="14"/>
      <c r="AR517" s="14"/>
      <c r="AS517" s="14"/>
      <c r="AT517" s="14"/>
      <c r="AU517" s="14"/>
      <c r="AV517" s="14"/>
      <c r="AW517" s="14"/>
      <c r="AX517" s="14"/>
      <c r="AY517" s="14"/>
      <c r="AZ517" s="14"/>
      <c r="BA517" s="14"/>
      <c r="BB517" s="14"/>
      <c r="BC517" s="14"/>
      <c r="BD517" s="14"/>
      <c r="BE517" s="14"/>
      <c r="BF517" s="14"/>
      <c r="BG517" s="14"/>
      <c r="BH517" s="14"/>
      <c r="BI517" s="14"/>
    </row>
    <row r="518" spans="1:61">
      <c r="A518" s="14"/>
      <c r="B518" s="14"/>
      <c r="C518" s="14"/>
      <c r="D518" s="167"/>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t="e">
        <f>IF('Stock Data'!$H$2,IF(ISNUMBER(AK518),AK518,NA()),NA())</f>
        <v>#N/A</v>
      </c>
      <c r="AO518" s="14"/>
      <c r="AP518" s="14"/>
      <c r="AQ518" s="14"/>
      <c r="AR518" s="14"/>
      <c r="AS518" s="14"/>
      <c r="AT518" s="14"/>
      <c r="AU518" s="14"/>
      <c r="AV518" s="14"/>
      <c r="AW518" s="14"/>
      <c r="AX518" s="14"/>
      <c r="AY518" s="14"/>
      <c r="AZ518" s="14"/>
      <c r="BA518" s="14"/>
      <c r="BB518" s="14"/>
      <c r="BC518" s="14"/>
      <c r="BD518" s="14"/>
      <c r="BE518" s="14"/>
      <c r="BF518" s="14"/>
      <c r="BG518" s="14"/>
      <c r="BH518" s="14"/>
      <c r="BI518" s="14"/>
    </row>
    <row r="519" spans="1:61">
      <c r="A519" s="14"/>
      <c r="B519" s="14"/>
      <c r="C519" s="14"/>
      <c r="D519" s="167"/>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t="e">
        <f>IF('Stock Data'!$H$2,IF(ISNUMBER(AK519),AK519,NA()),NA())</f>
        <v>#N/A</v>
      </c>
      <c r="AO519" s="14"/>
      <c r="AP519" s="14"/>
      <c r="AQ519" s="14"/>
      <c r="AR519" s="14"/>
      <c r="AS519" s="14"/>
      <c r="AT519" s="14"/>
      <c r="AU519" s="14"/>
      <c r="AV519" s="14"/>
      <c r="AW519" s="14"/>
      <c r="AX519" s="14"/>
      <c r="AY519" s="14"/>
      <c r="AZ519" s="14"/>
      <c r="BA519" s="14"/>
      <c r="BB519" s="14"/>
      <c r="BC519" s="14"/>
      <c r="BD519" s="14"/>
      <c r="BE519" s="14"/>
      <c r="BF519" s="14"/>
      <c r="BG519" s="14"/>
      <c r="BH519" s="14"/>
      <c r="BI519" s="14"/>
    </row>
    <row r="520" spans="1:61">
      <c r="A520" s="14"/>
      <c r="B520" s="14"/>
      <c r="C520" s="14"/>
      <c r="D520" s="167"/>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t="e">
        <f>IF('Stock Data'!$H$2,IF(ISNUMBER(AK520),AK520,NA()),NA())</f>
        <v>#N/A</v>
      </c>
      <c r="AO520" s="14"/>
      <c r="AP520" s="14"/>
      <c r="AQ520" s="14"/>
      <c r="AR520" s="14"/>
      <c r="AS520" s="14"/>
      <c r="AT520" s="14"/>
      <c r="AU520" s="14"/>
      <c r="AV520" s="14"/>
      <c r="AW520" s="14"/>
      <c r="AX520" s="14"/>
      <c r="AY520" s="14"/>
      <c r="AZ520" s="14"/>
      <c r="BA520" s="14"/>
      <c r="BB520" s="14"/>
      <c r="BC520" s="14"/>
      <c r="BD520" s="14"/>
      <c r="BE520" s="14"/>
      <c r="BF520" s="14"/>
      <c r="BG520" s="14"/>
      <c r="BH520" s="14"/>
      <c r="BI520" s="14"/>
    </row>
    <row r="521" spans="1:61">
      <c r="A521" s="14"/>
      <c r="B521" s="14"/>
      <c r="C521" s="14"/>
      <c r="D521" s="167"/>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t="e">
        <f>IF('Stock Data'!$H$2,IF(ISNUMBER(AK521),AK521,NA()),NA())</f>
        <v>#N/A</v>
      </c>
      <c r="AO521" s="14"/>
      <c r="AP521" s="14"/>
      <c r="AQ521" s="14"/>
      <c r="AR521" s="14"/>
      <c r="AS521" s="14"/>
      <c r="AT521" s="14"/>
      <c r="AU521" s="14"/>
      <c r="AV521" s="14"/>
      <c r="AW521" s="14"/>
      <c r="AX521" s="14"/>
      <c r="AY521" s="14"/>
      <c r="AZ521" s="14"/>
      <c r="BA521" s="14"/>
      <c r="BB521" s="14"/>
      <c r="BC521" s="14"/>
      <c r="BD521" s="14"/>
      <c r="BE521" s="14"/>
      <c r="BF521" s="14"/>
      <c r="BG521" s="14"/>
      <c r="BH521" s="14"/>
      <c r="BI521" s="14"/>
    </row>
    <row r="522" spans="1:61">
      <c r="A522" s="14"/>
      <c r="B522" s="14"/>
      <c r="C522" s="14"/>
      <c r="D522" s="167"/>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t="e">
        <f>IF('Stock Data'!$H$2,IF(ISNUMBER(AK522),AK522,NA()),NA())</f>
        <v>#N/A</v>
      </c>
      <c r="AO522" s="14"/>
      <c r="AP522" s="14"/>
      <c r="AQ522" s="14"/>
      <c r="AR522" s="14"/>
      <c r="AS522" s="14"/>
      <c r="AT522" s="14"/>
      <c r="AU522" s="14"/>
      <c r="AV522" s="14"/>
      <c r="AW522" s="14"/>
      <c r="AX522" s="14"/>
      <c r="AY522" s="14"/>
      <c r="AZ522" s="14"/>
      <c r="BA522" s="14"/>
      <c r="BB522" s="14"/>
      <c r="BC522" s="14"/>
      <c r="BD522" s="14"/>
      <c r="BE522" s="14"/>
      <c r="BF522" s="14"/>
      <c r="BG522" s="14"/>
      <c r="BH522" s="14"/>
      <c r="BI522" s="14"/>
    </row>
    <row r="523" spans="1:61">
      <c r="A523" s="14"/>
      <c r="B523" s="14"/>
      <c r="C523" s="14"/>
      <c r="D523" s="167"/>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t="e">
        <f>IF('Stock Data'!$H$2,IF(ISNUMBER(AK523),AK523,NA()),NA())</f>
        <v>#N/A</v>
      </c>
      <c r="AO523" s="14"/>
      <c r="AP523" s="14"/>
      <c r="AQ523" s="14"/>
      <c r="AR523" s="14"/>
      <c r="AS523" s="14"/>
      <c r="AT523" s="14"/>
      <c r="AU523" s="14"/>
      <c r="AV523" s="14"/>
      <c r="AW523" s="14"/>
      <c r="AX523" s="14"/>
      <c r="AY523" s="14"/>
      <c r="AZ523" s="14"/>
      <c r="BA523" s="14"/>
      <c r="BB523" s="14"/>
      <c r="BC523" s="14"/>
      <c r="BD523" s="14"/>
      <c r="BE523" s="14"/>
      <c r="BF523" s="14"/>
      <c r="BG523" s="14"/>
      <c r="BH523" s="14"/>
      <c r="BI523" s="14"/>
    </row>
    <row r="524" spans="1:61">
      <c r="A524" s="14"/>
      <c r="B524" s="14"/>
      <c r="C524" s="14"/>
      <c r="D524" s="167"/>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t="e">
        <f>IF('Stock Data'!$H$2,IF(ISNUMBER(AK524),AK524,NA()),NA())</f>
        <v>#N/A</v>
      </c>
      <c r="AO524" s="14"/>
      <c r="AP524" s="14"/>
      <c r="AQ524" s="14"/>
      <c r="AR524" s="14"/>
      <c r="AS524" s="14"/>
      <c r="AT524" s="14"/>
      <c r="AU524" s="14"/>
      <c r="AV524" s="14"/>
      <c r="AW524" s="14"/>
      <c r="AX524" s="14"/>
      <c r="AY524" s="14"/>
      <c r="AZ524" s="14"/>
      <c r="BA524" s="14"/>
      <c r="BB524" s="14"/>
      <c r="BC524" s="14"/>
      <c r="BD524" s="14"/>
      <c r="BE524" s="14"/>
      <c r="BF524" s="14"/>
      <c r="BG524" s="14"/>
      <c r="BH524" s="14"/>
      <c r="BI524" s="14"/>
    </row>
    <row r="525" spans="1:61">
      <c r="A525" s="14"/>
      <c r="B525" s="14"/>
      <c r="C525" s="14"/>
      <c r="D525" s="167"/>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t="e">
        <f>IF('Stock Data'!$H$2,IF(ISNUMBER(AK525),AK525,NA()),NA())</f>
        <v>#N/A</v>
      </c>
      <c r="AO525" s="14"/>
      <c r="AP525" s="14"/>
      <c r="AQ525" s="14"/>
      <c r="AR525" s="14"/>
      <c r="AS525" s="14"/>
      <c r="AT525" s="14"/>
      <c r="AU525" s="14"/>
      <c r="AV525" s="14"/>
      <c r="AW525" s="14"/>
      <c r="AX525" s="14"/>
      <c r="AY525" s="14"/>
      <c r="AZ525" s="14"/>
      <c r="BA525" s="14"/>
      <c r="BB525" s="14"/>
      <c r="BC525" s="14"/>
      <c r="BD525" s="14"/>
      <c r="BE525" s="14"/>
      <c r="BF525" s="14"/>
      <c r="BG525" s="14"/>
      <c r="BH525" s="14"/>
      <c r="BI525" s="14"/>
    </row>
    <row r="526" spans="1:61">
      <c r="A526" s="14"/>
      <c r="B526" s="14"/>
      <c r="C526" s="14"/>
      <c r="D526" s="167"/>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t="e">
        <f>IF('Stock Data'!$H$2,IF(ISNUMBER(AK526),AK526,NA()),NA())</f>
        <v>#N/A</v>
      </c>
      <c r="AO526" s="14"/>
      <c r="AP526" s="14"/>
      <c r="AQ526" s="14"/>
      <c r="AR526" s="14"/>
      <c r="AS526" s="14"/>
      <c r="AT526" s="14"/>
      <c r="AU526" s="14"/>
      <c r="AV526" s="14"/>
      <c r="AW526" s="14"/>
      <c r="AX526" s="14"/>
      <c r="AY526" s="14"/>
      <c r="AZ526" s="14"/>
      <c r="BA526" s="14"/>
      <c r="BB526" s="14"/>
      <c r="BC526" s="14"/>
      <c r="BD526" s="14"/>
      <c r="BE526" s="14"/>
      <c r="BF526" s="14"/>
      <c r="BG526" s="14"/>
      <c r="BH526" s="14"/>
      <c r="BI526" s="14"/>
    </row>
    <row r="527" spans="1:61">
      <c r="A527" s="14"/>
      <c r="B527" s="14"/>
      <c r="C527" s="14"/>
      <c r="D527" s="167"/>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t="e">
        <f>IF('Stock Data'!$H$2,IF(ISNUMBER(AK527),AK527,NA()),NA())</f>
        <v>#N/A</v>
      </c>
      <c r="AO527" s="14"/>
      <c r="AP527" s="14"/>
      <c r="AQ527" s="14"/>
      <c r="AR527" s="14"/>
      <c r="AS527" s="14"/>
      <c r="AT527" s="14"/>
      <c r="AU527" s="14"/>
      <c r="AV527" s="14"/>
      <c r="AW527" s="14"/>
      <c r="AX527" s="14"/>
      <c r="AY527" s="14"/>
      <c r="AZ527" s="14"/>
      <c r="BA527" s="14"/>
      <c r="BB527" s="14"/>
      <c r="BC527" s="14"/>
      <c r="BD527" s="14"/>
      <c r="BE527" s="14"/>
      <c r="BF527" s="14"/>
      <c r="BG527" s="14"/>
      <c r="BH527" s="14"/>
      <c r="BI527" s="14"/>
    </row>
    <row r="528" spans="1:61">
      <c r="A528" s="14"/>
      <c r="B528" s="14"/>
      <c r="C528" s="14"/>
      <c r="D528" s="167"/>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t="e">
        <f>IF('Stock Data'!$H$2,IF(ISNUMBER(AK528),AK528,NA()),NA())</f>
        <v>#N/A</v>
      </c>
      <c r="AO528" s="14"/>
      <c r="AP528" s="14"/>
      <c r="AQ528" s="14"/>
      <c r="AR528" s="14"/>
      <c r="AS528" s="14"/>
      <c r="AT528" s="14"/>
      <c r="AU528" s="14"/>
      <c r="AV528" s="14"/>
      <c r="AW528" s="14"/>
      <c r="AX528" s="14"/>
      <c r="AY528" s="14"/>
      <c r="AZ528" s="14"/>
      <c r="BA528" s="14"/>
      <c r="BB528" s="14"/>
      <c r="BC528" s="14"/>
      <c r="BD528" s="14"/>
      <c r="BE528" s="14"/>
      <c r="BF528" s="14"/>
      <c r="BG528" s="14"/>
      <c r="BH528" s="14"/>
      <c r="BI528" s="14"/>
    </row>
    <row r="529" spans="1:61">
      <c r="A529" s="14"/>
      <c r="B529" s="14"/>
      <c r="C529" s="14"/>
      <c r="D529" s="167"/>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t="e">
        <f>IF('Stock Data'!$H$2,IF(ISNUMBER(AK529),AK529,NA()),NA())</f>
        <v>#N/A</v>
      </c>
      <c r="AO529" s="14"/>
      <c r="AP529" s="14"/>
      <c r="AQ529" s="14"/>
      <c r="AR529" s="14"/>
      <c r="AS529" s="14"/>
      <c r="AT529" s="14"/>
      <c r="AU529" s="14"/>
      <c r="AV529" s="14"/>
      <c r="AW529" s="14"/>
      <c r="AX529" s="14"/>
      <c r="AY529" s="14"/>
      <c r="AZ529" s="14"/>
      <c r="BA529" s="14"/>
      <c r="BB529" s="14"/>
      <c r="BC529" s="14"/>
      <c r="BD529" s="14"/>
      <c r="BE529" s="14"/>
      <c r="BF529" s="14"/>
      <c r="BG529" s="14"/>
      <c r="BH529" s="14"/>
      <c r="BI529" s="14"/>
    </row>
    <row r="530" spans="1:61">
      <c r="A530" s="14"/>
      <c r="B530" s="14"/>
      <c r="C530" s="14"/>
      <c r="D530" s="167"/>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t="e">
        <f>IF('Stock Data'!$H$2,IF(ISNUMBER(AK530),AK530,NA()),NA())</f>
        <v>#N/A</v>
      </c>
      <c r="AO530" s="14"/>
      <c r="AP530" s="14"/>
      <c r="AQ530" s="14"/>
      <c r="AR530" s="14"/>
      <c r="AS530" s="14"/>
      <c r="AT530" s="14"/>
      <c r="AU530" s="14"/>
      <c r="AV530" s="14"/>
      <c r="AW530" s="14"/>
      <c r="AX530" s="14"/>
      <c r="AY530" s="14"/>
      <c r="AZ530" s="14"/>
      <c r="BA530" s="14"/>
      <c r="BB530" s="14"/>
      <c r="BC530" s="14"/>
      <c r="BD530" s="14"/>
      <c r="BE530" s="14"/>
      <c r="BF530" s="14"/>
      <c r="BG530" s="14"/>
      <c r="BH530" s="14"/>
      <c r="BI530" s="14"/>
    </row>
    <row r="531" spans="1:61">
      <c r="A531" s="14"/>
      <c r="B531" s="14"/>
      <c r="C531" s="14"/>
      <c r="D531" s="167"/>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t="e">
        <f>IF('Stock Data'!$H$2,IF(ISNUMBER(AK531),AK531,NA()),NA())</f>
        <v>#N/A</v>
      </c>
      <c r="AO531" s="14"/>
      <c r="AP531" s="14"/>
      <c r="AQ531" s="14"/>
      <c r="AR531" s="14"/>
      <c r="AS531" s="14"/>
      <c r="AT531" s="14"/>
      <c r="AU531" s="14"/>
      <c r="AV531" s="14"/>
      <c r="AW531" s="14"/>
      <c r="AX531" s="14"/>
      <c r="AY531" s="14"/>
      <c r="AZ531" s="14"/>
      <c r="BA531" s="14"/>
      <c r="BB531" s="14"/>
      <c r="BC531" s="14"/>
      <c r="BD531" s="14"/>
      <c r="BE531" s="14"/>
      <c r="BF531" s="14"/>
      <c r="BG531" s="14"/>
      <c r="BH531" s="14"/>
      <c r="BI531" s="14"/>
    </row>
    <row r="532" spans="1:61">
      <c r="A532" s="14"/>
      <c r="B532" s="14"/>
      <c r="C532" s="14"/>
      <c r="D532" s="167"/>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t="e">
        <f>IF('Stock Data'!$H$2,IF(ISNUMBER(AK532),AK532,NA()),NA())</f>
        <v>#N/A</v>
      </c>
      <c r="AO532" s="14"/>
      <c r="AP532" s="14"/>
      <c r="AQ532" s="14"/>
      <c r="AR532" s="14"/>
      <c r="AS532" s="14"/>
      <c r="AT532" s="14"/>
      <c r="AU532" s="14"/>
      <c r="AV532" s="14"/>
      <c r="AW532" s="14"/>
      <c r="AX532" s="14"/>
      <c r="AY532" s="14"/>
      <c r="AZ532" s="14"/>
      <c r="BA532" s="14"/>
      <c r="BB532" s="14"/>
      <c r="BC532" s="14"/>
      <c r="BD532" s="14"/>
      <c r="BE532" s="14"/>
      <c r="BF532" s="14"/>
      <c r="BG532" s="14"/>
      <c r="BH532" s="14"/>
      <c r="BI532" s="14"/>
    </row>
    <row r="533" spans="1:61">
      <c r="A533" s="14"/>
      <c r="B533" s="14"/>
      <c r="C533" s="14"/>
      <c r="D533" s="167"/>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t="e">
        <f>IF('Stock Data'!$H$2,IF(ISNUMBER(AK533),AK533,NA()),NA())</f>
        <v>#N/A</v>
      </c>
      <c r="AO533" s="14"/>
      <c r="AP533" s="14"/>
      <c r="AQ533" s="14"/>
      <c r="AR533" s="14"/>
      <c r="AS533" s="14"/>
      <c r="AT533" s="14"/>
      <c r="AU533" s="14"/>
      <c r="AV533" s="14"/>
      <c r="AW533" s="14"/>
      <c r="AX533" s="14"/>
      <c r="AY533" s="14"/>
      <c r="AZ533" s="14"/>
      <c r="BA533" s="14"/>
      <c r="BB533" s="14"/>
      <c r="BC533" s="14"/>
      <c r="BD533" s="14"/>
      <c r="BE533" s="14"/>
      <c r="BF533" s="14"/>
      <c r="BG533" s="14"/>
      <c r="BH533" s="14"/>
      <c r="BI533" s="14"/>
    </row>
    <row r="534" spans="1:61">
      <c r="A534" s="14"/>
      <c r="B534" s="14"/>
      <c r="C534" s="14"/>
      <c r="D534" s="167"/>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t="e">
        <f>IF('Stock Data'!$H$2,IF(ISNUMBER(AK534),AK534,NA()),NA())</f>
        <v>#N/A</v>
      </c>
      <c r="AO534" s="14"/>
      <c r="AP534" s="14"/>
      <c r="AQ534" s="14"/>
      <c r="AR534" s="14"/>
      <c r="AS534" s="14"/>
      <c r="AT534" s="14"/>
      <c r="AU534" s="14"/>
      <c r="AV534" s="14"/>
      <c r="AW534" s="14"/>
      <c r="AX534" s="14"/>
      <c r="AY534" s="14"/>
      <c r="AZ534" s="14"/>
      <c r="BA534" s="14"/>
      <c r="BB534" s="14"/>
      <c r="BC534" s="14"/>
      <c r="BD534" s="14"/>
      <c r="BE534" s="14"/>
      <c r="BF534" s="14"/>
      <c r="BG534" s="14"/>
      <c r="BH534" s="14"/>
      <c r="BI534" s="14"/>
    </row>
    <row r="535" spans="1:61">
      <c r="A535" s="14"/>
      <c r="B535" s="14"/>
      <c r="C535" s="14"/>
      <c r="D535" s="167"/>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t="e">
        <f>IF('Stock Data'!$H$2,IF(ISNUMBER(AK535),AK535,NA()),NA())</f>
        <v>#N/A</v>
      </c>
      <c r="AO535" s="14"/>
      <c r="AP535" s="14"/>
      <c r="AQ535" s="14"/>
      <c r="AR535" s="14"/>
      <c r="AS535" s="14"/>
      <c r="AT535" s="14"/>
      <c r="AU535" s="14"/>
      <c r="AV535" s="14"/>
      <c r="AW535" s="14"/>
      <c r="AX535" s="14"/>
      <c r="AY535" s="14"/>
      <c r="AZ535" s="14"/>
      <c r="BA535" s="14"/>
      <c r="BB535" s="14"/>
      <c r="BC535" s="14"/>
      <c r="BD535" s="14"/>
      <c r="BE535" s="14"/>
      <c r="BF535" s="14"/>
      <c r="BG535" s="14"/>
      <c r="BH535" s="14"/>
      <c r="BI535" s="14"/>
    </row>
    <row r="536" spans="1:61">
      <c r="A536" s="14"/>
      <c r="B536" s="14"/>
      <c r="C536" s="14"/>
      <c r="D536" s="167"/>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t="e">
        <f>IF('Stock Data'!$H$2,IF(ISNUMBER(AK536),AK536,NA()),NA())</f>
        <v>#N/A</v>
      </c>
      <c r="AO536" s="14"/>
      <c r="AP536" s="14"/>
      <c r="AQ536" s="14"/>
      <c r="AR536" s="14"/>
      <c r="AS536" s="14"/>
      <c r="AT536" s="14"/>
      <c r="AU536" s="14"/>
      <c r="AV536" s="14"/>
      <c r="AW536" s="14"/>
      <c r="AX536" s="14"/>
      <c r="AY536" s="14"/>
      <c r="AZ536" s="14"/>
      <c r="BA536" s="14"/>
      <c r="BB536" s="14"/>
      <c r="BC536" s="14"/>
      <c r="BD536" s="14"/>
      <c r="BE536" s="14"/>
      <c r="BF536" s="14"/>
      <c r="BG536" s="14"/>
      <c r="BH536" s="14"/>
      <c r="BI536" s="14"/>
    </row>
    <row r="537" spans="1:61">
      <c r="A537" s="14"/>
      <c r="B537" s="14"/>
      <c r="C537" s="14"/>
      <c r="D537" s="167"/>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t="e">
        <f>IF('Stock Data'!$H$2,IF(ISNUMBER(AK537),AK537,NA()),NA())</f>
        <v>#N/A</v>
      </c>
      <c r="AO537" s="14"/>
      <c r="AP537" s="14"/>
      <c r="AQ537" s="14"/>
      <c r="AR537" s="14"/>
      <c r="AS537" s="14"/>
      <c r="AT537" s="14"/>
      <c r="AU537" s="14"/>
      <c r="AV537" s="14"/>
      <c r="AW537" s="14"/>
      <c r="AX537" s="14"/>
      <c r="AY537" s="14"/>
      <c r="AZ537" s="14"/>
      <c r="BA537" s="14"/>
      <c r="BB537" s="14"/>
      <c r="BC537" s="14"/>
      <c r="BD537" s="14"/>
      <c r="BE537" s="14"/>
      <c r="BF537" s="14"/>
      <c r="BG537" s="14"/>
      <c r="BH537" s="14"/>
      <c r="BI537" s="14"/>
    </row>
    <row r="538" spans="1:61">
      <c r="A538" s="14"/>
      <c r="B538" s="14"/>
      <c r="C538" s="14"/>
      <c r="D538" s="167"/>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t="e">
        <f>IF('Stock Data'!$H$2,IF(ISNUMBER(AK538),AK538,NA()),NA())</f>
        <v>#N/A</v>
      </c>
      <c r="AO538" s="14"/>
      <c r="AP538" s="14"/>
      <c r="AQ538" s="14"/>
      <c r="AR538" s="14"/>
      <c r="AS538" s="14"/>
      <c r="AT538" s="14"/>
      <c r="AU538" s="14"/>
      <c r="AV538" s="14"/>
      <c r="AW538" s="14"/>
      <c r="AX538" s="14"/>
      <c r="AY538" s="14"/>
      <c r="AZ538" s="14"/>
      <c r="BA538" s="14"/>
      <c r="BB538" s="14"/>
      <c r="BC538" s="14"/>
      <c r="BD538" s="14"/>
      <c r="BE538" s="14"/>
      <c r="BF538" s="14"/>
      <c r="BG538" s="14"/>
      <c r="BH538" s="14"/>
      <c r="BI538" s="14"/>
    </row>
    <row r="539" spans="1:61">
      <c r="A539" s="14"/>
      <c r="B539" s="14"/>
      <c r="C539" s="14"/>
      <c r="D539" s="167"/>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t="e">
        <f>IF('Stock Data'!$H$2,IF(ISNUMBER(AK539),AK539,NA()),NA())</f>
        <v>#N/A</v>
      </c>
      <c r="AO539" s="14"/>
      <c r="AP539" s="14"/>
      <c r="AQ539" s="14"/>
      <c r="AR539" s="14"/>
      <c r="AS539" s="14"/>
      <c r="AT539" s="14"/>
      <c r="AU539" s="14"/>
      <c r="AV539" s="14"/>
      <c r="AW539" s="14"/>
      <c r="AX539" s="14"/>
      <c r="AY539" s="14"/>
      <c r="AZ539" s="14"/>
      <c r="BA539" s="14"/>
      <c r="BB539" s="14"/>
      <c r="BC539" s="14"/>
      <c r="BD539" s="14"/>
      <c r="BE539" s="14"/>
      <c r="BF539" s="14"/>
      <c r="BG539" s="14"/>
      <c r="BH539" s="14"/>
      <c r="BI539" s="14"/>
    </row>
    <row r="540" spans="1:61">
      <c r="A540" s="14"/>
      <c r="B540" s="14"/>
      <c r="C540" s="14"/>
      <c r="D540" s="167"/>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t="e">
        <f>IF('Stock Data'!$H$2,IF(ISNUMBER(AK540),AK540,NA()),NA())</f>
        <v>#N/A</v>
      </c>
      <c r="AO540" s="14"/>
      <c r="AP540" s="14"/>
      <c r="AQ540" s="14"/>
      <c r="AR540" s="14"/>
      <c r="AS540" s="14"/>
      <c r="AT540" s="14"/>
      <c r="AU540" s="14"/>
      <c r="AV540" s="14"/>
      <c r="AW540" s="14"/>
      <c r="AX540" s="14"/>
      <c r="AY540" s="14"/>
      <c r="AZ540" s="14"/>
      <c r="BA540" s="14"/>
      <c r="BB540" s="14"/>
      <c r="BC540" s="14"/>
      <c r="BD540" s="14"/>
      <c r="BE540" s="14"/>
      <c r="BF540" s="14"/>
      <c r="BG540" s="14"/>
      <c r="BH540" s="14"/>
      <c r="BI540" s="14"/>
    </row>
    <row r="541" spans="1:61">
      <c r="A541" s="14"/>
      <c r="B541" s="14"/>
      <c r="C541" s="14"/>
      <c r="D541" s="167"/>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t="e">
        <f>IF('Stock Data'!$H$2,IF(ISNUMBER(AK541),AK541,NA()),NA())</f>
        <v>#N/A</v>
      </c>
      <c r="AO541" s="14"/>
      <c r="AP541" s="14"/>
      <c r="AQ541" s="14"/>
      <c r="AR541" s="14"/>
      <c r="AS541" s="14"/>
      <c r="AT541" s="14"/>
      <c r="AU541" s="14"/>
      <c r="AV541" s="14"/>
      <c r="AW541" s="14"/>
      <c r="AX541" s="14"/>
      <c r="AY541" s="14"/>
      <c r="AZ541" s="14"/>
      <c r="BA541" s="14"/>
      <c r="BB541" s="14"/>
      <c r="BC541" s="14"/>
      <c r="BD541" s="14"/>
      <c r="BE541" s="14"/>
      <c r="BF541" s="14"/>
      <c r="BG541" s="14"/>
      <c r="BH541" s="14"/>
      <c r="BI541" s="14"/>
    </row>
    <row r="542" spans="1:61">
      <c r="A542" s="14"/>
      <c r="B542" s="14"/>
      <c r="C542" s="14"/>
      <c r="D542" s="167"/>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t="e">
        <f>IF('Stock Data'!$H$2,IF(ISNUMBER(AK542),AK542,NA()),NA())</f>
        <v>#N/A</v>
      </c>
      <c r="AO542" s="14"/>
      <c r="AP542" s="14"/>
      <c r="AQ542" s="14"/>
      <c r="AR542" s="14"/>
      <c r="AS542" s="14"/>
      <c r="AT542" s="14"/>
      <c r="AU542" s="14"/>
      <c r="AV542" s="14"/>
      <c r="AW542" s="14"/>
      <c r="AX542" s="14"/>
      <c r="AY542" s="14"/>
      <c r="AZ542" s="14"/>
      <c r="BA542" s="14"/>
      <c r="BB542" s="14"/>
      <c r="BC542" s="14"/>
      <c r="BD542" s="14"/>
      <c r="BE542" s="14"/>
      <c r="BF542" s="14"/>
      <c r="BG542" s="14"/>
      <c r="BH542" s="14"/>
      <c r="BI542" s="14"/>
    </row>
    <row r="543" spans="1:61">
      <c r="A543" s="14"/>
      <c r="B543" s="14"/>
      <c r="C543" s="14"/>
      <c r="D543" s="167"/>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t="e">
        <f>IF('Stock Data'!$H$2,IF(ISNUMBER(AK543),AK543,NA()),NA())</f>
        <v>#N/A</v>
      </c>
      <c r="AO543" s="14"/>
      <c r="AP543" s="14"/>
      <c r="AQ543" s="14"/>
      <c r="AR543" s="14"/>
      <c r="AS543" s="14"/>
      <c r="AT543" s="14"/>
      <c r="AU543" s="14"/>
      <c r="AV543" s="14"/>
      <c r="AW543" s="14"/>
      <c r="AX543" s="14"/>
      <c r="AY543" s="14"/>
      <c r="AZ543" s="14"/>
      <c r="BA543" s="14"/>
      <c r="BB543" s="14"/>
      <c r="BC543" s="14"/>
      <c r="BD543" s="14"/>
      <c r="BE543" s="14"/>
      <c r="BF543" s="14"/>
      <c r="BG543" s="14"/>
      <c r="BH543" s="14"/>
      <c r="BI543" s="14"/>
    </row>
    <row r="544" spans="1:61">
      <c r="A544" s="14"/>
      <c r="B544" s="14"/>
      <c r="C544" s="14"/>
      <c r="D544" s="167"/>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t="e">
        <f>IF('Stock Data'!$H$2,IF(ISNUMBER(AK544),AK544,NA()),NA())</f>
        <v>#N/A</v>
      </c>
      <c r="AO544" s="14"/>
      <c r="AP544" s="14"/>
      <c r="AQ544" s="14"/>
      <c r="AR544" s="14"/>
      <c r="AS544" s="14"/>
      <c r="AT544" s="14"/>
      <c r="AU544" s="14"/>
      <c r="AV544" s="14"/>
      <c r="AW544" s="14"/>
      <c r="AX544" s="14"/>
      <c r="AY544" s="14"/>
      <c r="AZ544" s="14"/>
      <c r="BA544" s="14"/>
      <c r="BB544" s="14"/>
      <c r="BC544" s="14"/>
      <c r="BD544" s="14"/>
      <c r="BE544" s="14"/>
      <c r="BF544" s="14"/>
      <c r="BG544" s="14"/>
      <c r="BH544" s="14"/>
      <c r="BI544" s="14"/>
    </row>
    <row r="545" spans="1:61">
      <c r="A545" s="14"/>
      <c r="B545" s="14"/>
      <c r="C545" s="14"/>
      <c r="D545" s="167"/>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t="e">
        <f>IF('Stock Data'!$H$2,IF(ISNUMBER(AK545),AK545,NA()),NA())</f>
        <v>#N/A</v>
      </c>
      <c r="AO545" s="14"/>
      <c r="AP545" s="14"/>
      <c r="AQ545" s="14"/>
      <c r="AR545" s="14"/>
      <c r="AS545" s="14"/>
      <c r="AT545" s="14"/>
      <c r="AU545" s="14"/>
      <c r="AV545" s="14"/>
      <c r="AW545" s="14"/>
      <c r="AX545" s="14"/>
      <c r="AY545" s="14"/>
      <c r="AZ545" s="14"/>
      <c r="BA545" s="14"/>
      <c r="BB545" s="14"/>
      <c r="BC545" s="14"/>
      <c r="BD545" s="14"/>
      <c r="BE545" s="14"/>
      <c r="BF545" s="14"/>
      <c r="BG545" s="14"/>
      <c r="BH545" s="14"/>
      <c r="BI545" s="14"/>
    </row>
    <row r="546" spans="1:61">
      <c r="A546" s="14"/>
      <c r="B546" s="14"/>
      <c r="C546" s="14"/>
      <c r="D546" s="167"/>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t="e">
        <f>IF('Stock Data'!$H$2,IF(ISNUMBER(AK546),AK546,NA()),NA())</f>
        <v>#N/A</v>
      </c>
      <c r="AO546" s="14"/>
      <c r="AP546" s="14"/>
      <c r="AQ546" s="14"/>
      <c r="AR546" s="14"/>
      <c r="AS546" s="14"/>
      <c r="AT546" s="14"/>
      <c r="AU546" s="14"/>
      <c r="AV546" s="14"/>
      <c r="AW546" s="14"/>
      <c r="AX546" s="14"/>
      <c r="AY546" s="14"/>
      <c r="AZ546" s="14"/>
      <c r="BA546" s="14"/>
      <c r="BB546" s="14"/>
      <c r="BC546" s="14"/>
      <c r="BD546" s="14"/>
      <c r="BE546" s="14"/>
      <c r="BF546" s="14"/>
      <c r="BG546" s="14"/>
      <c r="BH546" s="14"/>
      <c r="BI546" s="14"/>
    </row>
    <row r="547" spans="1:61">
      <c r="A547" s="14"/>
      <c r="B547" s="14"/>
      <c r="C547" s="14"/>
      <c r="D547" s="167"/>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t="e">
        <f>IF('Stock Data'!$H$2,IF(ISNUMBER(AK547),AK547,NA()),NA())</f>
        <v>#N/A</v>
      </c>
      <c r="AO547" s="14"/>
      <c r="AP547" s="14"/>
      <c r="AQ547" s="14"/>
      <c r="AR547" s="14"/>
      <c r="AS547" s="14"/>
      <c r="AT547" s="14"/>
      <c r="AU547" s="14"/>
      <c r="AV547" s="14"/>
      <c r="AW547" s="14"/>
      <c r="AX547" s="14"/>
      <c r="AY547" s="14"/>
      <c r="AZ547" s="14"/>
      <c r="BA547" s="14"/>
      <c r="BB547" s="14"/>
      <c r="BC547" s="14"/>
      <c r="BD547" s="14"/>
      <c r="BE547" s="14"/>
      <c r="BF547" s="14"/>
      <c r="BG547" s="14"/>
      <c r="BH547" s="14"/>
      <c r="BI547" s="14"/>
    </row>
    <row r="548" spans="1:61">
      <c r="A548" s="14"/>
      <c r="B548" s="14"/>
      <c r="C548" s="14"/>
      <c r="D548" s="167"/>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t="e">
        <f>IF('Stock Data'!$H$2,IF(ISNUMBER(AK548),AK548,NA()),NA())</f>
        <v>#N/A</v>
      </c>
      <c r="AO548" s="14"/>
      <c r="AP548" s="14"/>
      <c r="AQ548" s="14"/>
      <c r="AR548" s="14"/>
      <c r="AS548" s="14"/>
      <c r="AT548" s="14"/>
      <c r="AU548" s="14"/>
      <c r="AV548" s="14"/>
      <c r="AW548" s="14"/>
      <c r="AX548" s="14"/>
      <c r="AY548" s="14"/>
      <c r="AZ548" s="14"/>
      <c r="BA548" s="14"/>
      <c r="BB548" s="14"/>
      <c r="BC548" s="14"/>
      <c r="BD548" s="14"/>
      <c r="BE548" s="14"/>
      <c r="BF548" s="14"/>
      <c r="BG548" s="14"/>
      <c r="BH548" s="14"/>
      <c r="BI548" s="14"/>
    </row>
    <row r="549" spans="1:61">
      <c r="A549" s="14"/>
      <c r="B549" s="14"/>
      <c r="C549" s="14"/>
      <c r="D549" s="167"/>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t="e">
        <f>IF('Stock Data'!$H$2,IF(ISNUMBER(AK549),AK549,NA()),NA())</f>
        <v>#N/A</v>
      </c>
      <c r="AO549" s="14"/>
      <c r="AP549" s="14"/>
      <c r="AQ549" s="14"/>
      <c r="AR549" s="14"/>
      <c r="AS549" s="14"/>
      <c r="AT549" s="14"/>
      <c r="AU549" s="14"/>
      <c r="AV549" s="14"/>
      <c r="AW549" s="14"/>
      <c r="AX549" s="14"/>
      <c r="AY549" s="14"/>
      <c r="AZ549" s="14"/>
      <c r="BA549" s="14"/>
      <c r="BB549" s="14"/>
      <c r="BC549" s="14"/>
      <c r="BD549" s="14"/>
      <c r="BE549" s="14"/>
      <c r="BF549" s="14"/>
      <c r="BG549" s="14"/>
      <c r="BH549" s="14"/>
      <c r="BI549" s="14"/>
    </row>
    <row r="550" spans="1:61">
      <c r="A550" s="14"/>
      <c r="B550" s="14"/>
      <c r="C550" s="14"/>
      <c r="D550" s="167"/>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t="e">
        <f>IF('Stock Data'!$H$2,IF(ISNUMBER(AK550),AK550,NA()),NA())</f>
        <v>#N/A</v>
      </c>
      <c r="AO550" s="14"/>
      <c r="AP550" s="14"/>
      <c r="AQ550" s="14"/>
      <c r="AR550" s="14"/>
      <c r="AS550" s="14"/>
      <c r="AT550" s="14"/>
      <c r="AU550" s="14"/>
      <c r="AV550" s="14"/>
      <c r="AW550" s="14"/>
      <c r="AX550" s="14"/>
      <c r="AY550" s="14"/>
      <c r="AZ550" s="14"/>
      <c r="BA550" s="14"/>
      <c r="BB550" s="14"/>
      <c r="BC550" s="14"/>
      <c r="BD550" s="14"/>
      <c r="BE550" s="14"/>
      <c r="BF550" s="14"/>
      <c r="BG550" s="14"/>
      <c r="BH550" s="14"/>
      <c r="BI550" s="14"/>
    </row>
    <row r="551" spans="1:61">
      <c r="A551" s="14"/>
      <c r="B551" s="14"/>
      <c r="C551" s="14"/>
      <c r="D551" s="167"/>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t="e">
        <f>IF('Stock Data'!$H$2,IF(ISNUMBER(AK551),AK551,NA()),NA())</f>
        <v>#N/A</v>
      </c>
      <c r="AO551" s="14"/>
      <c r="AP551" s="14"/>
      <c r="AQ551" s="14"/>
      <c r="AR551" s="14"/>
      <c r="AS551" s="14"/>
      <c r="AT551" s="14"/>
      <c r="AU551" s="14"/>
      <c r="AV551" s="14"/>
      <c r="AW551" s="14"/>
      <c r="AX551" s="14"/>
      <c r="AY551" s="14"/>
      <c r="AZ551" s="14"/>
      <c r="BA551" s="14"/>
      <c r="BB551" s="14"/>
      <c r="BC551" s="14"/>
      <c r="BD551" s="14"/>
      <c r="BE551" s="14"/>
      <c r="BF551" s="14"/>
      <c r="BG551" s="14"/>
      <c r="BH551" s="14"/>
      <c r="BI551" s="14"/>
    </row>
    <row r="552" spans="1:61">
      <c r="A552" s="14"/>
      <c r="B552" s="14"/>
      <c r="C552" s="14"/>
      <c r="D552" s="167"/>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t="e">
        <f>IF('Stock Data'!$H$2,IF(ISNUMBER(AK552),AK552,NA()),NA())</f>
        <v>#N/A</v>
      </c>
      <c r="AO552" s="14"/>
      <c r="AP552" s="14"/>
      <c r="AQ552" s="14"/>
      <c r="AR552" s="14"/>
      <c r="AS552" s="14"/>
      <c r="AT552" s="14"/>
      <c r="AU552" s="14"/>
      <c r="AV552" s="14"/>
      <c r="AW552" s="14"/>
      <c r="AX552" s="14"/>
      <c r="AY552" s="14"/>
      <c r="AZ552" s="14"/>
      <c r="BA552" s="14"/>
      <c r="BB552" s="14"/>
      <c r="BC552" s="14"/>
      <c r="BD552" s="14"/>
      <c r="BE552" s="14"/>
      <c r="BF552" s="14"/>
      <c r="BG552" s="14"/>
      <c r="BH552" s="14"/>
      <c r="BI552" s="14"/>
    </row>
    <row r="553" spans="1:61">
      <c r="A553" s="14"/>
      <c r="B553" s="14"/>
      <c r="C553" s="14"/>
      <c r="D553" s="167"/>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t="e">
        <f>IF('Stock Data'!$H$2,IF(ISNUMBER(AK553),AK553,NA()),NA())</f>
        <v>#N/A</v>
      </c>
      <c r="AO553" s="14"/>
      <c r="AP553" s="14"/>
      <c r="AQ553" s="14"/>
      <c r="AR553" s="14"/>
      <c r="AS553" s="14"/>
      <c r="AT553" s="14"/>
      <c r="AU553" s="14"/>
      <c r="AV553" s="14"/>
      <c r="AW553" s="14"/>
      <c r="AX553" s="14"/>
      <c r="AY553" s="14"/>
      <c r="AZ553" s="14"/>
      <c r="BA553" s="14"/>
      <c r="BB553" s="14"/>
      <c r="BC553" s="14"/>
      <c r="BD553" s="14"/>
      <c r="BE553" s="14"/>
      <c r="BF553" s="14"/>
      <c r="BG553" s="14"/>
      <c r="BH553" s="14"/>
      <c r="BI553" s="14"/>
    </row>
    <row r="554" spans="1:61">
      <c r="A554" s="14"/>
      <c r="B554" s="14"/>
      <c r="C554" s="14"/>
      <c r="D554" s="167"/>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t="e">
        <f>IF('Stock Data'!$H$2,IF(ISNUMBER(AK554),AK554,NA()),NA())</f>
        <v>#N/A</v>
      </c>
      <c r="AO554" s="14"/>
      <c r="AP554" s="14"/>
      <c r="AQ554" s="14"/>
      <c r="AR554" s="14"/>
      <c r="AS554" s="14"/>
      <c r="AT554" s="14"/>
      <c r="AU554" s="14"/>
      <c r="AV554" s="14"/>
      <c r="AW554" s="14"/>
      <c r="AX554" s="14"/>
      <c r="AY554" s="14"/>
      <c r="AZ554" s="14"/>
      <c r="BA554" s="14"/>
      <c r="BB554" s="14"/>
      <c r="BC554" s="14"/>
      <c r="BD554" s="14"/>
      <c r="BE554" s="14"/>
      <c r="BF554" s="14"/>
      <c r="BG554" s="14"/>
      <c r="BH554" s="14"/>
      <c r="BI554" s="14"/>
    </row>
    <row r="555" spans="1:61">
      <c r="A555" s="14"/>
      <c r="B555" s="14"/>
      <c r="C555" s="14"/>
      <c r="D555" s="167"/>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t="e">
        <f>IF('Stock Data'!$H$2,IF(ISNUMBER(AK555),AK555,NA()),NA())</f>
        <v>#N/A</v>
      </c>
      <c r="AO555" s="14"/>
      <c r="AP555" s="14"/>
      <c r="AQ555" s="14"/>
      <c r="AR555" s="14"/>
      <c r="AS555" s="14"/>
      <c r="AT555" s="14"/>
      <c r="AU555" s="14"/>
      <c r="AV555" s="14"/>
      <c r="AW555" s="14"/>
      <c r="AX555" s="14"/>
      <c r="AY555" s="14"/>
      <c r="AZ555" s="14"/>
      <c r="BA555" s="14"/>
      <c r="BB555" s="14"/>
      <c r="BC555" s="14"/>
      <c r="BD555" s="14"/>
      <c r="BE555" s="14"/>
      <c r="BF555" s="14"/>
      <c r="BG555" s="14"/>
      <c r="BH555" s="14"/>
      <c r="BI555" s="14"/>
    </row>
    <row r="556" spans="1:61">
      <c r="A556" s="14"/>
      <c r="B556" s="14"/>
      <c r="C556" s="14"/>
      <c r="D556" s="167"/>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t="e">
        <f>IF('Stock Data'!$H$2,IF(ISNUMBER(AK556),AK556,NA()),NA())</f>
        <v>#N/A</v>
      </c>
      <c r="AO556" s="14"/>
      <c r="AP556" s="14"/>
      <c r="AQ556" s="14"/>
      <c r="AR556" s="14"/>
      <c r="AS556" s="14"/>
      <c r="AT556" s="14"/>
      <c r="AU556" s="14"/>
      <c r="AV556" s="14"/>
      <c r="AW556" s="14"/>
      <c r="AX556" s="14"/>
      <c r="AY556" s="14"/>
      <c r="AZ556" s="14"/>
      <c r="BA556" s="14"/>
      <c r="BB556" s="14"/>
      <c r="BC556" s="14"/>
      <c r="BD556" s="14"/>
      <c r="BE556" s="14"/>
      <c r="BF556" s="14"/>
      <c r="BG556" s="14"/>
      <c r="BH556" s="14"/>
      <c r="BI556" s="14"/>
    </row>
    <row r="557" spans="1:61">
      <c r="A557" s="14"/>
      <c r="B557" s="14"/>
      <c r="C557" s="14"/>
      <c r="D557" s="167"/>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t="e">
        <f>IF('Stock Data'!$H$2,IF(ISNUMBER(AK557),AK557,NA()),NA())</f>
        <v>#N/A</v>
      </c>
      <c r="AO557" s="14"/>
      <c r="AP557" s="14"/>
      <c r="AQ557" s="14"/>
      <c r="AR557" s="14"/>
      <c r="AS557" s="14"/>
      <c r="AT557" s="14"/>
      <c r="AU557" s="14"/>
      <c r="AV557" s="14"/>
      <c r="AW557" s="14"/>
      <c r="AX557" s="14"/>
      <c r="AY557" s="14"/>
      <c r="AZ557" s="14"/>
      <c r="BA557" s="14"/>
      <c r="BB557" s="14"/>
      <c r="BC557" s="14"/>
      <c r="BD557" s="14"/>
      <c r="BE557" s="14"/>
      <c r="BF557" s="14"/>
      <c r="BG557" s="14"/>
      <c r="BH557" s="14"/>
      <c r="BI557" s="14"/>
    </row>
    <row r="558" spans="1:61">
      <c r="A558" s="14"/>
      <c r="B558" s="14"/>
      <c r="C558" s="14"/>
      <c r="D558" s="167"/>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t="e">
        <f>IF('Stock Data'!$H$2,IF(ISNUMBER(AK558),AK558,NA()),NA())</f>
        <v>#N/A</v>
      </c>
      <c r="AO558" s="14"/>
      <c r="AP558" s="14"/>
      <c r="AQ558" s="14"/>
      <c r="AR558" s="14"/>
      <c r="AS558" s="14"/>
      <c r="AT558" s="14"/>
      <c r="AU558" s="14"/>
      <c r="AV558" s="14"/>
      <c r="AW558" s="14"/>
      <c r="AX558" s="14"/>
      <c r="AY558" s="14"/>
      <c r="AZ558" s="14"/>
      <c r="BA558" s="14"/>
      <c r="BB558" s="14"/>
      <c r="BC558" s="14"/>
      <c r="BD558" s="14"/>
      <c r="BE558" s="14"/>
      <c r="BF558" s="14"/>
      <c r="BG558" s="14"/>
      <c r="BH558" s="14"/>
      <c r="BI558" s="14"/>
    </row>
    <row r="559" spans="1:61">
      <c r="A559" s="14"/>
      <c r="B559" s="14"/>
      <c r="C559" s="14"/>
      <c r="D559" s="167"/>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t="e">
        <f>IF('Stock Data'!$H$2,IF(ISNUMBER(AK559),AK559,NA()),NA())</f>
        <v>#N/A</v>
      </c>
      <c r="AO559" s="14"/>
      <c r="AP559" s="14"/>
      <c r="AQ559" s="14"/>
      <c r="AR559" s="14"/>
      <c r="AS559" s="14"/>
      <c r="AT559" s="14"/>
      <c r="AU559" s="14"/>
      <c r="AV559" s="14"/>
      <c r="AW559" s="14"/>
      <c r="AX559" s="14"/>
      <c r="AY559" s="14"/>
      <c r="AZ559" s="14"/>
      <c r="BA559" s="14"/>
      <c r="BB559" s="14"/>
      <c r="BC559" s="14"/>
      <c r="BD559" s="14"/>
      <c r="BE559" s="14"/>
      <c r="BF559" s="14"/>
      <c r="BG559" s="14"/>
      <c r="BH559" s="14"/>
      <c r="BI559" s="14"/>
    </row>
    <row r="560" spans="1:61">
      <c r="A560" s="14"/>
      <c r="B560" s="14"/>
      <c r="C560" s="14"/>
      <c r="D560" s="167"/>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t="e">
        <f>IF('Stock Data'!$H$2,IF(ISNUMBER(AK560),AK560,NA()),NA())</f>
        <v>#N/A</v>
      </c>
      <c r="AO560" s="14"/>
      <c r="AP560" s="14"/>
      <c r="AQ560" s="14"/>
      <c r="AR560" s="14"/>
      <c r="AS560" s="14"/>
      <c r="AT560" s="14"/>
      <c r="AU560" s="14"/>
      <c r="AV560" s="14"/>
      <c r="AW560" s="14"/>
      <c r="AX560" s="14"/>
      <c r="AY560" s="14"/>
      <c r="AZ560" s="14"/>
      <c r="BA560" s="14"/>
      <c r="BB560" s="14"/>
      <c r="BC560" s="14"/>
      <c r="BD560" s="14"/>
      <c r="BE560" s="14"/>
      <c r="BF560" s="14"/>
      <c r="BG560" s="14"/>
      <c r="BH560" s="14"/>
      <c r="BI560" s="14"/>
    </row>
    <row r="561" spans="1:61">
      <c r="A561" s="14"/>
      <c r="B561" s="14"/>
      <c r="C561" s="14"/>
      <c r="D561" s="167"/>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t="e">
        <f>IF('Stock Data'!$H$2,IF(ISNUMBER(AK561),AK561,NA()),NA())</f>
        <v>#N/A</v>
      </c>
      <c r="AO561" s="14"/>
      <c r="AP561" s="14"/>
      <c r="AQ561" s="14"/>
      <c r="AR561" s="14"/>
      <c r="AS561" s="14"/>
      <c r="AT561" s="14"/>
      <c r="AU561" s="14"/>
      <c r="AV561" s="14"/>
      <c r="AW561" s="14"/>
      <c r="AX561" s="14"/>
      <c r="AY561" s="14"/>
      <c r="AZ561" s="14"/>
      <c r="BA561" s="14"/>
      <c r="BB561" s="14"/>
      <c r="BC561" s="14"/>
      <c r="BD561" s="14"/>
      <c r="BE561" s="14"/>
      <c r="BF561" s="14"/>
      <c r="BG561" s="14"/>
      <c r="BH561" s="14"/>
      <c r="BI561" s="14"/>
    </row>
    <row r="562" spans="1:61">
      <c r="A562" s="14"/>
      <c r="B562" s="14"/>
      <c r="C562" s="14"/>
      <c r="D562" s="167"/>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t="e">
        <f>IF('Stock Data'!$H$2,IF(ISNUMBER(AK562),AK562,NA()),NA())</f>
        <v>#N/A</v>
      </c>
      <c r="AO562" s="14"/>
      <c r="AP562" s="14"/>
      <c r="AQ562" s="14"/>
      <c r="AR562" s="14"/>
      <c r="AS562" s="14"/>
      <c r="AT562" s="14"/>
      <c r="AU562" s="14"/>
      <c r="AV562" s="14"/>
      <c r="AW562" s="14"/>
      <c r="AX562" s="14"/>
      <c r="AY562" s="14"/>
      <c r="AZ562" s="14"/>
      <c r="BA562" s="14"/>
      <c r="BB562" s="14"/>
      <c r="BC562" s="14"/>
      <c r="BD562" s="14"/>
      <c r="BE562" s="14"/>
      <c r="BF562" s="14"/>
      <c r="BG562" s="14"/>
      <c r="BH562" s="14"/>
      <c r="BI562" s="14"/>
    </row>
    <row r="563" spans="1:61">
      <c r="A563" s="14"/>
      <c r="B563" s="14"/>
      <c r="C563" s="14"/>
      <c r="D563" s="167"/>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t="e">
        <f>IF('Stock Data'!$H$2,IF(ISNUMBER(AK563),AK563,NA()),NA())</f>
        <v>#N/A</v>
      </c>
      <c r="AO563" s="14"/>
      <c r="AP563" s="14"/>
      <c r="AQ563" s="14"/>
      <c r="AR563" s="14"/>
      <c r="AS563" s="14"/>
      <c r="AT563" s="14"/>
      <c r="AU563" s="14"/>
      <c r="AV563" s="14"/>
      <c r="AW563" s="14"/>
      <c r="AX563" s="14"/>
      <c r="AY563" s="14"/>
      <c r="AZ563" s="14"/>
      <c r="BA563" s="14"/>
      <c r="BB563" s="14"/>
      <c r="BC563" s="14"/>
      <c r="BD563" s="14"/>
      <c r="BE563" s="14"/>
      <c r="BF563" s="14"/>
      <c r="BG563" s="14"/>
      <c r="BH563" s="14"/>
      <c r="BI563" s="14"/>
    </row>
    <row r="564" spans="1:61">
      <c r="A564" s="14"/>
      <c r="B564" s="14"/>
      <c r="C564" s="14"/>
      <c r="D564" s="167"/>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t="e">
        <f>IF('Stock Data'!$H$2,IF(ISNUMBER(AK564),AK564,NA()),NA())</f>
        <v>#N/A</v>
      </c>
      <c r="AO564" s="14"/>
      <c r="AP564" s="14"/>
      <c r="AQ564" s="14"/>
      <c r="AR564" s="14"/>
      <c r="AS564" s="14"/>
      <c r="AT564" s="14"/>
      <c r="AU564" s="14"/>
      <c r="AV564" s="14"/>
      <c r="AW564" s="14"/>
      <c r="AX564" s="14"/>
      <c r="AY564" s="14"/>
      <c r="AZ564" s="14"/>
      <c r="BA564" s="14"/>
      <c r="BB564" s="14"/>
      <c r="BC564" s="14"/>
      <c r="BD564" s="14"/>
      <c r="BE564" s="14"/>
      <c r="BF564" s="14"/>
      <c r="BG564" s="14"/>
      <c r="BH564" s="14"/>
      <c r="BI564" s="14"/>
    </row>
    <row r="565" spans="1:61">
      <c r="A565" s="14"/>
      <c r="B565" s="14"/>
      <c r="C565" s="14"/>
      <c r="D565" s="167"/>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t="e">
        <f>IF('Stock Data'!$H$2,IF(ISNUMBER(AK565),AK565,NA()),NA())</f>
        <v>#N/A</v>
      </c>
      <c r="AO565" s="14"/>
      <c r="AP565" s="14"/>
      <c r="AQ565" s="14"/>
      <c r="AR565" s="14"/>
      <c r="AS565" s="14"/>
      <c r="AT565" s="14"/>
      <c r="AU565" s="14"/>
      <c r="AV565" s="14"/>
      <c r="AW565" s="14"/>
      <c r="AX565" s="14"/>
      <c r="AY565" s="14"/>
      <c r="AZ565" s="14"/>
      <c r="BA565" s="14"/>
      <c r="BB565" s="14"/>
      <c r="BC565" s="14"/>
      <c r="BD565" s="14"/>
      <c r="BE565" s="14"/>
      <c r="BF565" s="14"/>
      <c r="BG565" s="14"/>
      <c r="BH565" s="14"/>
      <c r="BI565" s="14"/>
    </row>
    <row r="566" spans="1:61">
      <c r="A566" s="14"/>
      <c r="B566" s="14"/>
      <c r="C566" s="14"/>
      <c r="D566" s="167"/>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t="e">
        <f>IF('Stock Data'!$H$2,IF(ISNUMBER(AK566),AK566,NA()),NA())</f>
        <v>#N/A</v>
      </c>
      <c r="AO566" s="14"/>
      <c r="AP566" s="14"/>
      <c r="AQ566" s="14"/>
      <c r="AR566" s="14"/>
      <c r="AS566" s="14"/>
      <c r="AT566" s="14"/>
      <c r="AU566" s="14"/>
      <c r="AV566" s="14"/>
      <c r="AW566" s="14"/>
      <c r="AX566" s="14"/>
      <c r="AY566" s="14"/>
      <c r="AZ566" s="14"/>
      <c r="BA566" s="14"/>
      <c r="BB566" s="14"/>
      <c r="BC566" s="14"/>
      <c r="BD566" s="14"/>
      <c r="BE566" s="14"/>
      <c r="BF566" s="14"/>
      <c r="BG566" s="14"/>
      <c r="BH566" s="14"/>
      <c r="BI566" s="14"/>
    </row>
    <row r="567" spans="1:61">
      <c r="A567" s="14"/>
      <c r="B567" s="14"/>
      <c r="C567" s="14"/>
      <c r="D567" s="167"/>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t="e">
        <f>IF('Stock Data'!$H$2,IF(ISNUMBER(AK567),AK567,NA()),NA())</f>
        <v>#N/A</v>
      </c>
      <c r="AO567" s="14"/>
      <c r="AP567" s="14"/>
      <c r="AQ567" s="14"/>
      <c r="AR567" s="14"/>
      <c r="AS567" s="14"/>
      <c r="AT567" s="14"/>
      <c r="AU567" s="14"/>
      <c r="AV567" s="14"/>
      <c r="AW567" s="14"/>
      <c r="AX567" s="14"/>
      <c r="AY567" s="14"/>
      <c r="AZ567" s="14"/>
      <c r="BA567" s="14"/>
      <c r="BB567" s="14"/>
      <c r="BC567" s="14"/>
      <c r="BD567" s="14"/>
      <c r="BE567" s="14"/>
      <c r="BF567" s="14"/>
      <c r="BG567" s="14"/>
      <c r="BH567" s="14"/>
      <c r="BI567" s="14"/>
    </row>
    <row r="568" spans="1:61">
      <c r="A568" s="14"/>
      <c r="B568" s="14"/>
      <c r="C568" s="14"/>
      <c r="D568" s="167"/>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t="e">
        <f>IF('Stock Data'!$H$2,IF(ISNUMBER(AK568),AK568,NA()),NA())</f>
        <v>#N/A</v>
      </c>
      <c r="AO568" s="14"/>
      <c r="AP568" s="14"/>
      <c r="AQ568" s="14"/>
      <c r="AR568" s="14"/>
      <c r="AS568" s="14"/>
      <c r="AT568" s="14"/>
      <c r="AU568" s="14"/>
      <c r="AV568" s="14"/>
      <c r="AW568" s="14"/>
      <c r="AX568" s="14"/>
      <c r="AY568" s="14"/>
      <c r="AZ568" s="14"/>
      <c r="BA568" s="14"/>
      <c r="BB568" s="14"/>
      <c r="BC568" s="14"/>
      <c r="BD568" s="14"/>
      <c r="BE568" s="14"/>
      <c r="BF568" s="14"/>
      <c r="BG568" s="14"/>
      <c r="BH568" s="14"/>
      <c r="BI568" s="14"/>
    </row>
    <row r="569" spans="1:61">
      <c r="A569" s="14"/>
      <c r="B569" s="14"/>
      <c r="C569" s="14"/>
      <c r="D569" s="167"/>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t="e">
        <f>IF('Stock Data'!$H$2,IF(ISNUMBER(AK569),AK569,NA()),NA())</f>
        <v>#N/A</v>
      </c>
      <c r="AO569" s="14"/>
      <c r="AP569" s="14"/>
      <c r="AQ569" s="14"/>
      <c r="AR569" s="14"/>
      <c r="AS569" s="14"/>
      <c r="AT569" s="14"/>
      <c r="AU569" s="14"/>
      <c r="AV569" s="14"/>
      <c r="AW569" s="14"/>
      <c r="AX569" s="14"/>
      <c r="AY569" s="14"/>
      <c r="AZ569" s="14"/>
      <c r="BA569" s="14"/>
      <c r="BB569" s="14"/>
      <c r="BC569" s="14"/>
      <c r="BD569" s="14"/>
      <c r="BE569" s="14"/>
      <c r="BF569" s="14"/>
      <c r="BG569" s="14"/>
      <c r="BH569" s="14"/>
      <c r="BI569" s="14"/>
    </row>
    <row r="570" spans="1:61">
      <c r="A570" s="14"/>
      <c r="B570" s="14"/>
      <c r="C570" s="14"/>
      <c r="D570" s="167"/>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t="e">
        <f>IF('Stock Data'!$H$2,IF(ISNUMBER(AK570),AK570,NA()),NA())</f>
        <v>#N/A</v>
      </c>
      <c r="AO570" s="14"/>
      <c r="AP570" s="14"/>
      <c r="AQ570" s="14"/>
      <c r="AR570" s="14"/>
      <c r="AS570" s="14"/>
      <c r="AT570" s="14"/>
      <c r="AU570" s="14"/>
      <c r="AV570" s="14"/>
      <c r="AW570" s="14"/>
      <c r="AX570" s="14"/>
      <c r="AY570" s="14"/>
      <c r="AZ570" s="14"/>
      <c r="BA570" s="14"/>
      <c r="BB570" s="14"/>
      <c r="BC570" s="14"/>
      <c r="BD570" s="14"/>
      <c r="BE570" s="14"/>
      <c r="BF570" s="14"/>
      <c r="BG570" s="14"/>
      <c r="BH570" s="14"/>
      <c r="BI570" s="14"/>
    </row>
    <row r="571" spans="1:61">
      <c r="A571" s="14"/>
      <c r="B571" s="14"/>
      <c r="C571" s="14"/>
      <c r="D571" s="167"/>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t="e">
        <f>IF('Stock Data'!$H$2,IF(ISNUMBER(AK571),AK571,NA()),NA())</f>
        <v>#N/A</v>
      </c>
      <c r="AO571" s="14"/>
      <c r="AP571" s="14"/>
      <c r="AQ571" s="14"/>
      <c r="AR571" s="14"/>
      <c r="AS571" s="14"/>
      <c r="AT571" s="14"/>
      <c r="AU571" s="14"/>
      <c r="AV571" s="14"/>
      <c r="AW571" s="14"/>
      <c r="AX571" s="14"/>
      <c r="AY571" s="14"/>
      <c r="AZ571" s="14"/>
      <c r="BA571" s="14"/>
      <c r="BB571" s="14"/>
      <c r="BC571" s="14"/>
      <c r="BD571" s="14"/>
      <c r="BE571" s="14"/>
      <c r="BF571" s="14"/>
      <c r="BG571" s="14"/>
      <c r="BH571" s="14"/>
      <c r="BI571" s="14"/>
    </row>
    <row r="572" spans="1:61">
      <c r="A572" s="14"/>
      <c r="B572" s="14"/>
      <c r="C572" s="14"/>
      <c r="D572" s="167"/>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t="e">
        <f>IF('Stock Data'!$H$2,IF(ISNUMBER(AK572),AK572,NA()),NA())</f>
        <v>#N/A</v>
      </c>
      <c r="AO572" s="14"/>
      <c r="AP572" s="14"/>
      <c r="AQ572" s="14"/>
      <c r="AR572" s="14"/>
      <c r="AS572" s="14"/>
      <c r="AT572" s="14"/>
      <c r="AU572" s="14"/>
      <c r="AV572" s="14"/>
      <c r="AW572" s="14"/>
      <c r="AX572" s="14"/>
      <c r="AY572" s="14"/>
      <c r="AZ572" s="14"/>
      <c r="BA572" s="14"/>
      <c r="BB572" s="14"/>
      <c r="BC572" s="14"/>
      <c r="BD572" s="14"/>
      <c r="BE572" s="14"/>
      <c r="BF572" s="14"/>
      <c r="BG572" s="14"/>
      <c r="BH572" s="14"/>
      <c r="BI572" s="14"/>
    </row>
    <row r="573" spans="1:61">
      <c r="A573" s="14"/>
      <c r="B573" s="14"/>
      <c r="C573" s="14"/>
      <c r="D573" s="167"/>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t="e">
        <f>IF('Stock Data'!$H$2,IF(ISNUMBER(AK573),AK573,NA()),NA())</f>
        <v>#N/A</v>
      </c>
      <c r="AO573" s="14"/>
      <c r="AP573" s="14"/>
      <c r="AQ573" s="14"/>
      <c r="AR573" s="14"/>
      <c r="AS573" s="14"/>
      <c r="AT573" s="14"/>
      <c r="AU573" s="14"/>
      <c r="AV573" s="14"/>
      <c r="AW573" s="14"/>
      <c r="AX573" s="14"/>
      <c r="AY573" s="14"/>
      <c r="AZ573" s="14"/>
      <c r="BA573" s="14"/>
      <c r="BB573" s="14"/>
      <c r="BC573" s="14"/>
      <c r="BD573" s="14"/>
      <c r="BE573" s="14"/>
      <c r="BF573" s="14"/>
      <c r="BG573" s="14"/>
      <c r="BH573" s="14"/>
      <c r="BI573" s="14"/>
    </row>
    <row r="574" spans="1:61">
      <c r="A574" s="14"/>
      <c r="B574" s="14"/>
      <c r="C574" s="14"/>
      <c r="D574" s="167"/>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t="e">
        <f>IF('Stock Data'!$H$2,IF(ISNUMBER(AK574),AK574,NA()),NA())</f>
        <v>#N/A</v>
      </c>
      <c r="AO574" s="14"/>
      <c r="AP574" s="14"/>
      <c r="AQ574" s="14"/>
      <c r="AR574" s="14"/>
      <c r="AS574" s="14"/>
      <c r="AT574" s="14"/>
      <c r="AU574" s="14"/>
      <c r="AV574" s="14"/>
      <c r="AW574" s="14"/>
      <c r="AX574" s="14"/>
      <c r="AY574" s="14"/>
      <c r="AZ574" s="14"/>
      <c r="BA574" s="14"/>
      <c r="BB574" s="14"/>
      <c r="BC574" s="14"/>
      <c r="BD574" s="14"/>
      <c r="BE574" s="14"/>
      <c r="BF574" s="14"/>
      <c r="BG574" s="14"/>
      <c r="BH574" s="14"/>
      <c r="BI574" s="14"/>
    </row>
    <row r="575" spans="1:61">
      <c r="A575" s="14"/>
      <c r="B575" s="14"/>
      <c r="C575" s="14"/>
      <c r="D575" s="167"/>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t="e">
        <f>IF('Stock Data'!$H$2,IF(ISNUMBER(AK575),AK575,NA()),NA())</f>
        <v>#N/A</v>
      </c>
      <c r="AO575" s="14"/>
      <c r="AP575" s="14"/>
      <c r="AQ575" s="14"/>
      <c r="AR575" s="14"/>
      <c r="AS575" s="14"/>
      <c r="AT575" s="14"/>
      <c r="AU575" s="14"/>
      <c r="AV575" s="14"/>
      <c r="AW575" s="14"/>
      <c r="AX575" s="14"/>
      <c r="AY575" s="14"/>
      <c r="AZ575" s="14"/>
      <c r="BA575" s="14"/>
      <c r="BB575" s="14"/>
      <c r="BC575" s="14"/>
      <c r="BD575" s="14"/>
      <c r="BE575" s="14"/>
      <c r="BF575" s="14"/>
      <c r="BG575" s="14"/>
      <c r="BH575" s="14"/>
      <c r="BI575" s="14"/>
    </row>
    <row r="576" spans="1:61">
      <c r="A576" s="14"/>
      <c r="B576" s="14"/>
      <c r="C576" s="14"/>
      <c r="D576" s="167"/>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t="e">
        <f>IF('Stock Data'!$H$2,IF(ISNUMBER(AK576),AK576,NA()),NA())</f>
        <v>#N/A</v>
      </c>
      <c r="AO576" s="14"/>
      <c r="AP576" s="14"/>
      <c r="AQ576" s="14"/>
      <c r="AR576" s="14"/>
      <c r="AS576" s="14"/>
      <c r="AT576" s="14"/>
      <c r="AU576" s="14"/>
      <c r="AV576" s="14"/>
      <c r="AW576" s="14"/>
      <c r="AX576" s="14"/>
      <c r="AY576" s="14"/>
      <c r="AZ576" s="14"/>
      <c r="BA576" s="14"/>
      <c r="BB576" s="14"/>
      <c r="BC576" s="14"/>
      <c r="BD576" s="14"/>
      <c r="BE576" s="14"/>
      <c r="BF576" s="14"/>
      <c r="BG576" s="14"/>
      <c r="BH576" s="14"/>
      <c r="BI576" s="14"/>
    </row>
    <row r="577" spans="1:61">
      <c r="A577" s="14"/>
      <c r="B577" s="14"/>
      <c r="C577" s="14"/>
      <c r="D577" s="167"/>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t="e">
        <f>IF('Stock Data'!$H$2,IF(ISNUMBER(AK577),AK577,NA()),NA())</f>
        <v>#N/A</v>
      </c>
      <c r="AO577" s="14"/>
      <c r="AP577" s="14"/>
      <c r="AQ577" s="14"/>
      <c r="AR577" s="14"/>
      <c r="AS577" s="14"/>
      <c r="AT577" s="14"/>
      <c r="AU577" s="14"/>
      <c r="AV577" s="14"/>
      <c r="AW577" s="14"/>
      <c r="AX577" s="14"/>
      <c r="AY577" s="14"/>
      <c r="AZ577" s="14"/>
      <c r="BA577" s="14"/>
      <c r="BB577" s="14"/>
      <c r="BC577" s="14"/>
      <c r="BD577" s="14"/>
      <c r="BE577" s="14"/>
      <c r="BF577" s="14"/>
      <c r="BG577" s="14"/>
      <c r="BH577" s="14"/>
      <c r="BI577" s="14"/>
    </row>
    <row r="578" spans="1:61">
      <c r="A578" s="14"/>
      <c r="B578" s="14"/>
      <c r="C578" s="14"/>
      <c r="D578" s="167"/>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t="e">
        <f>IF('Stock Data'!$H$2,IF(ISNUMBER(AK578),AK578,NA()),NA())</f>
        <v>#N/A</v>
      </c>
      <c r="AO578" s="14"/>
      <c r="AP578" s="14"/>
      <c r="AQ578" s="14"/>
      <c r="AR578" s="14"/>
      <c r="AS578" s="14"/>
      <c r="AT578" s="14"/>
      <c r="AU578" s="14"/>
      <c r="AV578" s="14"/>
      <c r="AW578" s="14"/>
      <c r="AX578" s="14"/>
      <c r="AY578" s="14"/>
      <c r="AZ578" s="14"/>
      <c r="BA578" s="14"/>
      <c r="BB578" s="14"/>
      <c r="BC578" s="14"/>
      <c r="BD578" s="14"/>
      <c r="BE578" s="14"/>
      <c r="BF578" s="14"/>
      <c r="BG578" s="14"/>
      <c r="BH578" s="14"/>
      <c r="BI578" s="14"/>
    </row>
    <row r="579" spans="1:61">
      <c r="A579" s="14"/>
      <c r="B579" s="14"/>
      <c r="C579" s="14"/>
      <c r="D579" s="167"/>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4"/>
      <c r="AN579" s="14" t="e">
        <f>IF('Stock Data'!$H$2,IF(ISNUMBER(AK579),AK579,NA()),NA())</f>
        <v>#N/A</v>
      </c>
      <c r="AO579" s="14"/>
      <c r="AP579" s="14"/>
      <c r="AQ579" s="14"/>
      <c r="AR579" s="14"/>
      <c r="AS579" s="14"/>
      <c r="AT579" s="14"/>
      <c r="AU579" s="14"/>
      <c r="AV579" s="14"/>
      <c r="AW579" s="14"/>
      <c r="AX579" s="14"/>
      <c r="AY579" s="14"/>
      <c r="AZ579" s="14"/>
      <c r="BA579" s="14"/>
      <c r="BB579" s="14"/>
      <c r="BC579" s="14"/>
      <c r="BD579" s="14"/>
      <c r="BE579" s="14"/>
      <c r="BF579" s="14"/>
      <c r="BG579" s="14"/>
      <c r="BH579" s="14"/>
      <c r="BI579" s="14"/>
    </row>
    <row r="580" spans="1:61">
      <c r="A580" s="14"/>
      <c r="B580" s="14"/>
      <c r="C580" s="14"/>
      <c r="D580" s="167"/>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t="e">
        <f>IF('Stock Data'!$H$2,IF(ISNUMBER(AK580),AK580,NA()),NA())</f>
        <v>#N/A</v>
      </c>
      <c r="AO580" s="14"/>
      <c r="AP580" s="14"/>
      <c r="AQ580" s="14"/>
      <c r="AR580" s="14"/>
      <c r="AS580" s="14"/>
      <c r="AT580" s="14"/>
      <c r="AU580" s="14"/>
      <c r="AV580" s="14"/>
      <c r="AW580" s="14"/>
      <c r="AX580" s="14"/>
      <c r="AY580" s="14"/>
      <c r="AZ580" s="14"/>
      <c r="BA580" s="14"/>
      <c r="BB580" s="14"/>
      <c r="BC580" s="14"/>
      <c r="BD580" s="14"/>
      <c r="BE580" s="14"/>
      <c r="BF580" s="14"/>
      <c r="BG580" s="14"/>
      <c r="BH580" s="14"/>
      <c r="BI580" s="14"/>
    </row>
    <row r="581" spans="1:61">
      <c r="A581" s="14"/>
      <c r="B581" s="14"/>
      <c r="C581" s="14"/>
      <c r="D581" s="167"/>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t="e">
        <f>IF('Stock Data'!$H$2,IF(ISNUMBER(AK581),AK581,NA()),NA())</f>
        <v>#N/A</v>
      </c>
      <c r="AO581" s="14"/>
      <c r="AP581" s="14"/>
      <c r="AQ581" s="14"/>
      <c r="AR581" s="14"/>
      <c r="AS581" s="14"/>
      <c r="AT581" s="14"/>
      <c r="AU581" s="14"/>
      <c r="AV581" s="14"/>
      <c r="AW581" s="14"/>
      <c r="AX581" s="14"/>
      <c r="AY581" s="14"/>
      <c r="AZ581" s="14"/>
      <c r="BA581" s="14"/>
      <c r="BB581" s="14"/>
      <c r="BC581" s="14"/>
      <c r="BD581" s="14"/>
      <c r="BE581" s="14"/>
      <c r="BF581" s="14"/>
      <c r="BG581" s="14"/>
      <c r="BH581" s="14"/>
      <c r="BI581" s="14"/>
    </row>
    <row r="582" spans="1:61">
      <c r="A582" s="14"/>
      <c r="B582" s="14"/>
      <c r="C582" s="14"/>
      <c r="D582" s="167"/>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t="e">
        <f>IF('Stock Data'!$H$2,IF(ISNUMBER(AK582),AK582,NA()),NA())</f>
        <v>#N/A</v>
      </c>
      <c r="AO582" s="14"/>
      <c r="AP582" s="14"/>
      <c r="AQ582" s="14"/>
      <c r="AR582" s="14"/>
      <c r="AS582" s="14"/>
      <c r="AT582" s="14"/>
      <c r="AU582" s="14"/>
      <c r="AV582" s="14"/>
      <c r="AW582" s="14"/>
      <c r="AX582" s="14"/>
      <c r="AY582" s="14"/>
      <c r="AZ582" s="14"/>
      <c r="BA582" s="14"/>
      <c r="BB582" s="14"/>
      <c r="BC582" s="14"/>
      <c r="BD582" s="14"/>
      <c r="BE582" s="14"/>
      <c r="BF582" s="14"/>
      <c r="BG582" s="14"/>
      <c r="BH582" s="14"/>
      <c r="BI582" s="14"/>
    </row>
    <row r="583" spans="1:61">
      <c r="A583" s="14"/>
      <c r="B583" s="14"/>
      <c r="C583" s="14"/>
      <c r="D583" s="167"/>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t="e">
        <f>IF('Stock Data'!$H$2,IF(ISNUMBER(AK583),AK583,NA()),NA())</f>
        <v>#N/A</v>
      </c>
      <c r="AO583" s="14"/>
      <c r="AP583" s="14"/>
      <c r="AQ583" s="14"/>
      <c r="AR583" s="14"/>
      <c r="AS583" s="14"/>
      <c r="AT583" s="14"/>
      <c r="AU583" s="14"/>
      <c r="AV583" s="14"/>
      <c r="AW583" s="14"/>
      <c r="AX583" s="14"/>
      <c r="AY583" s="14"/>
      <c r="AZ583" s="14"/>
      <c r="BA583" s="14"/>
      <c r="BB583" s="14"/>
      <c r="BC583" s="14"/>
      <c r="BD583" s="14"/>
      <c r="BE583" s="14"/>
      <c r="BF583" s="14"/>
      <c r="BG583" s="14"/>
      <c r="BH583" s="14"/>
      <c r="BI583" s="14"/>
    </row>
    <row r="584" spans="1:61">
      <c r="A584" s="14"/>
      <c r="B584" s="14"/>
      <c r="C584" s="14"/>
      <c r="D584" s="167"/>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t="e">
        <f>IF('Stock Data'!$H$2,IF(ISNUMBER(AK584),AK584,NA()),NA())</f>
        <v>#N/A</v>
      </c>
      <c r="AO584" s="14"/>
      <c r="AP584" s="14"/>
      <c r="AQ584" s="14"/>
      <c r="AR584" s="14"/>
      <c r="AS584" s="14"/>
      <c r="AT584" s="14"/>
      <c r="AU584" s="14"/>
      <c r="AV584" s="14"/>
      <c r="AW584" s="14"/>
      <c r="AX584" s="14"/>
      <c r="AY584" s="14"/>
      <c r="AZ584" s="14"/>
      <c r="BA584" s="14"/>
      <c r="BB584" s="14"/>
      <c r="BC584" s="14"/>
      <c r="BD584" s="14"/>
      <c r="BE584" s="14"/>
      <c r="BF584" s="14"/>
      <c r="BG584" s="14"/>
      <c r="BH584" s="14"/>
      <c r="BI584" s="14"/>
    </row>
    <row r="585" spans="1:61">
      <c r="A585" s="14"/>
      <c r="B585" s="14"/>
      <c r="C585" s="14"/>
      <c r="D585" s="167"/>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t="e">
        <f>IF('Stock Data'!$H$2,IF(ISNUMBER(AK585),AK585,NA()),NA())</f>
        <v>#N/A</v>
      </c>
      <c r="AO585" s="14"/>
      <c r="AP585" s="14"/>
      <c r="AQ585" s="14"/>
      <c r="AR585" s="14"/>
      <c r="AS585" s="14"/>
      <c r="AT585" s="14"/>
      <c r="AU585" s="14"/>
      <c r="AV585" s="14"/>
      <c r="AW585" s="14"/>
      <c r="AX585" s="14"/>
      <c r="AY585" s="14"/>
      <c r="AZ585" s="14"/>
      <c r="BA585" s="14"/>
      <c r="BB585" s="14"/>
      <c r="BC585" s="14"/>
      <c r="BD585" s="14"/>
      <c r="BE585" s="14"/>
      <c r="BF585" s="14"/>
      <c r="BG585" s="14"/>
      <c r="BH585" s="14"/>
      <c r="BI585" s="14"/>
    </row>
    <row r="586" spans="1:61">
      <c r="A586" s="14"/>
      <c r="B586" s="14"/>
      <c r="C586" s="14"/>
      <c r="D586" s="167"/>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t="e">
        <f>IF('Stock Data'!$H$2,IF(ISNUMBER(AK586),AK586,NA()),NA())</f>
        <v>#N/A</v>
      </c>
      <c r="AO586" s="14"/>
      <c r="AP586" s="14"/>
      <c r="AQ586" s="14"/>
      <c r="AR586" s="14"/>
      <c r="AS586" s="14"/>
      <c r="AT586" s="14"/>
      <c r="AU586" s="14"/>
      <c r="AV586" s="14"/>
      <c r="AW586" s="14"/>
      <c r="AX586" s="14"/>
      <c r="AY586" s="14"/>
      <c r="AZ586" s="14"/>
      <c r="BA586" s="14"/>
      <c r="BB586" s="14"/>
      <c r="BC586" s="14"/>
      <c r="BD586" s="14"/>
      <c r="BE586" s="14"/>
      <c r="BF586" s="14"/>
      <c r="BG586" s="14"/>
      <c r="BH586" s="14"/>
      <c r="BI586" s="14"/>
    </row>
    <row r="587" spans="1:61">
      <c r="A587" s="14"/>
      <c r="B587" s="14"/>
      <c r="C587" s="14"/>
      <c r="D587" s="167"/>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t="e">
        <f>IF('Stock Data'!$H$2,IF(ISNUMBER(AK587),AK587,NA()),NA())</f>
        <v>#N/A</v>
      </c>
      <c r="AO587" s="14"/>
      <c r="AP587" s="14"/>
      <c r="AQ587" s="14"/>
      <c r="AR587" s="14"/>
      <c r="AS587" s="14"/>
      <c r="AT587" s="14"/>
      <c r="AU587" s="14"/>
      <c r="AV587" s="14"/>
      <c r="AW587" s="14"/>
      <c r="AX587" s="14"/>
      <c r="AY587" s="14"/>
      <c r="AZ587" s="14"/>
      <c r="BA587" s="14"/>
      <c r="BB587" s="14"/>
      <c r="BC587" s="14"/>
      <c r="BD587" s="14"/>
      <c r="BE587" s="14"/>
      <c r="BF587" s="14"/>
      <c r="BG587" s="14"/>
      <c r="BH587" s="14"/>
      <c r="BI587" s="14"/>
    </row>
    <row r="588" spans="1:61">
      <c r="A588" s="14"/>
      <c r="B588" s="14"/>
      <c r="C588" s="14"/>
      <c r="D588" s="167"/>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t="e">
        <f>IF('Stock Data'!$H$2,IF(ISNUMBER(AK588),AK588,NA()),NA())</f>
        <v>#N/A</v>
      </c>
      <c r="AO588" s="14"/>
      <c r="AP588" s="14"/>
      <c r="AQ588" s="14"/>
      <c r="AR588" s="14"/>
      <c r="AS588" s="14"/>
      <c r="AT588" s="14"/>
      <c r="AU588" s="14"/>
      <c r="AV588" s="14"/>
      <c r="AW588" s="14"/>
      <c r="AX588" s="14"/>
      <c r="AY588" s="14"/>
      <c r="AZ588" s="14"/>
      <c r="BA588" s="14"/>
      <c r="BB588" s="14"/>
      <c r="BC588" s="14"/>
      <c r="BD588" s="14"/>
      <c r="BE588" s="14"/>
      <c r="BF588" s="14"/>
      <c r="BG588" s="14"/>
      <c r="BH588" s="14"/>
      <c r="BI588" s="14"/>
    </row>
    <row r="589" spans="1:61">
      <c r="A589" s="14"/>
      <c r="B589" s="14"/>
      <c r="C589" s="14"/>
      <c r="D589" s="167"/>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t="e">
        <f>IF('Stock Data'!$H$2,IF(ISNUMBER(AK589),AK589,NA()),NA())</f>
        <v>#N/A</v>
      </c>
      <c r="AO589" s="14"/>
      <c r="AP589" s="14"/>
      <c r="AQ589" s="14"/>
      <c r="AR589" s="14"/>
      <c r="AS589" s="14"/>
      <c r="AT589" s="14"/>
      <c r="AU589" s="14"/>
      <c r="AV589" s="14"/>
      <c r="AW589" s="14"/>
      <c r="AX589" s="14"/>
      <c r="AY589" s="14"/>
      <c r="AZ589" s="14"/>
      <c r="BA589" s="14"/>
      <c r="BB589" s="14"/>
      <c r="BC589" s="14"/>
      <c r="BD589" s="14"/>
      <c r="BE589" s="14"/>
      <c r="BF589" s="14"/>
      <c r="BG589" s="14"/>
      <c r="BH589" s="14"/>
      <c r="BI589" s="14"/>
    </row>
    <row r="590" spans="1:61">
      <c r="A590" s="14"/>
      <c r="B590" s="14"/>
      <c r="C590" s="14"/>
      <c r="D590" s="167"/>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t="e">
        <f>IF('Stock Data'!$H$2,IF(ISNUMBER(AK590),AK590,NA()),NA())</f>
        <v>#N/A</v>
      </c>
      <c r="AO590" s="14"/>
      <c r="AP590" s="14"/>
      <c r="AQ590" s="14"/>
      <c r="AR590" s="14"/>
      <c r="AS590" s="14"/>
      <c r="AT590" s="14"/>
      <c r="AU590" s="14"/>
      <c r="AV590" s="14"/>
      <c r="AW590" s="14"/>
      <c r="AX590" s="14"/>
      <c r="AY590" s="14"/>
      <c r="AZ590" s="14"/>
      <c r="BA590" s="14"/>
      <c r="BB590" s="14"/>
      <c r="BC590" s="14"/>
      <c r="BD590" s="14"/>
      <c r="BE590" s="14"/>
      <c r="BF590" s="14"/>
      <c r="BG590" s="14"/>
      <c r="BH590" s="14"/>
      <c r="BI590" s="14"/>
    </row>
    <row r="591" spans="1:61">
      <c r="A591" s="14"/>
      <c r="B591" s="14"/>
      <c r="C591" s="14"/>
      <c r="D591" s="167"/>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t="e">
        <f>IF('Stock Data'!$H$2,IF(ISNUMBER(AK591),AK591,NA()),NA())</f>
        <v>#N/A</v>
      </c>
      <c r="AO591" s="14"/>
      <c r="AP591" s="14"/>
      <c r="AQ591" s="14"/>
      <c r="AR591" s="14"/>
      <c r="AS591" s="14"/>
      <c r="AT591" s="14"/>
      <c r="AU591" s="14"/>
      <c r="AV591" s="14"/>
      <c r="AW591" s="14"/>
      <c r="AX591" s="14"/>
      <c r="AY591" s="14"/>
      <c r="AZ591" s="14"/>
      <c r="BA591" s="14"/>
      <c r="BB591" s="14"/>
      <c r="BC591" s="14"/>
      <c r="BD591" s="14"/>
      <c r="BE591" s="14"/>
      <c r="BF591" s="14"/>
      <c r="BG591" s="14"/>
      <c r="BH591" s="14"/>
      <c r="BI591" s="14"/>
    </row>
    <row r="592" spans="1:61">
      <c r="A592" s="14"/>
      <c r="B592" s="14"/>
      <c r="C592" s="14"/>
      <c r="D592" s="167"/>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t="e">
        <f>IF('Stock Data'!$H$2,IF(ISNUMBER(AK592),AK592,NA()),NA())</f>
        <v>#N/A</v>
      </c>
      <c r="AO592" s="14"/>
      <c r="AP592" s="14"/>
      <c r="AQ592" s="14"/>
      <c r="AR592" s="14"/>
      <c r="AS592" s="14"/>
      <c r="AT592" s="14"/>
      <c r="AU592" s="14"/>
      <c r="AV592" s="14"/>
      <c r="AW592" s="14"/>
      <c r="AX592" s="14"/>
      <c r="AY592" s="14"/>
      <c r="AZ592" s="14"/>
      <c r="BA592" s="14"/>
      <c r="BB592" s="14"/>
      <c r="BC592" s="14"/>
      <c r="BD592" s="14"/>
      <c r="BE592" s="14"/>
      <c r="BF592" s="14"/>
      <c r="BG592" s="14"/>
      <c r="BH592" s="14"/>
      <c r="BI592" s="14"/>
    </row>
    <row r="593" spans="1:61">
      <c r="A593" s="14"/>
      <c r="B593" s="14"/>
      <c r="C593" s="14"/>
      <c r="D593" s="167"/>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t="e">
        <f>IF('Stock Data'!$H$2,IF(ISNUMBER(AK593),AK593,NA()),NA())</f>
        <v>#N/A</v>
      </c>
      <c r="AO593" s="14"/>
      <c r="AP593" s="14"/>
      <c r="AQ593" s="14"/>
      <c r="AR593" s="14"/>
      <c r="AS593" s="14"/>
      <c r="AT593" s="14"/>
      <c r="AU593" s="14"/>
      <c r="AV593" s="14"/>
      <c r="AW593" s="14"/>
      <c r="AX593" s="14"/>
      <c r="AY593" s="14"/>
      <c r="AZ593" s="14"/>
      <c r="BA593" s="14"/>
      <c r="BB593" s="14"/>
      <c r="BC593" s="14"/>
      <c r="BD593" s="14"/>
      <c r="BE593" s="14"/>
      <c r="BF593" s="14"/>
      <c r="BG593" s="14"/>
      <c r="BH593" s="14"/>
      <c r="BI593" s="14"/>
    </row>
    <row r="594" spans="1:61">
      <c r="A594" s="14"/>
      <c r="B594" s="14"/>
      <c r="C594" s="14"/>
      <c r="D594" s="167"/>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t="e">
        <f>IF('Stock Data'!$H$2,IF(ISNUMBER(AK594),AK594,NA()),NA())</f>
        <v>#N/A</v>
      </c>
      <c r="AO594" s="14"/>
      <c r="AP594" s="14"/>
      <c r="AQ594" s="14"/>
      <c r="AR594" s="14"/>
      <c r="AS594" s="14"/>
      <c r="AT594" s="14"/>
      <c r="AU594" s="14"/>
      <c r="AV594" s="14"/>
      <c r="AW594" s="14"/>
      <c r="AX594" s="14"/>
      <c r="AY594" s="14"/>
      <c r="AZ594" s="14"/>
      <c r="BA594" s="14"/>
      <c r="BB594" s="14"/>
      <c r="BC594" s="14"/>
      <c r="BD594" s="14"/>
      <c r="BE594" s="14"/>
      <c r="BF594" s="14"/>
      <c r="BG594" s="14"/>
      <c r="BH594" s="14"/>
      <c r="BI594" s="14"/>
    </row>
    <row r="595" spans="1:61">
      <c r="A595" s="14"/>
      <c r="B595" s="14"/>
      <c r="C595" s="14"/>
      <c r="D595" s="167"/>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t="e">
        <f>IF('Stock Data'!$H$2,IF(ISNUMBER(AK595),AK595,NA()),NA())</f>
        <v>#N/A</v>
      </c>
      <c r="AO595" s="14"/>
      <c r="AP595" s="14"/>
      <c r="AQ595" s="14"/>
      <c r="AR595" s="14"/>
      <c r="AS595" s="14"/>
      <c r="AT595" s="14"/>
      <c r="AU595" s="14"/>
      <c r="AV595" s="14"/>
      <c r="AW595" s="14"/>
      <c r="AX595" s="14"/>
      <c r="AY595" s="14"/>
      <c r="AZ595" s="14"/>
      <c r="BA595" s="14"/>
      <c r="BB595" s="14"/>
      <c r="BC595" s="14"/>
      <c r="BD595" s="14"/>
      <c r="BE595" s="14"/>
      <c r="BF595" s="14"/>
      <c r="BG595" s="14"/>
      <c r="BH595" s="14"/>
      <c r="BI595" s="14"/>
    </row>
    <row r="596" spans="1:61">
      <c r="A596" s="14"/>
      <c r="B596" s="14"/>
      <c r="C596" s="14"/>
      <c r="D596" s="167"/>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t="e">
        <f>IF('Stock Data'!$H$2,IF(ISNUMBER(AK596),AK596,NA()),NA())</f>
        <v>#N/A</v>
      </c>
      <c r="AO596" s="14"/>
      <c r="AP596" s="14"/>
      <c r="AQ596" s="14"/>
      <c r="AR596" s="14"/>
      <c r="AS596" s="14"/>
      <c r="AT596" s="14"/>
      <c r="AU596" s="14"/>
      <c r="AV596" s="14"/>
      <c r="AW596" s="14"/>
      <c r="AX596" s="14"/>
      <c r="AY596" s="14"/>
      <c r="AZ596" s="14"/>
      <c r="BA596" s="14"/>
      <c r="BB596" s="14"/>
      <c r="BC596" s="14"/>
      <c r="BD596" s="14"/>
      <c r="BE596" s="14"/>
      <c r="BF596" s="14"/>
      <c r="BG596" s="14"/>
      <c r="BH596" s="14"/>
      <c r="BI596" s="14"/>
    </row>
    <row r="597" spans="1:61">
      <c r="A597" s="14"/>
      <c r="B597" s="14"/>
      <c r="C597" s="14"/>
      <c r="D597" s="167"/>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t="e">
        <f>IF('Stock Data'!$H$2,IF(ISNUMBER(AK597),AK597,NA()),NA())</f>
        <v>#N/A</v>
      </c>
      <c r="AO597" s="14"/>
      <c r="AP597" s="14"/>
      <c r="AQ597" s="14"/>
      <c r="AR597" s="14"/>
      <c r="AS597" s="14"/>
      <c r="AT597" s="14"/>
      <c r="AU597" s="14"/>
      <c r="AV597" s="14"/>
      <c r="AW597" s="14"/>
      <c r="AX597" s="14"/>
      <c r="AY597" s="14"/>
      <c r="AZ597" s="14"/>
      <c r="BA597" s="14"/>
      <c r="BB597" s="14"/>
      <c r="BC597" s="14"/>
      <c r="BD597" s="14"/>
      <c r="BE597" s="14"/>
      <c r="BF597" s="14"/>
      <c r="BG597" s="14"/>
      <c r="BH597" s="14"/>
      <c r="BI597" s="14"/>
    </row>
    <row r="598" spans="1:61">
      <c r="A598" s="14"/>
      <c r="B598" s="14"/>
      <c r="C598" s="14"/>
      <c r="D598" s="167"/>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t="e">
        <f>IF('Stock Data'!$H$2,IF(ISNUMBER(AK598),AK598,NA()),NA())</f>
        <v>#N/A</v>
      </c>
      <c r="AO598" s="14"/>
      <c r="AP598" s="14"/>
      <c r="AQ598" s="14"/>
      <c r="AR598" s="14"/>
      <c r="AS598" s="14"/>
      <c r="AT598" s="14"/>
      <c r="AU598" s="14"/>
      <c r="AV598" s="14"/>
      <c r="AW598" s="14"/>
      <c r="AX598" s="14"/>
      <c r="AY598" s="14"/>
      <c r="AZ598" s="14"/>
      <c r="BA598" s="14"/>
      <c r="BB598" s="14"/>
      <c r="BC598" s="14"/>
      <c r="BD598" s="14"/>
      <c r="BE598" s="14"/>
      <c r="BF598" s="14"/>
      <c r="BG598" s="14"/>
      <c r="BH598" s="14"/>
      <c r="BI598" s="14"/>
    </row>
    <row r="599" spans="1:61">
      <c r="A599" s="14"/>
      <c r="B599" s="14"/>
      <c r="C599" s="14"/>
      <c r="D599" s="167"/>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t="e">
        <f>IF('Stock Data'!$H$2,IF(ISNUMBER(AK599),AK599,NA()),NA())</f>
        <v>#N/A</v>
      </c>
      <c r="AO599" s="14"/>
      <c r="AP599" s="14"/>
      <c r="AQ599" s="14"/>
      <c r="AR599" s="14"/>
      <c r="AS599" s="14"/>
      <c r="AT599" s="14"/>
      <c r="AU599" s="14"/>
      <c r="AV599" s="14"/>
      <c r="AW599" s="14"/>
      <c r="AX599" s="14"/>
      <c r="AY599" s="14"/>
      <c r="AZ599" s="14"/>
      <c r="BA599" s="14"/>
      <c r="BB599" s="14"/>
      <c r="BC599" s="14"/>
      <c r="BD599" s="14"/>
      <c r="BE599" s="14"/>
      <c r="BF599" s="14"/>
      <c r="BG599" s="14"/>
      <c r="BH599" s="14"/>
      <c r="BI599" s="14"/>
    </row>
    <row r="600" spans="1:61">
      <c r="A600" s="14"/>
      <c r="B600" s="14"/>
      <c r="C600" s="14"/>
      <c r="D600" s="167"/>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t="e">
        <f>IF('Stock Data'!$H$2,IF(ISNUMBER(AK600),AK600,NA()),NA())</f>
        <v>#N/A</v>
      </c>
      <c r="AO600" s="14"/>
      <c r="AP600" s="14"/>
      <c r="AQ600" s="14"/>
      <c r="AR600" s="14"/>
      <c r="AS600" s="14"/>
      <c r="AT600" s="14"/>
      <c r="AU600" s="14"/>
      <c r="AV600" s="14"/>
      <c r="AW600" s="14"/>
      <c r="AX600" s="14"/>
      <c r="AY600" s="14"/>
      <c r="AZ600" s="14"/>
      <c r="BA600" s="14"/>
      <c r="BB600" s="14"/>
      <c r="BC600" s="14"/>
      <c r="BD600" s="14"/>
      <c r="BE600" s="14"/>
      <c r="BF600" s="14"/>
      <c r="BG600" s="14"/>
      <c r="BH600" s="14"/>
      <c r="BI600" s="1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I600"/>
  <sheetViews>
    <sheetView showGridLines="0" topLeftCell="AJ1" workbookViewId="0">
      <pane ySplit="1" topLeftCell="A104" activePane="bottomLeft" state="frozen"/>
      <selection pane="bottomLeft" activeCell="AK126" sqref="AK126"/>
    </sheetView>
  </sheetViews>
  <sheetFormatPr defaultRowHeight="14.25"/>
  <cols>
    <col min="1" max="1" width="18" customWidth="1"/>
    <col min="2" max="2" width="45" customWidth="1"/>
    <col min="3" max="4" width="18" customWidth="1"/>
    <col min="5" max="7" width="38" customWidth="1"/>
    <col min="8" max="35" width="18" customWidth="1"/>
    <col min="36" max="36" width="18" style="165" customWidth="1"/>
    <col min="37" max="61" width="18" customWidth="1"/>
  </cols>
  <sheetData>
    <row r="1" spans="1:61">
      <c r="A1" s="15" t="s">
        <v>129</v>
      </c>
      <c r="B1" s="15" t="s">
        <v>525</v>
      </c>
      <c r="C1" s="15" t="s">
        <v>526</v>
      </c>
      <c r="D1" s="15" t="s">
        <v>527</v>
      </c>
      <c r="E1" s="15" t="s">
        <v>128</v>
      </c>
      <c r="F1" s="15" t="s">
        <v>320</v>
      </c>
      <c r="G1" s="15" t="s">
        <v>528</v>
      </c>
      <c r="H1" s="14" t="s">
        <v>529</v>
      </c>
      <c r="I1" s="14"/>
      <c r="J1" s="15" t="s">
        <v>86</v>
      </c>
      <c r="K1" s="15" t="s">
        <v>530</v>
      </c>
      <c r="L1" s="15" t="s">
        <v>88</v>
      </c>
      <c r="M1" s="15" t="s">
        <v>527</v>
      </c>
      <c r="N1" s="15" t="s">
        <v>128</v>
      </c>
      <c r="O1" s="14"/>
      <c r="P1" s="15" t="s">
        <v>531</v>
      </c>
      <c r="Q1" s="15" t="s">
        <v>532</v>
      </c>
      <c r="R1" s="15" t="s">
        <v>533</v>
      </c>
      <c r="S1" s="15" t="s">
        <v>527</v>
      </c>
      <c r="T1" s="15" t="s">
        <v>128</v>
      </c>
      <c r="U1" s="14"/>
      <c r="V1" s="15" t="s">
        <v>48</v>
      </c>
      <c r="W1" s="15" t="s">
        <v>49</v>
      </c>
      <c r="X1" s="15" t="s">
        <v>534</v>
      </c>
      <c r="Y1" s="15" t="s">
        <v>535</v>
      </c>
      <c r="Z1" s="15" t="s">
        <v>536</v>
      </c>
      <c r="AA1" s="15" t="s">
        <v>537</v>
      </c>
      <c r="AB1" s="15" t="s">
        <v>128</v>
      </c>
      <c r="AC1" s="14"/>
      <c r="AD1" s="15" t="s">
        <v>538</v>
      </c>
      <c r="AE1" s="15" t="s">
        <v>539</v>
      </c>
      <c r="AF1" s="15" t="s">
        <v>540</v>
      </c>
      <c r="AG1" s="15" t="s">
        <v>527</v>
      </c>
      <c r="AH1" s="15" t="s">
        <v>541</v>
      </c>
      <c r="AI1" s="14"/>
      <c r="AJ1" s="168" t="s">
        <v>542</v>
      </c>
      <c r="AK1" s="15" t="s">
        <v>543</v>
      </c>
      <c r="AL1" s="15" t="s">
        <v>533</v>
      </c>
      <c r="AM1" s="15" t="s">
        <v>128</v>
      </c>
      <c r="AN1" s="14" t="s">
        <v>544</v>
      </c>
      <c r="AO1" s="14"/>
      <c r="AP1" s="14"/>
      <c r="AQ1" s="15" t="s">
        <v>545</v>
      </c>
      <c r="AR1" s="15" t="s">
        <v>537</v>
      </c>
      <c r="AS1" s="15" t="s">
        <v>38</v>
      </c>
      <c r="AT1" s="15" t="s">
        <v>546</v>
      </c>
      <c r="AU1" s="15" t="s">
        <v>547</v>
      </c>
      <c r="AV1" s="15" t="s">
        <v>128</v>
      </c>
      <c r="AW1" s="15" t="s">
        <v>548</v>
      </c>
      <c r="AX1" s="14"/>
      <c r="AY1" s="15" t="s">
        <v>549</v>
      </c>
      <c r="AZ1" s="15" t="s">
        <v>542</v>
      </c>
      <c r="BA1" s="15" t="s">
        <v>550</v>
      </c>
      <c r="BB1" s="15" t="s">
        <v>551</v>
      </c>
      <c r="BC1" s="14"/>
      <c r="BD1" s="15" t="s">
        <v>552</v>
      </c>
      <c r="BE1" s="15" t="s">
        <v>128</v>
      </c>
      <c r="BF1" s="15" t="s">
        <v>553</v>
      </c>
      <c r="BG1" s="15" t="s">
        <v>554</v>
      </c>
      <c r="BH1" s="15" t="s">
        <v>555</v>
      </c>
      <c r="BI1" s="15" t="s">
        <v>877</v>
      </c>
    </row>
    <row r="2" spans="1:61">
      <c r="A2" s="14" t="s">
        <v>140</v>
      </c>
      <c r="B2" s="14" t="s">
        <v>1038</v>
      </c>
      <c r="C2" s="14"/>
      <c r="D2" s="14"/>
      <c r="E2" s="14" t="s">
        <v>261</v>
      </c>
      <c r="F2" s="14" t="s">
        <v>557</v>
      </c>
      <c r="G2" s="14" t="s">
        <v>1039</v>
      </c>
      <c r="H2" s="14" t="b">
        <f>UPPER(ETF!T5)='ETF Data'!$B$88</f>
        <v>1</v>
      </c>
      <c r="I2" s="14"/>
      <c r="J2" s="14" t="s">
        <v>639</v>
      </c>
      <c r="K2" s="14" t="s">
        <v>640</v>
      </c>
      <c r="L2" s="14">
        <v>8.2428959999999996E-2</v>
      </c>
      <c r="M2" s="14">
        <v>46304</v>
      </c>
      <c r="N2" s="14" t="s">
        <v>279</v>
      </c>
      <c r="O2" s="14"/>
      <c r="P2" s="14" t="s">
        <v>559</v>
      </c>
      <c r="Q2" s="14">
        <v>0.1507</v>
      </c>
      <c r="R2" s="14" t="s">
        <v>641</v>
      </c>
      <c r="S2" s="14">
        <v>46304</v>
      </c>
      <c r="T2" s="14" t="s">
        <v>273</v>
      </c>
      <c r="U2" s="14"/>
      <c r="V2" s="14">
        <v>46283</v>
      </c>
      <c r="W2" s="14">
        <v>1.8888339999999999</v>
      </c>
      <c r="X2" s="14">
        <v>46325</v>
      </c>
      <c r="Y2" s="14">
        <v>46283</v>
      </c>
      <c r="Z2" s="14">
        <v>46024</v>
      </c>
      <c r="AA2" s="14"/>
      <c r="AB2" s="14" t="s">
        <v>160</v>
      </c>
      <c r="AC2" s="14"/>
      <c r="AD2" s="14" t="s">
        <v>1073</v>
      </c>
      <c r="AE2" s="14">
        <v>33991</v>
      </c>
      <c r="AF2" s="14">
        <v>31.79</v>
      </c>
      <c r="AG2" s="14">
        <v>46295</v>
      </c>
      <c r="AH2" s="14" t="s">
        <v>1074</v>
      </c>
      <c r="AI2" s="14"/>
      <c r="AJ2" s="167">
        <v>45943</v>
      </c>
      <c r="AK2" s="14">
        <v>663.04</v>
      </c>
      <c r="AL2" s="14" t="s">
        <v>562</v>
      </c>
      <c r="AM2" s="14" t="s">
        <v>154</v>
      </c>
      <c r="AN2" s="14">
        <f>IF('ETF Data'!$H$2,IF(ISNUMBER(AK2),AK2,NA()),NA())</f>
        <v>663.04</v>
      </c>
      <c r="AO2" s="14"/>
      <c r="AP2" s="14"/>
      <c r="AQ2" s="14"/>
      <c r="AR2" s="14"/>
      <c r="AS2" s="14"/>
      <c r="AT2" s="14"/>
      <c r="AU2" s="14"/>
      <c r="AV2" s="14"/>
      <c r="AW2" s="14"/>
      <c r="AX2" s="14"/>
      <c r="AY2" s="14" t="s">
        <v>1051</v>
      </c>
      <c r="AZ2" s="14">
        <v>46307</v>
      </c>
      <c r="BA2" s="14" t="s">
        <v>1052</v>
      </c>
      <c r="BB2" s="14" t="s">
        <v>1053</v>
      </c>
      <c r="BC2" s="14"/>
      <c r="BD2" s="14" t="s">
        <v>588</v>
      </c>
      <c r="BE2" s="14" t="s">
        <v>589</v>
      </c>
      <c r="BF2" s="14" t="s">
        <v>566</v>
      </c>
      <c r="BG2" s="14"/>
      <c r="BH2" s="14">
        <v>200</v>
      </c>
      <c r="BI2" s="14">
        <v>46307.767905092594</v>
      </c>
    </row>
    <row r="3" spans="1:61">
      <c r="A3" s="14" t="s">
        <v>149</v>
      </c>
      <c r="B3" s="14" t="s">
        <v>338</v>
      </c>
      <c r="C3" s="14"/>
      <c r="D3" s="14">
        <v>46307</v>
      </c>
      <c r="E3" s="14" t="s">
        <v>139</v>
      </c>
      <c r="F3" s="14" t="s">
        <v>557</v>
      </c>
      <c r="G3" s="14" t="s">
        <v>568</v>
      </c>
      <c r="H3" s="14"/>
      <c r="I3" s="14"/>
      <c r="J3" s="14" t="s">
        <v>643</v>
      </c>
      <c r="K3" s="14" t="s">
        <v>644</v>
      </c>
      <c r="L3" s="14">
        <v>7.2986960000000004E-2</v>
      </c>
      <c r="M3" s="14">
        <v>46304</v>
      </c>
      <c r="N3" s="14" t="s">
        <v>279</v>
      </c>
      <c r="O3" s="14"/>
      <c r="P3" s="14" t="s">
        <v>645</v>
      </c>
      <c r="Q3" s="14">
        <v>0.16919999999999999</v>
      </c>
      <c r="R3" s="14" t="s">
        <v>641</v>
      </c>
      <c r="S3" s="14">
        <v>46304</v>
      </c>
      <c r="T3" s="14" t="s">
        <v>273</v>
      </c>
      <c r="U3" s="14"/>
      <c r="V3" s="14">
        <v>46191</v>
      </c>
      <c r="W3" s="14">
        <v>1.903516</v>
      </c>
      <c r="X3" s="14">
        <v>46234</v>
      </c>
      <c r="Y3" s="14">
        <v>46191</v>
      </c>
      <c r="Z3" s="14">
        <v>46024</v>
      </c>
      <c r="AA3" s="14"/>
      <c r="AB3" s="14" t="s">
        <v>160</v>
      </c>
      <c r="AC3" s="14"/>
      <c r="AD3" s="14"/>
      <c r="AE3" s="14"/>
      <c r="AF3" s="14"/>
      <c r="AG3" s="14"/>
      <c r="AH3" s="14"/>
      <c r="AI3" s="14"/>
      <c r="AJ3" s="167">
        <v>45944</v>
      </c>
      <c r="AK3" s="14">
        <v>662.23</v>
      </c>
      <c r="AL3" s="14" t="s">
        <v>562</v>
      </c>
      <c r="AM3" s="14" t="s">
        <v>154</v>
      </c>
      <c r="AN3" s="14">
        <f>IF('ETF Data'!$H$2,IF(ISNUMBER(AK3),AK3,NA()),NA())</f>
        <v>662.23</v>
      </c>
      <c r="AO3" s="14"/>
      <c r="AP3" s="14"/>
      <c r="AQ3" s="14"/>
      <c r="AR3" s="14"/>
      <c r="AS3" s="14"/>
      <c r="AT3" s="14"/>
      <c r="AU3" s="14"/>
      <c r="AV3" s="14"/>
      <c r="AW3" s="14"/>
      <c r="AX3" s="14"/>
      <c r="AY3" s="14" t="s">
        <v>1054</v>
      </c>
      <c r="AZ3" s="14">
        <v>46307</v>
      </c>
      <c r="BA3" s="14" t="s">
        <v>576</v>
      </c>
      <c r="BB3" s="14" t="s">
        <v>1055</v>
      </c>
      <c r="BC3" s="14"/>
      <c r="BD3" s="14" t="s">
        <v>881</v>
      </c>
      <c r="BE3" s="14" t="s">
        <v>882</v>
      </c>
      <c r="BF3" s="14" t="s">
        <v>566</v>
      </c>
      <c r="BG3" s="14" t="s">
        <v>1037</v>
      </c>
      <c r="BH3" s="14">
        <v>200</v>
      </c>
      <c r="BI3" s="14">
        <v>46307.767905092594</v>
      </c>
    </row>
    <row r="4" spans="1:61">
      <c r="A4" s="14" t="s">
        <v>155</v>
      </c>
      <c r="B4" s="14" t="s">
        <v>646</v>
      </c>
      <c r="C4" s="14"/>
      <c r="D4" s="14">
        <v>46307</v>
      </c>
      <c r="E4" s="14" t="s">
        <v>139</v>
      </c>
      <c r="F4" s="14" t="s">
        <v>557</v>
      </c>
      <c r="G4" s="14" t="s">
        <v>647</v>
      </c>
      <c r="H4" s="14"/>
      <c r="I4" s="14"/>
      <c r="J4" s="14" t="s">
        <v>648</v>
      </c>
      <c r="K4" s="14" t="s">
        <v>649</v>
      </c>
      <c r="L4" s="14">
        <v>5.9025809999999998E-2</v>
      </c>
      <c r="M4" s="14">
        <v>46304</v>
      </c>
      <c r="N4" s="14" t="s">
        <v>279</v>
      </c>
      <c r="O4" s="14"/>
      <c r="P4" s="14" t="s">
        <v>650</v>
      </c>
      <c r="Q4" s="14">
        <v>0.23849999999999999</v>
      </c>
      <c r="R4" s="14" t="s">
        <v>641</v>
      </c>
      <c r="S4" s="14">
        <v>46304</v>
      </c>
      <c r="T4" s="14" t="s">
        <v>273</v>
      </c>
      <c r="U4" s="14"/>
      <c r="V4" s="14">
        <v>46101</v>
      </c>
      <c r="W4" s="14">
        <v>1.796999</v>
      </c>
      <c r="X4" s="14">
        <v>46142</v>
      </c>
      <c r="Y4" s="14">
        <v>46101</v>
      </c>
      <c r="Z4" s="14">
        <v>46024</v>
      </c>
      <c r="AA4" s="14"/>
      <c r="AB4" s="14" t="s">
        <v>160</v>
      </c>
      <c r="AC4" s="14"/>
      <c r="AD4" s="14"/>
      <c r="AE4" s="14"/>
      <c r="AF4" s="14"/>
      <c r="AG4" s="14"/>
      <c r="AH4" s="14"/>
      <c r="AI4" s="14"/>
      <c r="AJ4" s="167">
        <v>45945</v>
      </c>
      <c r="AK4" s="14">
        <v>665.17</v>
      </c>
      <c r="AL4" s="14" t="s">
        <v>562</v>
      </c>
      <c r="AM4" s="14" t="s">
        <v>154</v>
      </c>
      <c r="AN4" s="14">
        <f>IF('ETF Data'!$H$2,IF(ISNUMBER(AK4),AK4,NA()),NA())</f>
        <v>665.17</v>
      </c>
      <c r="AO4" s="14"/>
      <c r="AP4" s="14"/>
      <c r="AQ4" s="14"/>
      <c r="AR4" s="14"/>
      <c r="AS4" s="14"/>
      <c r="AT4" s="14"/>
      <c r="AU4" s="14"/>
      <c r="AV4" s="14"/>
      <c r="AW4" s="14"/>
      <c r="AX4" s="14"/>
      <c r="AY4" s="14" t="s">
        <v>1056</v>
      </c>
      <c r="AZ4" s="14">
        <v>46307</v>
      </c>
      <c r="BA4" s="14" t="s">
        <v>576</v>
      </c>
      <c r="BB4" s="14" t="s">
        <v>1057</v>
      </c>
      <c r="BC4" s="14"/>
      <c r="BD4" s="14" t="s">
        <v>135</v>
      </c>
      <c r="BE4" s="14" t="s">
        <v>139</v>
      </c>
      <c r="BF4" s="14" t="s">
        <v>566</v>
      </c>
      <c r="BG4" s="14" t="s">
        <v>642</v>
      </c>
      <c r="BH4" s="14">
        <v>200</v>
      </c>
      <c r="BI4" s="14">
        <v>46307.767916666664</v>
      </c>
    </row>
    <row r="5" spans="1:61">
      <c r="A5" s="14" t="s">
        <v>161</v>
      </c>
      <c r="B5" s="14">
        <v>778.1</v>
      </c>
      <c r="C5" s="14"/>
      <c r="D5" s="14">
        <v>46307</v>
      </c>
      <c r="E5" s="14" t="s">
        <v>139</v>
      </c>
      <c r="F5" s="14" t="s">
        <v>557</v>
      </c>
      <c r="G5" s="14" t="s">
        <v>1040</v>
      </c>
      <c r="H5" s="14"/>
      <c r="I5" s="14"/>
      <c r="J5" s="14" t="s">
        <v>651</v>
      </c>
      <c r="K5" s="14" t="s">
        <v>652</v>
      </c>
      <c r="L5" s="14">
        <v>3.8268320000000002E-2</v>
      </c>
      <c r="M5" s="14">
        <v>46304</v>
      </c>
      <c r="N5" s="14" t="s">
        <v>279</v>
      </c>
      <c r="O5" s="14"/>
      <c r="P5" s="14" t="s">
        <v>653</v>
      </c>
      <c r="Q5" s="14">
        <v>0.13900000000000001</v>
      </c>
      <c r="R5" s="14" t="s">
        <v>641</v>
      </c>
      <c r="S5" s="14">
        <v>46304</v>
      </c>
      <c r="T5" s="14" t="s">
        <v>273</v>
      </c>
      <c r="U5" s="14"/>
      <c r="V5" s="14">
        <v>46010</v>
      </c>
      <c r="W5" s="14">
        <v>1.993368</v>
      </c>
      <c r="X5" s="14">
        <v>46052</v>
      </c>
      <c r="Y5" s="14">
        <v>46010</v>
      </c>
      <c r="Z5" s="14">
        <v>45666</v>
      </c>
      <c r="AA5" s="14"/>
      <c r="AB5" s="14" t="s">
        <v>160</v>
      </c>
      <c r="AC5" s="14"/>
      <c r="AD5" s="14"/>
      <c r="AE5" s="14"/>
      <c r="AF5" s="14"/>
      <c r="AG5" s="14"/>
      <c r="AH5" s="14"/>
      <c r="AI5" s="14"/>
      <c r="AJ5" s="167">
        <v>45946</v>
      </c>
      <c r="AK5" s="14">
        <v>660.64</v>
      </c>
      <c r="AL5" s="14" t="s">
        <v>562</v>
      </c>
      <c r="AM5" s="14" t="s">
        <v>154</v>
      </c>
      <c r="AN5" s="14">
        <f>IF('ETF Data'!$H$2,IF(ISNUMBER(AK5),AK5,NA()),NA())</f>
        <v>660.64</v>
      </c>
      <c r="AO5" s="14"/>
      <c r="AP5" s="14"/>
      <c r="AQ5" s="14"/>
      <c r="AR5" s="14"/>
      <c r="AS5" s="14"/>
      <c r="AT5" s="14"/>
      <c r="AU5" s="14"/>
      <c r="AV5" s="14"/>
      <c r="AW5" s="14"/>
      <c r="AX5" s="14"/>
      <c r="AY5" s="14" t="s">
        <v>1058</v>
      </c>
      <c r="AZ5" s="14">
        <v>46307</v>
      </c>
      <c r="BA5" s="14" t="s">
        <v>576</v>
      </c>
      <c r="BB5" s="14" t="s">
        <v>1059</v>
      </c>
      <c r="BC5" s="14"/>
      <c r="BD5" s="14" t="s">
        <v>151</v>
      </c>
      <c r="BE5" s="14" t="s">
        <v>154</v>
      </c>
      <c r="BF5" s="14" t="s">
        <v>566</v>
      </c>
      <c r="BG5" s="14" t="s">
        <v>1050</v>
      </c>
      <c r="BH5" s="14">
        <v>200</v>
      </c>
      <c r="BI5" s="14">
        <v>46307.767928240741</v>
      </c>
    </row>
    <row r="6" spans="1:61">
      <c r="A6" s="14" t="s">
        <v>168</v>
      </c>
      <c r="B6" s="14">
        <v>778.1</v>
      </c>
      <c r="C6" s="14"/>
      <c r="D6" s="14">
        <v>46307</v>
      </c>
      <c r="E6" s="14" t="s">
        <v>139</v>
      </c>
      <c r="F6" s="14" t="s">
        <v>557</v>
      </c>
      <c r="G6" s="14" t="s">
        <v>1040</v>
      </c>
      <c r="H6" s="14"/>
      <c r="I6" s="14"/>
      <c r="J6" s="14" t="s">
        <v>654</v>
      </c>
      <c r="K6" s="14" t="s">
        <v>655</v>
      </c>
      <c r="L6" s="14">
        <v>3.065698E-2</v>
      </c>
      <c r="M6" s="14">
        <v>46304</v>
      </c>
      <c r="N6" s="14" t="s">
        <v>279</v>
      </c>
      <c r="O6" s="14"/>
      <c r="P6" s="14" t="s">
        <v>656</v>
      </c>
      <c r="Q6" s="14">
        <v>0.15559999999999999</v>
      </c>
      <c r="R6" s="14" t="s">
        <v>641</v>
      </c>
      <c r="S6" s="14">
        <v>46304</v>
      </c>
      <c r="T6" s="14" t="s">
        <v>273</v>
      </c>
      <c r="U6" s="14"/>
      <c r="V6" s="14"/>
      <c r="W6" s="14"/>
      <c r="X6" s="14"/>
      <c r="Y6" s="14"/>
      <c r="Z6" s="14"/>
      <c r="AA6" s="14"/>
      <c r="AB6" s="14"/>
      <c r="AC6" s="14"/>
      <c r="AD6" s="14"/>
      <c r="AE6" s="14"/>
      <c r="AF6" s="14"/>
      <c r="AG6" s="14"/>
      <c r="AH6" s="14"/>
      <c r="AI6" s="14"/>
      <c r="AJ6" s="167">
        <v>45947</v>
      </c>
      <c r="AK6" s="14">
        <v>664.39</v>
      </c>
      <c r="AL6" s="14" t="s">
        <v>562</v>
      </c>
      <c r="AM6" s="14" t="s">
        <v>154</v>
      </c>
      <c r="AN6" s="14">
        <f>IF('ETF Data'!$H$2,IF(ISNUMBER(AK6),AK6,NA()),NA())</f>
        <v>664.39</v>
      </c>
      <c r="AO6" s="14"/>
      <c r="AP6" s="14"/>
      <c r="AQ6" s="14"/>
      <c r="AR6" s="14"/>
      <c r="AS6" s="14"/>
      <c r="AT6" s="14"/>
      <c r="AU6" s="14"/>
      <c r="AV6" s="14"/>
      <c r="AW6" s="14"/>
      <c r="AX6" s="14"/>
      <c r="AY6" s="14" t="s">
        <v>1060</v>
      </c>
      <c r="AZ6" s="14">
        <v>46307</v>
      </c>
      <c r="BA6" s="14" t="s">
        <v>576</v>
      </c>
      <c r="BB6" s="14" t="s">
        <v>1061</v>
      </c>
      <c r="BC6" s="14"/>
      <c r="BD6" s="14" t="s">
        <v>157</v>
      </c>
      <c r="BE6" s="14" t="s">
        <v>160</v>
      </c>
      <c r="BF6" s="14" t="s">
        <v>566</v>
      </c>
      <c r="BG6" s="14"/>
      <c r="BH6" s="14">
        <v>200</v>
      </c>
      <c r="BI6" s="14">
        <v>46307.767928240741</v>
      </c>
    </row>
    <row r="7" spans="1:61">
      <c r="A7" s="14" t="s">
        <v>174</v>
      </c>
      <c r="B7" s="14">
        <v>-0.47</v>
      </c>
      <c r="C7" s="14"/>
      <c r="D7" s="14">
        <v>46307</v>
      </c>
      <c r="E7" s="14" t="s">
        <v>139</v>
      </c>
      <c r="F7" s="14" t="s">
        <v>557</v>
      </c>
      <c r="G7" s="14" t="s">
        <v>1041</v>
      </c>
      <c r="H7" s="14"/>
      <c r="I7" s="14"/>
      <c r="J7" s="14" t="s">
        <v>657</v>
      </c>
      <c r="K7" s="14" t="s">
        <v>658</v>
      </c>
      <c r="L7" s="14">
        <v>2.555433E-2</v>
      </c>
      <c r="M7" s="14">
        <v>46304</v>
      </c>
      <c r="N7" s="14" t="s">
        <v>279</v>
      </c>
      <c r="O7" s="14"/>
      <c r="P7" s="14" t="s">
        <v>659</v>
      </c>
      <c r="Q7" s="14">
        <v>0.10879999999999999</v>
      </c>
      <c r="R7" s="14" t="s">
        <v>641</v>
      </c>
      <c r="S7" s="14">
        <v>46304</v>
      </c>
      <c r="T7" s="14" t="s">
        <v>273</v>
      </c>
      <c r="U7" s="14"/>
      <c r="V7" s="14"/>
      <c r="W7" s="14"/>
      <c r="X7" s="14"/>
      <c r="Y7" s="14"/>
      <c r="Z7" s="14"/>
      <c r="AA7" s="14"/>
      <c r="AB7" s="14"/>
      <c r="AC7" s="14"/>
      <c r="AD7" s="14"/>
      <c r="AE7" s="14"/>
      <c r="AF7" s="14"/>
      <c r="AG7" s="14"/>
      <c r="AH7" s="14"/>
      <c r="AI7" s="14"/>
      <c r="AJ7" s="167">
        <v>45950</v>
      </c>
      <c r="AK7" s="14">
        <v>671.3</v>
      </c>
      <c r="AL7" s="14" t="s">
        <v>562</v>
      </c>
      <c r="AM7" s="14" t="s">
        <v>154</v>
      </c>
      <c r="AN7" s="14">
        <f>IF('ETF Data'!$H$2,IF(ISNUMBER(AK7),AK7,NA()),NA())</f>
        <v>671.3</v>
      </c>
      <c r="AO7" s="14"/>
      <c r="AP7" s="14"/>
      <c r="AQ7" s="14"/>
      <c r="AR7" s="14"/>
      <c r="AS7" s="14"/>
      <c r="AT7" s="14"/>
      <c r="AU7" s="14"/>
      <c r="AV7" s="14"/>
      <c r="AW7" s="14"/>
      <c r="AX7" s="14"/>
      <c r="AY7" s="14"/>
      <c r="AZ7" s="14"/>
      <c r="BA7" s="14"/>
      <c r="BB7" s="14"/>
      <c r="BC7" s="14"/>
      <c r="BD7" s="14" t="s">
        <v>199</v>
      </c>
      <c r="BE7" s="14" t="s">
        <v>203</v>
      </c>
      <c r="BF7" s="14" t="s">
        <v>566</v>
      </c>
      <c r="BG7" s="14"/>
      <c r="BH7" s="14">
        <v>200</v>
      </c>
      <c r="BI7" s="14">
        <v>46307.767928240741</v>
      </c>
    </row>
    <row r="8" spans="1:61">
      <c r="A8" s="14" t="s">
        <v>180</v>
      </c>
      <c r="B8" s="14">
        <v>-5.9999999999999995E-4</v>
      </c>
      <c r="C8" s="14"/>
      <c r="D8" s="14">
        <v>46307</v>
      </c>
      <c r="E8" s="14" t="s">
        <v>139</v>
      </c>
      <c r="F8" s="14" t="s">
        <v>557</v>
      </c>
      <c r="G8" s="14" t="s">
        <v>1042</v>
      </c>
      <c r="H8" s="14"/>
      <c r="I8" s="14"/>
      <c r="J8" s="14" t="s">
        <v>660</v>
      </c>
      <c r="K8" s="14" t="s">
        <v>661</v>
      </c>
      <c r="L8" s="14">
        <v>2.4564989999999998E-2</v>
      </c>
      <c r="M8" s="14">
        <v>46304</v>
      </c>
      <c r="N8" s="14" t="s">
        <v>279</v>
      </c>
      <c r="O8" s="14"/>
      <c r="P8" s="14"/>
      <c r="Q8" s="14"/>
      <c r="R8" s="14"/>
      <c r="S8" s="14"/>
      <c r="T8" s="14"/>
      <c r="U8" s="14"/>
      <c r="V8" s="14"/>
      <c r="W8" s="14"/>
      <c r="X8" s="14"/>
      <c r="Y8" s="14"/>
      <c r="Z8" s="14"/>
      <c r="AA8" s="14"/>
      <c r="AB8" s="14"/>
      <c r="AC8" s="14"/>
      <c r="AD8" s="14"/>
      <c r="AE8" s="14"/>
      <c r="AF8" s="14"/>
      <c r="AG8" s="14"/>
      <c r="AH8" s="14"/>
      <c r="AI8" s="14"/>
      <c r="AJ8" s="167">
        <v>45951</v>
      </c>
      <c r="AK8" s="14">
        <v>671.29</v>
      </c>
      <c r="AL8" s="14" t="s">
        <v>562</v>
      </c>
      <c r="AM8" s="14" t="s">
        <v>154</v>
      </c>
      <c r="AN8" s="14">
        <f>IF('ETF Data'!$H$2,IF(ISNUMBER(AK8),AK8,NA()),NA())</f>
        <v>671.29</v>
      </c>
      <c r="AO8" s="14"/>
      <c r="AP8" s="14"/>
      <c r="AQ8" s="14"/>
      <c r="AR8" s="14"/>
      <c r="AS8" s="14"/>
      <c r="AT8" s="14"/>
      <c r="AU8" s="14"/>
      <c r="AV8" s="14"/>
      <c r="AW8" s="14"/>
      <c r="AX8" s="14"/>
      <c r="AY8" s="14"/>
      <c r="AZ8" s="14"/>
      <c r="BA8" s="14"/>
      <c r="BB8" s="14"/>
      <c r="BC8" s="14"/>
      <c r="BD8" s="14" t="s">
        <v>206</v>
      </c>
      <c r="BE8" s="14" t="s">
        <v>210</v>
      </c>
      <c r="BF8" s="14" t="s">
        <v>566</v>
      </c>
      <c r="BG8" s="14"/>
      <c r="BH8" s="14">
        <v>200</v>
      </c>
      <c r="BI8" s="14">
        <v>46307.767939814818</v>
      </c>
    </row>
    <row r="9" spans="1:61">
      <c r="A9" s="14" t="s">
        <v>187</v>
      </c>
      <c r="B9" s="14">
        <v>46307</v>
      </c>
      <c r="C9" s="14"/>
      <c r="D9" s="14">
        <v>46307</v>
      </c>
      <c r="E9" s="14" t="s">
        <v>139</v>
      </c>
      <c r="F9" s="14" t="s">
        <v>557</v>
      </c>
      <c r="G9" s="14" t="s">
        <v>594</v>
      </c>
      <c r="H9" s="14"/>
      <c r="I9" s="14"/>
      <c r="J9" s="14" t="s">
        <v>662</v>
      </c>
      <c r="K9" s="14" t="s">
        <v>663</v>
      </c>
      <c r="L9" s="14">
        <v>2.3544349999999999E-2</v>
      </c>
      <c r="M9" s="14">
        <v>46304</v>
      </c>
      <c r="N9" s="14" t="s">
        <v>279</v>
      </c>
      <c r="O9" s="14"/>
      <c r="P9" s="14"/>
      <c r="Q9" s="14"/>
      <c r="R9" s="14"/>
      <c r="S9" s="14"/>
      <c r="T9" s="14"/>
      <c r="U9" s="14"/>
      <c r="V9" s="14"/>
      <c r="W9" s="14"/>
      <c r="X9" s="14"/>
      <c r="Y9" s="14"/>
      <c r="Z9" s="14"/>
      <c r="AA9" s="14"/>
      <c r="AB9" s="14"/>
      <c r="AC9" s="14"/>
      <c r="AD9" s="14"/>
      <c r="AE9" s="14"/>
      <c r="AF9" s="14"/>
      <c r="AG9" s="14"/>
      <c r="AH9" s="14"/>
      <c r="AI9" s="14"/>
      <c r="AJ9" s="167">
        <v>45952</v>
      </c>
      <c r="AK9" s="14">
        <v>667.8</v>
      </c>
      <c r="AL9" s="14" t="s">
        <v>562</v>
      </c>
      <c r="AM9" s="14" t="s">
        <v>154</v>
      </c>
      <c r="AN9" s="14">
        <f>IF('ETF Data'!$H$2,IF(ISNUMBER(AK9),AK9,NA()),NA())</f>
        <v>667.8</v>
      </c>
      <c r="AO9" s="14"/>
      <c r="AP9" s="14"/>
      <c r="AQ9" s="14"/>
      <c r="AR9" s="14"/>
      <c r="AS9" s="14"/>
      <c r="AT9" s="14"/>
      <c r="AU9" s="14"/>
      <c r="AV9" s="14"/>
      <c r="AW9" s="14"/>
      <c r="AX9" s="14"/>
      <c r="AY9" s="14"/>
      <c r="AZ9" s="14"/>
      <c r="BA9" s="14"/>
      <c r="BB9" s="14"/>
      <c r="BC9" s="14"/>
      <c r="BD9" s="14" t="s">
        <v>213</v>
      </c>
      <c r="BE9" s="14" t="s">
        <v>216</v>
      </c>
      <c r="BF9" s="14" t="s">
        <v>566</v>
      </c>
      <c r="BG9" s="14"/>
      <c r="BH9" s="14">
        <v>200</v>
      </c>
      <c r="BI9" s="14">
        <v>46307.767939814818</v>
      </c>
    </row>
    <row r="10" spans="1:61">
      <c r="A10" s="14" t="s">
        <v>191</v>
      </c>
      <c r="B10" s="14">
        <v>0.66666666666666663</v>
      </c>
      <c r="C10" s="14"/>
      <c r="D10" s="14">
        <v>46307</v>
      </c>
      <c r="E10" s="14" t="s">
        <v>139</v>
      </c>
      <c r="F10" s="14" t="s">
        <v>557</v>
      </c>
      <c r="G10" s="14" t="s">
        <v>582</v>
      </c>
      <c r="H10" s="14"/>
      <c r="I10" s="14"/>
      <c r="J10" s="14" t="s">
        <v>665</v>
      </c>
      <c r="K10" s="14" t="s">
        <v>666</v>
      </c>
      <c r="L10" s="14">
        <v>1.7266150000000001E-2</v>
      </c>
      <c r="M10" s="14">
        <v>46304</v>
      </c>
      <c r="N10" s="14" t="s">
        <v>279</v>
      </c>
      <c r="O10" s="14"/>
      <c r="P10" s="14"/>
      <c r="Q10" s="14"/>
      <c r="R10" s="14"/>
      <c r="S10" s="14"/>
      <c r="T10" s="14"/>
      <c r="U10" s="14"/>
      <c r="V10" s="14"/>
      <c r="W10" s="14"/>
      <c r="X10" s="14"/>
      <c r="Y10" s="14"/>
      <c r="Z10" s="14"/>
      <c r="AA10" s="14"/>
      <c r="AB10" s="14"/>
      <c r="AC10" s="14"/>
      <c r="AD10" s="14"/>
      <c r="AE10" s="14"/>
      <c r="AF10" s="14"/>
      <c r="AG10" s="14"/>
      <c r="AH10" s="14"/>
      <c r="AI10" s="14"/>
      <c r="AJ10" s="167">
        <v>45953</v>
      </c>
      <c r="AK10" s="14">
        <v>671.76</v>
      </c>
      <c r="AL10" s="14" t="s">
        <v>562</v>
      </c>
      <c r="AM10" s="14" t="s">
        <v>154</v>
      </c>
      <c r="AN10" s="14">
        <f>IF('ETF Data'!$H$2,IF(ISNUMBER(AK10),AK10,NA()),NA())</f>
        <v>671.76</v>
      </c>
      <c r="AO10" s="14"/>
      <c r="AP10" s="14"/>
      <c r="AQ10" s="14"/>
      <c r="AR10" s="14"/>
      <c r="AS10" s="14"/>
      <c r="AT10" s="14"/>
      <c r="AU10" s="14"/>
      <c r="AV10" s="14"/>
      <c r="AW10" s="14"/>
      <c r="AX10" s="14"/>
      <c r="AY10" s="14"/>
      <c r="AZ10" s="14"/>
      <c r="BA10" s="14"/>
      <c r="BB10" s="14"/>
      <c r="BC10" s="14"/>
      <c r="BD10" s="14" t="s">
        <v>219</v>
      </c>
      <c r="BE10" s="14" t="s">
        <v>221</v>
      </c>
      <c r="BF10" s="14" t="s">
        <v>566</v>
      </c>
      <c r="BG10" s="14"/>
      <c r="BH10" s="14">
        <v>200</v>
      </c>
      <c r="BI10" s="14">
        <v>46307.767939814818</v>
      </c>
    </row>
    <row r="11" spans="1:61">
      <c r="A11" s="14" t="s">
        <v>197</v>
      </c>
      <c r="B11" s="14">
        <v>-4</v>
      </c>
      <c r="C11" s="14"/>
      <c r="D11" s="14">
        <v>46307</v>
      </c>
      <c r="E11" s="14" t="s">
        <v>139</v>
      </c>
      <c r="F11" s="14" t="s">
        <v>557</v>
      </c>
      <c r="G11" s="14" t="s">
        <v>584</v>
      </c>
      <c r="H11" s="14"/>
      <c r="I11" s="14"/>
      <c r="J11" s="14" t="s">
        <v>667</v>
      </c>
      <c r="K11" s="14" t="s">
        <v>668</v>
      </c>
      <c r="L11" s="14">
        <v>1.6024429999999999E-2</v>
      </c>
      <c r="M11" s="14">
        <v>46304</v>
      </c>
      <c r="N11" s="14" t="s">
        <v>279</v>
      </c>
      <c r="O11" s="14"/>
      <c r="P11" s="14"/>
      <c r="Q11" s="14"/>
      <c r="R11" s="14"/>
      <c r="S11" s="14"/>
      <c r="T11" s="14"/>
      <c r="U11" s="14"/>
      <c r="V11" s="14"/>
      <c r="W11" s="14"/>
      <c r="X11" s="14"/>
      <c r="Y11" s="14"/>
      <c r="Z11" s="14"/>
      <c r="AA11" s="14"/>
      <c r="AB11" s="14"/>
      <c r="AC11" s="14"/>
      <c r="AD11" s="14"/>
      <c r="AE11" s="14"/>
      <c r="AF11" s="14"/>
      <c r="AG11" s="14"/>
      <c r="AH11" s="14"/>
      <c r="AI11" s="14"/>
      <c r="AJ11" s="167">
        <v>45954</v>
      </c>
      <c r="AK11" s="14">
        <v>677.25</v>
      </c>
      <c r="AL11" s="14" t="s">
        <v>562</v>
      </c>
      <c r="AM11" s="14" t="s">
        <v>154</v>
      </c>
      <c r="AN11" s="14">
        <f>IF('ETF Data'!$H$2,IF(ISNUMBER(AK11),AK11,NA()),NA())</f>
        <v>677.25</v>
      </c>
      <c r="AO11" s="14"/>
      <c r="AP11" s="14"/>
      <c r="AQ11" s="14"/>
      <c r="AR11" s="14"/>
      <c r="AS11" s="14"/>
      <c r="AT11" s="14"/>
      <c r="AU11" s="14"/>
      <c r="AV11" s="14"/>
      <c r="AW11" s="14"/>
      <c r="AX11" s="14"/>
      <c r="AY11" s="14"/>
      <c r="AZ11" s="14"/>
      <c r="BA11" s="14"/>
      <c r="BB11" s="14"/>
      <c r="BC11" s="14"/>
      <c r="BD11" s="14" t="s">
        <v>257</v>
      </c>
      <c r="BE11" s="14" t="s">
        <v>261</v>
      </c>
      <c r="BF11" s="14" t="s">
        <v>566</v>
      </c>
      <c r="BG11" s="14" t="s">
        <v>664</v>
      </c>
      <c r="BH11" s="14">
        <v>200</v>
      </c>
      <c r="BI11" s="14">
        <v>46307.767939814818</v>
      </c>
    </row>
    <row r="12" spans="1:61">
      <c r="A12" s="14" t="s">
        <v>204</v>
      </c>
      <c r="B12" s="14">
        <v>778.57</v>
      </c>
      <c r="C12" s="14"/>
      <c r="D12" s="14">
        <v>46307</v>
      </c>
      <c r="E12" s="14" t="s">
        <v>139</v>
      </c>
      <c r="F12" s="14" t="s">
        <v>557</v>
      </c>
      <c r="G12" s="14" t="s">
        <v>1043</v>
      </c>
      <c r="H12" s="14"/>
      <c r="I12" s="14"/>
      <c r="J12" s="14" t="s">
        <v>675</v>
      </c>
      <c r="K12" s="14" t="s">
        <v>676</v>
      </c>
      <c r="L12" s="14">
        <v>1.474904E-2</v>
      </c>
      <c r="M12" s="14">
        <v>46304</v>
      </c>
      <c r="N12" s="14" t="s">
        <v>279</v>
      </c>
      <c r="O12" s="14"/>
      <c r="P12" s="14"/>
      <c r="Q12" s="14"/>
      <c r="R12" s="14"/>
      <c r="S12" s="14"/>
      <c r="T12" s="14"/>
      <c r="U12" s="14"/>
      <c r="V12" s="14"/>
      <c r="W12" s="14"/>
      <c r="X12" s="14"/>
      <c r="Y12" s="14"/>
      <c r="Z12" s="14"/>
      <c r="AA12" s="14"/>
      <c r="AB12" s="14"/>
      <c r="AC12" s="14"/>
      <c r="AD12" s="14"/>
      <c r="AE12" s="14"/>
      <c r="AF12" s="14"/>
      <c r="AG12" s="14"/>
      <c r="AH12" s="14"/>
      <c r="AI12" s="14"/>
      <c r="AJ12" s="167">
        <v>45957</v>
      </c>
      <c r="AK12" s="14">
        <v>685.24</v>
      </c>
      <c r="AL12" s="14" t="s">
        <v>562</v>
      </c>
      <c r="AM12" s="14" t="s">
        <v>154</v>
      </c>
      <c r="AN12" s="14">
        <f>IF('ETF Data'!$H$2,IF(ISNUMBER(AK12),AK12,NA()),NA())</f>
        <v>685.24</v>
      </c>
      <c r="AO12" s="14"/>
      <c r="AP12" s="14"/>
      <c r="AQ12" s="14"/>
      <c r="AR12" s="14"/>
      <c r="AS12" s="14"/>
      <c r="AT12" s="14"/>
      <c r="AU12" s="14"/>
      <c r="AV12" s="14"/>
      <c r="AW12" s="14"/>
      <c r="AX12" s="14"/>
      <c r="AY12" s="14"/>
      <c r="AZ12" s="14"/>
      <c r="BA12" s="14"/>
      <c r="BB12" s="14"/>
      <c r="BC12" s="14"/>
      <c r="BD12" s="14" t="s">
        <v>264</v>
      </c>
      <c r="BE12" s="14" t="s">
        <v>267</v>
      </c>
      <c r="BF12" s="14" t="s">
        <v>566</v>
      </c>
      <c r="BG12" s="14"/>
      <c r="BH12" s="14">
        <v>200</v>
      </c>
      <c r="BI12" s="14">
        <v>46307.767939814818</v>
      </c>
    </row>
    <row r="13" spans="1:61">
      <c r="A13" s="14" t="s">
        <v>211</v>
      </c>
      <c r="B13" s="14">
        <v>46304</v>
      </c>
      <c r="C13" s="14"/>
      <c r="D13" s="14">
        <v>46307</v>
      </c>
      <c r="E13" s="14" t="s">
        <v>139</v>
      </c>
      <c r="F13" s="14" t="s">
        <v>557</v>
      </c>
      <c r="G13" s="14" t="s">
        <v>580</v>
      </c>
      <c r="H13" s="14"/>
      <c r="I13" s="14"/>
      <c r="J13" s="14" t="s">
        <v>671</v>
      </c>
      <c r="K13" s="14" t="s">
        <v>672</v>
      </c>
      <c r="L13" s="14">
        <v>1.426783E-2</v>
      </c>
      <c r="M13" s="14">
        <v>46304</v>
      </c>
      <c r="N13" s="14" t="s">
        <v>279</v>
      </c>
      <c r="O13" s="14"/>
      <c r="P13" s="14"/>
      <c r="Q13" s="14"/>
      <c r="R13" s="14"/>
      <c r="S13" s="14"/>
      <c r="T13" s="14"/>
      <c r="U13" s="14"/>
      <c r="V13" s="14"/>
      <c r="W13" s="14"/>
      <c r="X13" s="14"/>
      <c r="Y13" s="14"/>
      <c r="Z13" s="14"/>
      <c r="AA13" s="14"/>
      <c r="AB13" s="14"/>
      <c r="AC13" s="14"/>
      <c r="AD13" s="14"/>
      <c r="AE13" s="14"/>
      <c r="AF13" s="14"/>
      <c r="AG13" s="14"/>
      <c r="AH13" s="14"/>
      <c r="AI13" s="14"/>
      <c r="AJ13" s="167">
        <v>45958</v>
      </c>
      <c r="AK13" s="14">
        <v>687.06</v>
      </c>
      <c r="AL13" s="14" t="s">
        <v>562</v>
      </c>
      <c r="AM13" s="14" t="s">
        <v>154</v>
      </c>
      <c r="AN13" s="14">
        <f>IF('ETF Data'!$H$2,IF(ISNUMBER(AK13),AK13,NA()),NA())</f>
        <v>687.06</v>
      </c>
      <c r="AO13" s="14"/>
      <c r="AP13" s="14"/>
      <c r="AQ13" s="14"/>
      <c r="AR13" s="14"/>
      <c r="AS13" s="14"/>
      <c r="AT13" s="14"/>
      <c r="AU13" s="14"/>
      <c r="AV13" s="14"/>
      <c r="AW13" s="14"/>
      <c r="AX13" s="14"/>
      <c r="AY13" s="14"/>
      <c r="AZ13" s="14"/>
      <c r="BA13" s="14"/>
      <c r="BB13" s="14"/>
      <c r="BC13" s="14"/>
      <c r="BD13" s="14" t="s">
        <v>270</v>
      </c>
      <c r="BE13" s="14" t="s">
        <v>273</v>
      </c>
      <c r="BF13" s="14" t="s">
        <v>566</v>
      </c>
      <c r="BG13" s="14"/>
      <c r="BH13" s="14">
        <v>200</v>
      </c>
      <c r="BI13" s="14">
        <v>46307.767951388887</v>
      </c>
    </row>
    <row r="14" spans="1:61">
      <c r="A14" s="14" t="s">
        <v>217</v>
      </c>
      <c r="B14" s="14">
        <v>778.78</v>
      </c>
      <c r="C14" s="14"/>
      <c r="D14" s="14">
        <v>46307</v>
      </c>
      <c r="E14" s="14" t="s">
        <v>139</v>
      </c>
      <c r="F14" s="14" t="s">
        <v>557</v>
      </c>
      <c r="G14" s="14" t="s">
        <v>1044</v>
      </c>
      <c r="H14" s="14"/>
      <c r="I14" s="14"/>
      <c r="J14" s="14" t="s">
        <v>673</v>
      </c>
      <c r="K14" s="14" t="s">
        <v>674</v>
      </c>
      <c r="L14" s="14">
        <v>1.4019800000000001E-2</v>
      </c>
      <c r="M14" s="14">
        <v>46304</v>
      </c>
      <c r="N14" s="14" t="s">
        <v>279</v>
      </c>
      <c r="O14" s="14"/>
      <c r="P14" s="14"/>
      <c r="Q14" s="14"/>
      <c r="R14" s="14"/>
      <c r="S14" s="14"/>
      <c r="T14" s="14"/>
      <c r="U14" s="14"/>
      <c r="V14" s="14"/>
      <c r="W14" s="14"/>
      <c r="X14" s="14"/>
      <c r="Y14" s="14"/>
      <c r="Z14" s="14"/>
      <c r="AA14" s="14"/>
      <c r="AB14" s="14"/>
      <c r="AC14" s="14"/>
      <c r="AD14" s="14"/>
      <c r="AE14" s="14"/>
      <c r="AF14" s="14"/>
      <c r="AG14" s="14"/>
      <c r="AH14" s="14"/>
      <c r="AI14" s="14"/>
      <c r="AJ14" s="167">
        <v>45959</v>
      </c>
      <c r="AK14" s="14">
        <v>687.39</v>
      </c>
      <c r="AL14" s="14" t="s">
        <v>562</v>
      </c>
      <c r="AM14" s="14" t="s">
        <v>154</v>
      </c>
      <c r="AN14" s="14">
        <f>IF('ETF Data'!$H$2,IF(ISNUMBER(AK14),AK14,NA()),NA())</f>
        <v>687.39</v>
      </c>
      <c r="AO14" s="14"/>
      <c r="AP14" s="14"/>
      <c r="AQ14" s="14"/>
      <c r="AR14" s="14"/>
      <c r="AS14" s="14"/>
      <c r="AT14" s="14"/>
      <c r="AU14" s="14"/>
      <c r="AV14" s="14"/>
      <c r="AW14" s="14"/>
      <c r="AX14" s="14"/>
      <c r="AY14" s="14"/>
      <c r="AZ14" s="14"/>
      <c r="BA14" s="14"/>
      <c r="BB14" s="14"/>
      <c r="BC14" s="14"/>
      <c r="BD14" s="14" t="s">
        <v>276</v>
      </c>
      <c r="BE14" s="14" t="s">
        <v>279</v>
      </c>
      <c r="BF14" s="14" t="s">
        <v>566</v>
      </c>
      <c r="BG14" s="14"/>
      <c r="BH14" s="14">
        <v>200</v>
      </c>
      <c r="BI14" s="14">
        <v>46307.767951388887</v>
      </c>
    </row>
    <row r="15" spans="1:61">
      <c r="A15" s="14" t="s">
        <v>222</v>
      </c>
      <c r="B15" s="14">
        <v>779.39700000000005</v>
      </c>
      <c r="C15" s="14"/>
      <c r="D15" s="14">
        <v>46307</v>
      </c>
      <c r="E15" s="14" t="s">
        <v>139</v>
      </c>
      <c r="F15" s="14" t="s">
        <v>557</v>
      </c>
      <c r="G15" s="14" t="s">
        <v>1045</v>
      </c>
      <c r="H15" s="14"/>
      <c r="I15" s="14"/>
      <c r="J15" s="14" t="s">
        <v>669</v>
      </c>
      <c r="K15" s="14" t="s">
        <v>670</v>
      </c>
      <c r="L15" s="14">
        <v>1.3151349999999999E-2</v>
      </c>
      <c r="M15" s="14">
        <v>46304</v>
      </c>
      <c r="N15" s="14" t="s">
        <v>279</v>
      </c>
      <c r="O15" s="14"/>
      <c r="P15" s="14"/>
      <c r="Q15" s="14"/>
      <c r="R15" s="14"/>
      <c r="S15" s="14"/>
      <c r="T15" s="14"/>
      <c r="U15" s="14"/>
      <c r="V15" s="14"/>
      <c r="W15" s="14"/>
      <c r="X15" s="14"/>
      <c r="Y15" s="14"/>
      <c r="Z15" s="14"/>
      <c r="AA15" s="14"/>
      <c r="AB15" s="14"/>
      <c r="AC15" s="14"/>
      <c r="AD15" s="14"/>
      <c r="AE15" s="14"/>
      <c r="AF15" s="14"/>
      <c r="AG15" s="14"/>
      <c r="AH15" s="14"/>
      <c r="AI15" s="14"/>
      <c r="AJ15" s="167">
        <v>45960</v>
      </c>
      <c r="AK15" s="14">
        <v>679.83</v>
      </c>
      <c r="AL15" s="14" t="s">
        <v>562</v>
      </c>
      <c r="AM15" s="14" t="s">
        <v>154</v>
      </c>
      <c r="AN15" s="14">
        <f>IF('ETF Data'!$H$2,IF(ISNUMBER(AK15),AK15,NA()),NA())</f>
        <v>679.83</v>
      </c>
      <c r="AO15" s="14"/>
      <c r="AP15" s="14"/>
      <c r="AQ15" s="14"/>
      <c r="AR15" s="14"/>
      <c r="AS15" s="14"/>
      <c r="AT15" s="14"/>
      <c r="AU15" s="14"/>
      <c r="AV15" s="14"/>
      <c r="AW15" s="14"/>
      <c r="AX15" s="14"/>
      <c r="AY15" s="14"/>
      <c r="AZ15" s="14"/>
      <c r="BA15" s="14"/>
      <c r="BB15" s="14"/>
      <c r="BC15" s="14"/>
      <c r="BD15" s="14"/>
      <c r="BE15" s="14"/>
      <c r="BF15" s="14"/>
      <c r="BG15" s="14"/>
      <c r="BH15" s="14"/>
      <c r="BI15" s="14"/>
    </row>
    <row r="16" spans="1:61">
      <c r="A16" s="14" t="s">
        <v>228</v>
      </c>
      <c r="B16" s="14">
        <v>777.05</v>
      </c>
      <c r="C16" s="14"/>
      <c r="D16" s="14">
        <v>46307</v>
      </c>
      <c r="E16" s="14" t="s">
        <v>139</v>
      </c>
      <c r="F16" s="14" t="s">
        <v>557</v>
      </c>
      <c r="G16" s="14" t="s">
        <v>1046</v>
      </c>
      <c r="H16" s="14"/>
      <c r="I16" s="14"/>
      <c r="J16" s="14" t="s">
        <v>677</v>
      </c>
      <c r="K16" s="14" t="s">
        <v>678</v>
      </c>
      <c r="L16" s="14">
        <v>1.032167E-2</v>
      </c>
      <c r="M16" s="14">
        <v>46304</v>
      </c>
      <c r="N16" s="14" t="s">
        <v>279</v>
      </c>
      <c r="O16" s="14"/>
      <c r="P16" s="14"/>
      <c r="Q16" s="14"/>
      <c r="R16" s="14"/>
      <c r="S16" s="14"/>
      <c r="T16" s="14"/>
      <c r="U16" s="14"/>
      <c r="V16" s="14"/>
      <c r="W16" s="14"/>
      <c r="X16" s="14"/>
      <c r="Y16" s="14"/>
      <c r="Z16" s="14"/>
      <c r="AA16" s="14"/>
      <c r="AB16" s="14"/>
      <c r="AC16" s="14"/>
      <c r="AD16" s="14"/>
      <c r="AE16" s="14"/>
      <c r="AF16" s="14"/>
      <c r="AG16" s="14"/>
      <c r="AH16" s="14"/>
      <c r="AI16" s="14"/>
      <c r="AJ16" s="167">
        <v>45961</v>
      </c>
      <c r="AK16" s="14">
        <v>682.06</v>
      </c>
      <c r="AL16" s="14" t="s">
        <v>562</v>
      </c>
      <c r="AM16" s="14" t="s">
        <v>154</v>
      </c>
      <c r="AN16" s="14">
        <f>IF('ETF Data'!$H$2,IF(ISNUMBER(AK16),AK16,NA()),NA())</f>
        <v>682.06</v>
      </c>
      <c r="AO16" s="14"/>
      <c r="AP16" s="14"/>
      <c r="AQ16" s="14"/>
      <c r="AR16" s="14"/>
      <c r="AS16" s="14"/>
      <c r="AT16" s="14"/>
      <c r="AU16" s="14"/>
      <c r="AV16" s="14"/>
      <c r="AW16" s="14"/>
      <c r="AX16" s="14"/>
      <c r="AY16" s="14"/>
      <c r="AZ16" s="14"/>
      <c r="BA16" s="14"/>
      <c r="BB16" s="14"/>
      <c r="BC16" s="14"/>
      <c r="BD16" s="14"/>
      <c r="BE16" s="14"/>
      <c r="BF16" s="14"/>
      <c r="BG16" s="14"/>
      <c r="BH16" s="14"/>
      <c r="BI16" s="14"/>
    </row>
    <row r="17" spans="1:61">
      <c r="A17" s="14" t="s">
        <v>233</v>
      </c>
      <c r="B17" s="14">
        <v>781.62</v>
      </c>
      <c r="C17" s="14"/>
      <c r="D17" s="14">
        <v>46307</v>
      </c>
      <c r="E17" s="14" t="s">
        <v>139</v>
      </c>
      <c r="F17" s="14" t="s">
        <v>557</v>
      </c>
      <c r="G17" s="14" t="s">
        <v>1047</v>
      </c>
      <c r="H17" s="14"/>
      <c r="I17" s="14"/>
      <c r="J17" s="14" t="s">
        <v>681</v>
      </c>
      <c r="K17" s="14" t="s">
        <v>682</v>
      </c>
      <c r="L17" s="14">
        <v>9.7599599999999998E-3</v>
      </c>
      <c r="M17" s="14">
        <v>46304</v>
      </c>
      <c r="N17" s="14" t="s">
        <v>279</v>
      </c>
      <c r="O17" s="14"/>
      <c r="P17" s="14"/>
      <c r="Q17" s="14"/>
      <c r="R17" s="14"/>
      <c r="S17" s="14"/>
      <c r="T17" s="14"/>
      <c r="U17" s="14"/>
      <c r="V17" s="14"/>
      <c r="W17" s="14"/>
      <c r="X17" s="14"/>
      <c r="Y17" s="14"/>
      <c r="Z17" s="14"/>
      <c r="AA17" s="14"/>
      <c r="AB17" s="14"/>
      <c r="AC17" s="14"/>
      <c r="AD17" s="14"/>
      <c r="AE17" s="14"/>
      <c r="AF17" s="14"/>
      <c r="AG17" s="14"/>
      <c r="AH17" s="14"/>
      <c r="AI17" s="14"/>
      <c r="AJ17" s="167">
        <v>45964</v>
      </c>
      <c r="AK17" s="14">
        <v>683.34</v>
      </c>
      <c r="AL17" s="14" t="s">
        <v>562</v>
      </c>
      <c r="AM17" s="14" t="s">
        <v>154</v>
      </c>
      <c r="AN17" s="14">
        <f>IF('ETF Data'!$H$2,IF(ISNUMBER(AK17),AK17,NA()),NA())</f>
        <v>683.34</v>
      </c>
      <c r="AO17" s="14"/>
      <c r="AP17" s="14"/>
      <c r="AQ17" s="14"/>
      <c r="AR17" s="14"/>
      <c r="AS17" s="14"/>
      <c r="AT17" s="14"/>
      <c r="AU17" s="14"/>
      <c r="AV17" s="14"/>
      <c r="AW17" s="14"/>
      <c r="AX17" s="14"/>
      <c r="AY17" s="14"/>
      <c r="AZ17" s="14"/>
      <c r="BA17" s="14"/>
      <c r="BB17" s="14"/>
      <c r="BC17" s="14"/>
      <c r="BD17" s="14"/>
      <c r="BE17" s="14"/>
      <c r="BF17" s="14"/>
      <c r="BG17" s="14"/>
      <c r="BH17" s="14"/>
      <c r="BI17" s="14"/>
    </row>
    <row r="18" spans="1:61">
      <c r="A18" s="14" t="s">
        <v>238</v>
      </c>
      <c r="B18" s="14">
        <v>629.28</v>
      </c>
      <c r="C18" s="14"/>
      <c r="D18" s="14">
        <v>46307</v>
      </c>
      <c r="E18" s="14" t="s">
        <v>139</v>
      </c>
      <c r="F18" s="14" t="s">
        <v>557</v>
      </c>
      <c r="G18" s="14" t="s">
        <v>1048</v>
      </c>
      <c r="H18" s="14"/>
      <c r="I18" s="14"/>
      <c r="J18" s="14" t="s">
        <v>679</v>
      </c>
      <c r="K18" s="14" t="s">
        <v>680</v>
      </c>
      <c r="L18" s="14">
        <v>9.3616499999999991E-3</v>
      </c>
      <c r="M18" s="14">
        <v>46304</v>
      </c>
      <c r="N18" s="14" t="s">
        <v>279</v>
      </c>
      <c r="O18" s="14"/>
      <c r="P18" s="14"/>
      <c r="Q18" s="14"/>
      <c r="R18" s="14"/>
      <c r="S18" s="14"/>
      <c r="T18" s="14"/>
      <c r="U18" s="14"/>
      <c r="V18" s="14"/>
      <c r="W18" s="14"/>
      <c r="X18" s="14"/>
      <c r="Y18" s="14"/>
      <c r="Z18" s="14"/>
      <c r="AA18" s="14"/>
      <c r="AB18" s="14"/>
      <c r="AC18" s="14"/>
      <c r="AD18" s="14"/>
      <c r="AE18" s="14"/>
      <c r="AF18" s="14"/>
      <c r="AG18" s="14"/>
      <c r="AH18" s="14"/>
      <c r="AI18" s="14"/>
      <c r="AJ18" s="167">
        <v>45965</v>
      </c>
      <c r="AK18" s="14">
        <v>675.24</v>
      </c>
      <c r="AL18" s="14" t="s">
        <v>562</v>
      </c>
      <c r="AM18" s="14" t="s">
        <v>154</v>
      </c>
      <c r="AN18" s="14">
        <f>IF('ETF Data'!$H$2,IF(ISNUMBER(AK18),AK18,NA()),NA())</f>
        <v>675.24</v>
      </c>
      <c r="AO18" s="14"/>
      <c r="AP18" s="14"/>
      <c r="AQ18" s="14"/>
      <c r="AR18" s="14"/>
      <c r="AS18" s="14"/>
      <c r="AT18" s="14"/>
      <c r="AU18" s="14"/>
      <c r="AV18" s="14"/>
      <c r="AW18" s="14"/>
      <c r="AX18" s="14"/>
      <c r="AY18" s="14"/>
      <c r="AZ18" s="14"/>
      <c r="BA18" s="14"/>
      <c r="BB18" s="14"/>
      <c r="BC18" s="14"/>
      <c r="BD18" s="14"/>
      <c r="BE18" s="14"/>
      <c r="BF18" s="14"/>
      <c r="BG18" s="14"/>
      <c r="BH18" s="14"/>
      <c r="BI18" s="14"/>
    </row>
    <row r="19" spans="1:61">
      <c r="A19" s="14" t="s">
        <v>243</v>
      </c>
      <c r="B19" s="14">
        <v>18663717.222945999</v>
      </c>
      <c r="C19" s="14"/>
      <c r="D19" s="14">
        <v>46307</v>
      </c>
      <c r="E19" s="14" t="s">
        <v>139</v>
      </c>
      <c r="F19" s="14" t="s">
        <v>557</v>
      </c>
      <c r="G19" s="14" t="s">
        <v>1091</v>
      </c>
      <c r="H19" s="14"/>
      <c r="I19" s="14"/>
      <c r="J19" s="14" t="s">
        <v>689</v>
      </c>
      <c r="K19" s="14" t="s">
        <v>690</v>
      </c>
      <c r="L19" s="14">
        <v>7.7302899999999999E-3</v>
      </c>
      <c r="M19" s="14">
        <v>46304</v>
      </c>
      <c r="N19" s="14" t="s">
        <v>279</v>
      </c>
      <c r="O19" s="14"/>
      <c r="P19" s="14"/>
      <c r="Q19" s="14"/>
      <c r="R19" s="14"/>
      <c r="S19" s="14"/>
      <c r="T19" s="14"/>
      <c r="U19" s="14"/>
      <c r="V19" s="14"/>
      <c r="W19" s="14"/>
      <c r="X19" s="14"/>
      <c r="Y19" s="14"/>
      <c r="Z19" s="14"/>
      <c r="AA19" s="14"/>
      <c r="AB19" s="14"/>
      <c r="AC19" s="14"/>
      <c r="AD19" s="14"/>
      <c r="AE19" s="14"/>
      <c r="AF19" s="14"/>
      <c r="AG19" s="14"/>
      <c r="AH19" s="14"/>
      <c r="AI19" s="14"/>
      <c r="AJ19" s="167">
        <v>45966</v>
      </c>
      <c r="AK19" s="14">
        <v>677.58</v>
      </c>
      <c r="AL19" s="14" t="s">
        <v>562</v>
      </c>
      <c r="AM19" s="14" t="s">
        <v>154</v>
      </c>
      <c r="AN19" s="14">
        <f>IF('ETF Data'!$H$2,IF(ISNUMBER(AK19),AK19,NA()),NA())</f>
        <v>677.58</v>
      </c>
      <c r="AO19" s="14"/>
      <c r="AP19" s="14"/>
      <c r="AQ19" s="14"/>
      <c r="AR19" s="14"/>
      <c r="AS19" s="14"/>
      <c r="AT19" s="14"/>
      <c r="AU19" s="14"/>
      <c r="AV19" s="14"/>
      <c r="AW19" s="14"/>
      <c r="AX19" s="14"/>
      <c r="AY19" s="14"/>
      <c r="AZ19" s="14"/>
      <c r="BA19" s="14"/>
      <c r="BB19" s="14"/>
      <c r="BC19" s="14"/>
      <c r="BD19" s="14"/>
      <c r="BE19" s="14"/>
      <c r="BF19" s="14"/>
      <c r="BG19" s="14"/>
      <c r="BH19" s="14"/>
      <c r="BI19" s="14"/>
    </row>
    <row r="20" spans="1:61">
      <c r="A20" s="14" t="s">
        <v>249</v>
      </c>
      <c r="B20" s="14">
        <v>46307</v>
      </c>
      <c r="C20" s="14"/>
      <c r="D20" s="14">
        <v>46307</v>
      </c>
      <c r="E20" s="14" t="s">
        <v>139</v>
      </c>
      <c r="F20" s="14" t="s">
        <v>557</v>
      </c>
      <c r="G20" s="14" t="s">
        <v>594</v>
      </c>
      <c r="H20" s="14"/>
      <c r="I20" s="14"/>
      <c r="J20" s="14" t="s">
        <v>685</v>
      </c>
      <c r="K20" s="14" t="s">
        <v>686</v>
      </c>
      <c r="L20" s="14">
        <v>7.3739299999999999E-3</v>
      </c>
      <c r="M20" s="14">
        <v>46304</v>
      </c>
      <c r="N20" s="14" t="s">
        <v>279</v>
      </c>
      <c r="O20" s="14"/>
      <c r="P20" s="14"/>
      <c r="Q20" s="14"/>
      <c r="R20" s="14"/>
      <c r="S20" s="14"/>
      <c r="T20" s="14"/>
      <c r="U20" s="14"/>
      <c r="V20" s="14"/>
      <c r="W20" s="14"/>
      <c r="X20" s="14"/>
      <c r="Y20" s="14"/>
      <c r="Z20" s="14"/>
      <c r="AA20" s="14"/>
      <c r="AB20" s="14"/>
      <c r="AC20" s="14"/>
      <c r="AD20" s="14"/>
      <c r="AE20" s="14"/>
      <c r="AF20" s="14"/>
      <c r="AG20" s="14"/>
      <c r="AH20" s="14"/>
      <c r="AI20" s="14"/>
      <c r="AJ20" s="167">
        <v>45967</v>
      </c>
      <c r="AK20" s="14">
        <v>670.31</v>
      </c>
      <c r="AL20" s="14" t="s">
        <v>562</v>
      </c>
      <c r="AM20" s="14" t="s">
        <v>154</v>
      </c>
      <c r="AN20" s="14">
        <f>IF('ETF Data'!$H$2,IF(ISNUMBER(AK20),AK20,NA()),NA())</f>
        <v>670.31</v>
      </c>
      <c r="AO20" s="14"/>
      <c r="AP20" s="14"/>
      <c r="AQ20" s="14"/>
      <c r="AR20" s="14"/>
      <c r="AS20" s="14"/>
      <c r="AT20" s="14"/>
      <c r="AU20" s="14"/>
      <c r="AV20" s="14"/>
      <c r="AW20" s="14"/>
      <c r="AX20" s="14"/>
      <c r="AY20" s="14"/>
      <c r="AZ20" s="14"/>
      <c r="BA20" s="14"/>
      <c r="BB20" s="14"/>
      <c r="BC20" s="14"/>
      <c r="BD20" s="14"/>
      <c r="BE20" s="14"/>
      <c r="BF20" s="14"/>
      <c r="BG20" s="14"/>
      <c r="BH20" s="14"/>
      <c r="BI20" s="14"/>
    </row>
    <row r="21" spans="1:61">
      <c r="A21" s="14" t="s">
        <v>255</v>
      </c>
      <c r="B21" s="14">
        <v>777.73</v>
      </c>
      <c r="C21" s="14"/>
      <c r="D21" s="14">
        <v>46307</v>
      </c>
      <c r="E21" s="14" t="s">
        <v>139</v>
      </c>
      <c r="F21" s="14" t="s">
        <v>557</v>
      </c>
      <c r="G21" s="14" t="s">
        <v>1092</v>
      </c>
      <c r="H21" s="14"/>
      <c r="I21" s="14"/>
      <c r="J21" s="14" t="s">
        <v>687</v>
      </c>
      <c r="K21" s="14" t="s">
        <v>688</v>
      </c>
      <c r="L21" s="14">
        <v>7.2598300000000001E-3</v>
      </c>
      <c r="M21" s="14">
        <v>46304</v>
      </c>
      <c r="N21" s="14" t="s">
        <v>279</v>
      </c>
      <c r="O21" s="14"/>
      <c r="P21" s="14"/>
      <c r="Q21" s="14"/>
      <c r="R21" s="14"/>
      <c r="S21" s="14"/>
      <c r="T21" s="14"/>
      <c r="U21" s="14"/>
      <c r="V21" s="14"/>
      <c r="W21" s="14"/>
      <c r="X21" s="14"/>
      <c r="Y21" s="14"/>
      <c r="Z21" s="14"/>
      <c r="AA21" s="14"/>
      <c r="AB21" s="14"/>
      <c r="AC21" s="14"/>
      <c r="AD21" s="14"/>
      <c r="AE21" s="14"/>
      <c r="AF21" s="14"/>
      <c r="AG21" s="14"/>
      <c r="AH21" s="14"/>
      <c r="AI21" s="14"/>
      <c r="AJ21" s="167">
        <v>45968</v>
      </c>
      <c r="AK21" s="14">
        <v>670.97</v>
      </c>
      <c r="AL21" s="14" t="s">
        <v>562</v>
      </c>
      <c r="AM21" s="14" t="s">
        <v>154</v>
      </c>
      <c r="AN21" s="14">
        <f>IF('ETF Data'!$H$2,IF(ISNUMBER(AK21),AK21,NA()),NA())</f>
        <v>670.97</v>
      </c>
      <c r="AO21" s="14"/>
      <c r="AP21" s="14"/>
      <c r="AQ21" s="14"/>
      <c r="AR21" s="14"/>
      <c r="AS21" s="14"/>
      <c r="AT21" s="14"/>
      <c r="AU21" s="14"/>
      <c r="AV21" s="14"/>
      <c r="AW21" s="14"/>
      <c r="AX21" s="14"/>
      <c r="AY21" s="14"/>
      <c r="AZ21" s="14"/>
      <c r="BA21" s="14"/>
      <c r="BB21" s="14"/>
      <c r="BC21" s="14"/>
      <c r="BD21" s="14"/>
      <c r="BE21" s="14"/>
      <c r="BF21" s="14"/>
      <c r="BG21" s="14"/>
      <c r="BH21" s="14"/>
      <c r="BI21" s="14"/>
    </row>
    <row r="22" spans="1:61">
      <c r="A22" s="14" t="s">
        <v>262</v>
      </c>
      <c r="B22" s="14">
        <v>777.75</v>
      </c>
      <c r="C22" s="14"/>
      <c r="D22" s="14">
        <v>46307</v>
      </c>
      <c r="E22" s="14" t="s">
        <v>139</v>
      </c>
      <c r="F22" s="14" t="s">
        <v>557</v>
      </c>
      <c r="G22" s="14" t="s">
        <v>1093</v>
      </c>
      <c r="H22" s="14"/>
      <c r="I22" s="14"/>
      <c r="J22" s="14" t="s">
        <v>693</v>
      </c>
      <c r="K22" s="14" t="s">
        <v>694</v>
      </c>
      <c r="L22" s="14">
        <v>7.1471499999999997E-3</v>
      </c>
      <c r="M22" s="14">
        <v>46304</v>
      </c>
      <c r="N22" s="14" t="s">
        <v>279</v>
      </c>
      <c r="O22" s="14"/>
      <c r="P22" s="14"/>
      <c r="Q22" s="14"/>
      <c r="R22" s="14"/>
      <c r="S22" s="14"/>
      <c r="T22" s="14"/>
      <c r="U22" s="14"/>
      <c r="V22" s="14"/>
      <c r="W22" s="14"/>
      <c r="X22" s="14"/>
      <c r="Y22" s="14"/>
      <c r="Z22" s="14"/>
      <c r="AA22" s="14"/>
      <c r="AB22" s="14"/>
      <c r="AC22" s="14"/>
      <c r="AD22" s="14"/>
      <c r="AE22" s="14"/>
      <c r="AF22" s="14"/>
      <c r="AG22" s="14"/>
      <c r="AH22" s="14"/>
      <c r="AI22" s="14"/>
      <c r="AJ22" s="167">
        <v>45971</v>
      </c>
      <c r="AK22" s="14">
        <v>681.44</v>
      </c>
      <c r="AL22" s="14" t="s">
        <v>562</v>
      </c>
      <c r="AM22" s="14" t="s">
        <v>154</v>
      </c>
      <c r="AN22" s="14">
        <f>IF('ETF Data'!$H$2,IF(ISNUMBER(AK22),AK22,NA()),NA())</f>
        <v>681.44</v>
      </c>
      <c r="AO22" s="14"/>
      <c r="AP22" s="14"/>
      <c r="AQ22" s="14"/>
      <c r="AR22" s="14"/>
      <c r="AS22" s="14"/>
      <c r="AT22" s="14"/>
      <c r="AU22" s="14"/>
      <c r="AV22" s="14"/>
      <c r="AW22" s="14"/>
      <c r="AX22" s="14"/>
      <c r="AY22" s="14"/>
      <c r="AZ22" s="14"/>
      <c r="BA22" s="14"/>
      <c r="BB22" s="14"/>
      <c r="BC22" s="14"/>
      <c r="BD22" s="14"/>
      <c r="BE22" s="14"/>
      <c r="BF22" s="14"/>
      <c r="BG22" s="14"/>
      <c r="BH22" s="14"/>
      <c r="BI22" s="14"/>
    </row>
    <row r="23" spans="1:61">
      <c r="A23" s="14" t="s">
        <v>268</v>
      </c>
      <c r="B23" s="14">
        <v>120</v>
      </c>
      <c r="C23" s="14"/>
      <c r="D23" s="14">
        <v>46307</v>
      </c>
      <c r="E23" s="14" t="s">
        <v>139</v>
      </c>
      <c r="F23" s="14" t="s">
        <v>557</v>
      </c>
      <c r="G23" s="14" t="s">
        <v>1049</v>
      </c>
      <c r="H23" s="14"/>
      <c r="I23" s="14"/>
      <c r="J23" s="14" t="s">
        <v>683</v>
      </c>
      <c r="K23" s="14" t="s">
        <v>684</v>
      </c>
      <c r="L23" s="14">
        <v>7.0790200000000001E-3</v>
      </c>
      <c r="M23" s="14">
        <v>46304</v>
      </c>
      <c r="N23" s="14" t="s">
        <v>279</v>
      </c>
      <c r="O23" s="14"/>
      <c r="P23" s="14"/>
      <c r="Q23" s="14"/>
      <c r="R23" s="14"/>
      <c r="S23" s="14"/>
      <c r="T23" s="14"/>
      <c r="U23" s="14"/>
      <c r="V23" s="14"/>
      <c r="W23" s="14"/>
      <c r="X23" s="14"/>
      <c r="Y23" s="14"/>
      <c r="Z23" s="14"/>
      <c r="AA23" s="14"/>
      <c r="AB23" s="14"/>
      <c r="AC23" s="14"/>
      <c r="AD23" s="14"/>
      <c r="AE23" s="14"/>
      <c r="AF23" s="14"/>
      <c r="AG23" s="14"/>
      <c r="AH23" s="14"/>
      <c r="AI23" s="14"/>
      <c r="AJ23" s="167">
        <v>45972</v>
      </c>
      <c r="AK23" s="14">
        <v>683</v>
      </c>
      <c r="AL23" s="14" t="s">
        <v>562</v>
      </c>
      <c r="AM23" s="14" t="s">
        <v>154</v>
      </c>
      <c r="AN23" s="14">
        <f>IF('ETF Data'!$H$2,IF(ISNUMBER(AK23),AK23,NA()),NA())</f>
        <v>683</v>
      </c>
      <c r="AO23" s="14"/>
      <c r="AP23" s="14"/>
      <c r="AQ23" s="14"/>
      <c r="AR23" s="14"/>
      <c r="AS23" s="14"/>
      <c r="AT23" s="14"/>
      <c r="AU23" s="14"/>
      <c r="AV23" s="14"/>
      <c r="AW23" s="14"/>
      <c r="AX23" s="14"/>
      <c r="AY23" s="14"/>
      <c r="AZ23" s="14"/>
      <c r="BA23" s="14"/>
      <c r="BB23" s="14"/>
      <c r="BC23" s="14"/>
      <c r="BD23" s="14"/>
      <c r="BE23" s="14"/>
      <c r="BF23" s="14"/>
      <c r="BG23" s="14"/>
      <c r="BH23" s="14"/>
      <c r="BI23" s="14"/>
    </row>
    <row r="24" spans="1:61">
      <c r="A24" s="14" t="s">
        <v>274</v>
      </c>
      <c r="B24" s="14">
        <v>440</v>
      </c>
      <c r="C24" s="14"/>
      <c r="D24" s="14">
        <v>46307</v>
      </c>
      <c r="E24" s="14" t="s">
        <v>139</v>
      </c>
      <c r="F24" s="14" t="s">
        <v>557</v>
      </c>
      <c r="G24" s="14" t="s">
        <v>1094</v>
      </c>
      <c r="H24" s="14"/>
      <c r="I24" s="14"/>
      <c r="J24" s="14" t="s">
        <v>691</v>
      </c>
      <c r="K24" s="14" t="s">
        <v>692</v>
      </c>
      <c r="L24" s="14">
        <v>6.9340699999999996E-3</v>
      </c>
      <c r="M24" s="14">
        <v>46304</v>
      </c>
      <c r="N24" s="14" t="s">
        <v>279</v>
      </c>
      <c r="O24" s="14"/>
      <c r="P24" s="14"/>
      <c r="Q24" s="14"/>
      <c r="R24" s="14"/>
      <c r="S24" s="14"/>
      <c r="T24" s="14"/>
      <c r="U24" s="14"/>
      <c r="V24" s="14"/>
      <c r="W24" s="14"/>
      <c r="X24" s="14"/>
      <c r="Y24" s="14"/>
      <c r="Z24" s="14"/>
      <c r="AA24" s="14"/>
      <c r="AB24" s="14"/>
      <c r="AC24" s="14"/>
      <c r="AD24" s="14"/>
      <c r="AE24" s="14"/>
      <c r="AF24" s="14"/>
      <c r="AG24" s="14"/>
      <c r="AH24" s="14"/>
      <c r="AI24" s="14"/>
      <c r="AJ24" s="167">
        <v>45973</v>
      </c>
      <c r="AK24" s="14">
        <v>683.38</v>
      </c>
      <c r="AL24" s="14" t="s">
        <v>562</v>
      </c>
      <c r="AM24" s="14" t="s">
        <v>154</v>
      </c>
      <c r="AN24" s="14">
        <f>IF('ETF Data'!$H$2,IF(ISNUMBER(AK24),AK24,NA()),NA())</f>
        <v>683.38</v>
      </c>
      <c r="AO24" s="14"/>
      <c r="AP24" s="14"/>
      <c r="AQ24" s="14"/>
      <c r="AR24" s="14"/>
      <c r="AS24" s="14"/>
      <c r="AT24" s="14"/>
      <c r="AU24" s="14"/>
      <c r="AV24" s="14"/>
      <c r="AW24" s="14"/>
      <c r="AX24" s="14"/>
      <c r="AY24" s="14"/>
      <c r="AZ24" s="14"/>
      <c r="BA24" s="14"/>
      <c r="BB24" s="14"/>
      <c r="BC24" s="14"/>
      <c r="BD24" s="14"/>
      <c r="BE24" s="14"/>
      <c r="BF24" s="14"/>
      <c r="BG24" s="14"/>
      <c r="BH24" s="14"/>
      <c r="BI24" s="14"/>
    </row>
    <row r="25" spans="1:61">
      <c r="A25" s="14" t="s">
        <v>280</v>
      </c>
      <c r="B25" s="14">
        <v>46307</v>
      </c>
      <c r="C25" s="14"/>
      <c r="D25" s="14">
        <v>46307</v>
      </c>
      <c r="E25" s="14" t="s">
        <v>139</v>
      </c>
      <c r="F25" s="14" t="s">
        <v>557</v>
      </c>
      <c r="G25" s="14" t="s">
        <v>594</v>
      </c>
      <c r="H25" s="14"/>
      <c r="I25" s="14"/>
      <c r="J25" s="14" t="s">
        <v>695</v>
      </c>
      <c r="K25" s="14" t="s">
        <v>696</v>
      </c>
      <c r="L25" s="14">
        <v>6.2404599999999998E-3</v>
      </c>
      <c r="M25" s="14">
        <v>46304</v>
      </c>
      <c r="N25" s="14" t="s">
        <v>279</v>
      </c>
      <c r="O25" s="14"/>
      <c r="P25" s="14"/>
      <c r="Q25" s="14"/>
      <c r="R25" s="14"/>
      <c r="S25" s="14"/>
      <c r="T25" s="14"/>
      <c r="U25" s="14"/>
      <c r="V25" s="14"/>
      <c r="W25" s="14"/>
      <c r="X25" s="14"/>
      <c r="Y25" s="14"/>
      <c r="Z25" s="14"/>
      <c r="AA25" s="14"/>
      <c r="AB25" s="14"/>
      <c r="AC25" s="14"/>
      <c r="AD25" s="14"/>
      <c r="AE25" s="14"/>
      <c r="AF25" s="14"/>
      <c r="AG25" s="14"/>
      <c r="AH25" s="14"/>
      <c r="AI25" s="14"/>
      <c r="AJ25" s="167">
        <v>45974</v>
      </c>
      <c r="AK25" s="14">
        <v>672.04</v>
      </c>
      <c r="AL25" s="14" t="s">
        <v>562</v>
      </c>
      <c r="AM25" s="14" t="s">
        <v>154</v>
      </c>
      <c r="AN25" s="14">
        <f>IF('ETF Data'!$H$2,IF(ISNUMBER(AK25),AK25,NA()),NA())</f>
        <v>672.04</v>
      </c>
      <c r="AO25" s="14"/>
      <c r="AP25" s="14"/>
      <c r="AQ25" s="14"/>
      <c r="AR25" s="14"/>
      <c r="AS25" s="14"/>
      <c r="AT25" s="14"/>
      <c r="AU25" s="14"/>
      <c r="AV25" s="14"/>
      <c r="AW25" s="14"/>
      <c r="AX25" s="14"/>
      <c r="AY25" s="14"/>
      <c r="AZ25" s="14"/>
      <c r="BA25" s="14"/>
      <c r="BB25" s="14"/>
      <c r="BC25" s="14"/>
      <c r="BD25" s="14"/>
      <c r="BE25" s="14"/>
      <c r="BF25" s="14"/>
      <c r="BG25" s="14"/>
      <c r="BH25" s="14"/>
      <c r="BI25" s="14"/>
    </row>
    <row r="26" spans="1:61">
      <c r="A26" s="14" t="s">
        <v>282</v>
      </c>
      <c r="B26" s="14">
        <v>0.79916328703703698</v>
      </c>
      <c r="C26" s="14"/>
      <c r="D26" s="14">
        <v>46307</v>
      </c>
      <c r="E26" s="14" t="s">
        <v>139</v>
      </c>
      <c r="F26" s="14" t="s">
        <v>557</v>
      </c>
      <c r="G26" s="14" t="s">
        <v>1095</v>
      </c>
      <c r="H26" s="14"/>
      <c r="I26" s="14"/>
      <c r="J26" s="14" t="s">
        <v>699</v>
      </c>
      <c r="K26" s="14" t="s">
        <v>700</v>
      </c>
      <c r="L26" s="14">
        <v>6.2238800000000002E-3</v>
      </c>
      <c r="M26" s="14">
        <v>46304</v>
      </c>
      <c r="N26" s="14" t="s">
        <v>279</v>
      </c>
      <c r="O26" s="14"/>
      <c r="P26" s="14"/>
      <c r="Q26" s="14"/>
      <c r="R26" s="14"/>
      <c r="S26" s="14"/>
      <c r="T26" s="14"/>
      <c r="U26" s="14"/>
      <c r="V26" s="14"/>
      <c r="W26" s="14"/>
      <c r="X26" s="14"/>
      <c r="Y26" s="14"/>
      <c r="Z26" s="14"/>
      <c r="AA26" s="14"/>
      <c r="AB26" s="14"/>
      <c r="AC26" s="14"/>
      <c r="AD26" s="14"/>
      <c r="AE26" s="14"/>
      <c r="AF26" s="14"/>
      <c r="AG26" s="14"/>
      <c r="AH26" s="14"/>
      <c r="AI26" s="14"/>
      <c r="AJ26" s="167">
        <v>45975</v>
      </c>
      <c r="AK26" s="14">
        <v>671.93</v>
      </c>
      <c r="AL26" s="14" t="s">
        <v>562</v>
      </c>
      <c r="AM26" s="14" t="s">
        <v>154</v>
      </c>
      <c r="AN26" s="14">
        <f>IF('ETF Data'!$H$2,IF(ISNUMBER(AK26),AK26,NA()),NA())</f>
        <v>671.93</v>
      </c>
      <c r="AO26" s="14"/>
      <c r="AP26" s="14"/>
      <c r="AQ26" s="14"/>
      <c r="AR26" s="14"/>
      <c r="AS26" s="14"/>
      <c r="AT26" s="14"/>
      <c r="AU26" s="14"/>
      <c r="AV26" s="14"/>
      <c r="AW26" s="14"/>
      <c r="AX26" s="14"/>
      <c r="AY26" s="14"/>
      <c r="AZ26" s="14"/>
      <c r="BA26" s="14"/>
      <c r="BB26" s="14"/>
      <c r="BC26" s="14"/>
      <c r="BD26" s="14"/>
      <c r="BE26" s="14"/>
      <c r="BF26" s="14"/>
      <c r="BG26" s="14"/>
      <c r="BH26" s="14"/>
      <c r="BI26" s="14"/>
    </row>
    <row r="27" spans="1:61">
      <c r="A27" s="14" t="s">
        <v>284</v>
      </c>
      <c r="B27" s="14">
        <v>46307</v>
      </c>
      <c r="C27" s="14"/>
      <c r="D27" s="14">
        <v>46307</v>
      </c>
      <c r="E27" s="14" t="s">
        <v>139</v>
      </c>
      <c r="F27" s="14" t="s">
        <v>557</v>
      </c>
      <c r="G27" s="14" t="s">
        <v>594</v>
      </c>
      <c r="H27" s="14"/>
      <c r="I27" s="14"/>
      <c r="J27" s="14" t="s">
        <v>707</v>
      </c>
      <c r="K27" s="14" t="s">
        <v>708</v>
      </c>
      <c r="L27" s="14">
        <v>5.9820899999999998E-3</v>
      </c>
      <c r="M27" s="14">
        <v>46304</v>
      </c>
      <c r="N27" s="14" t="s">
        <v>279</v>
      </c>
      <c r="O27" s="14"/>
      <c r="P27" s="14"/>
      <c r="Q27" s="14"/>
      <c r="R27" s="14"/>
      <c r="S27" s="14"/>
      <c r="T27" s="14"/>
      <c r="U27" s="14"/>
      <c r="V27" s="14"/>
      <c r="W27" s="14"/>
      <c r="X27" s="14"/>
      <c r="Y27" s="14"/>
      <c r="Z27" s="14"/>
      <c r="AA27" s="14"/>
      <c r="AB27" s="14"/>
      <c r="AC27" s="14"/>
      <c r="AD27" s="14"/>
      <c r="AE27" s="14"/>
      <c r="AF27" s="14"/>
      <c r="AG27" s="14"/>
      <c r="AH27" s="14"/>
      <c r="AI27" s="14"/>
      <c r="AJ27" s="167">
        <v>45978</v>
      </c>
      <c r="AK27" s="14">
        <v>665.67</v>
      </c>
      <c r="AL27" s="14" t="s">
        <v>562</v>
      </c>
      <c r="AM27" s="14" t="s">
        <v>154</v>
      </c>
      <c r="AN27" s="14">
        <f>IF('ETF Data'!$H$2,IF(ISNUMBER(AK27),AK27,NA()),NA())</f>
        <v>665.67</v>
      </c>
      <c r="AO27" s="14"/>
      <c r="AP27" s="14"/>
      <c r="AQ27" s="14"/>
      <c r="AR27" s="14"/>
      <c r="AS27" s="14"/>
      <c r="AT27" s="14"/>
      <c r="AU27" s="14"/>
      <c r="AV27" s="14"/>
      <c r="AW27" s="14"/>
      <c r="AX27" s="14"/>
      <c r="AY27" s="14"/>
      <c r="AZ27" s="14"/>
      <c r="BA27" s="14"/>
      <c r="BB27" s="14"/>
      <c r="BC27" s="14"/>
      <c r="BD27" s="14"/>
      <c r="BE27" s="14"/>
      <c r="BF27" s="14"/>
      <c r="BG27" s="14"/>
      <c r="BH27" s="14"/>
      <c r="BI27" s="14"/>
    </row>
    <row r="28" spans="1:61">
      <c r="A28" s="14" t="s">
        <v>286</v>
      </c>
      <c r="B28" s="14">
        <v>0.79916328703703698</v>
      </c>
      <c r="C28" s="14"/>
      <c r="D28" s="14">
        <v>46307</v>
      </c>
      <c r="E28" s="14" t="s">
        <v>139</v>
      </c>
      <c r="F28" s="14" t="s">
        <v>557</v>
      </c>
      <c r="G28" s="14" t="s">
        <v>1095</v>
      </c>
      <c r="H28" s="14"/>
      <c r="I28" s="14"/>
      <c r="J28" s="14" t="s">
        <v>701</v>
      </c>
      <c r="K28" s="14" t="s">
        <v>702</v>
      </c>
      <c r="L28" s="14">
        <v>5.9287799999999998E-3</v>
      </c>
      <c r="M28" s="14">
        <v>46304</v>
      </c>
      <c r="N28" s="14" t="s">
        <v>279</v>
      </c>
      <c r="O28" s="14"/>
      <c r="P28" s="14"/>
      <c r="Q28" s="14"/>
      <c r="R28" s="14"/>
      <c r="S28" s="14"/>
      <c r="T28" s="14"/>
      <c r="U28" s="14"/>
      <c r="V28" s="14"/>
      <c r="W28" s="14"/>
      <c r="X28" s="14"/>
      <c r="Y28" s="14"/>
      <c r="Z28" s="14"/>
      <c r="AA28" s="14"/>
      <c r="AB28" s="14"/>
      <c r="AC28" s="14"/>
      <c r="AD28" s="14"/>
      <c r="AE28" s="14"/>
      <c r="AF28" s="14"/>
      <c r="AG28" s="14"/>
      <c r="AH28" s="14"/>
      <c r="AI28" s="14"/>
      <c r="AJ28" s="167">
        <v>45979</v>
      </c>
      <c r="AK28" s="14">
        <v>660.08</v>
      </c>
      <c r="AL28" s="14" t="s">
        <v>562</v>
      </c>
      <c r="AM28" s="14" t="s">
        <v>154</v>
      </c>
      <c r="AN28" s="14">
        <f>IF('ETF Data'!$H$2,IF(ISNUMBER(AK28),AK28,NA()),NA())</f>
        <v>660.08</v>
      </c>
      <c r="AO28" s="14"/>
      <c r="AP28" s="14"/>
      <c r="AQ28" s="14"/>
      <c r="AR28" s="14"/>
      <c r="AS28" s="14"/>
      <c r="AT28" s="14"/>
      <c r="AU28" s="14"/>
      <c r="AV28" s="14"/>
      <c r="AW28" s="14"/>
      <c r="AX28" s="14"/>
      <c r="AY28" s="14"/>
      <c r="AZ28" s="14"/>
      <c r="BA28" s="14"/>
      <c r="BB28" s="14"/>
      <c r="BC28" s="14"/>
      <c r="BD28" s="14"/>
      <c r="BE28" s="14"/>
      <c r="BF28" s="14"/>
      <c r="BG28" s="14"/>
      <c r="BH28" s="14"/>
      <c r="BI28" s="14"/>
    </row>
    <row r="29" spans="1:61">
      <c r="A29" s="14" t="s">
        <v>288</v>
      </c>
      <c r="B29" s="14">
        <v>777.75</v>
      </c>
      <c r="C29" s="14"/>
      <c r="D29" s="14">
        <v>46307</v>
      </c>
      <c r="E29" s="14" t="s">
        <v>139</v>
      </c>
      <c r="F29" s="14" t="s">
        <v>557</v>
      </c>
      <c r="G29" s="14" t="s">
        <v>1093</v>
      </c>
      <c r="H29" s="14"/>
      <c r="I29" s="14"/>
      <c r="J29" s="14" t="s">
        <v>703</v>
      </c>
      <c r="K29" s="14" t="s">
        <v>704</v>
      </c>
      <c r="L29" s="14">
        <v>5.4680199999999997E-3</v>
      </c>
      <c r="M29" s="14">
        <v>46304</v>
      </c>
      <c r="N29" s="14" t="s">
        <v>279</v>
      </c>
      <c r="O29" s="14"/>
      <c r="P29" s="14"/>
      <c r="Q29" s="14"/>
      <c r="R29" s="14"/>
      <c r="S29" s="14"/>
      <c r="T29" s="14"/>
      <c r="U29" s="14"/>
      <c r="V29" s="14"/>
      <c r="W29" s="14"/>
      <c r="X29" s="14"/>
      <c r="Y29" s="14"/>
      <c r="Z29" s="14"/>
      <c r="AA29" s="14"/>
      <c r="AB29" s="14"/>
      <c r="AC29" s="14"/>
      <c r="AD29" s="14"/>
      <c r="AE29" s="14"/>
      <c r="AF29" s="14"/>
      <c r="AG29" s="14"/>
      <c r="AH29" s="14"/>
      <c r="AI29" s="14"/>
      <c r="AJ29" s="167">
        <v>45980</v>
      </c>
      <c r="AK29" s="14">
        <v>662.63</v>
      </c>
      <c r="AL29" s="14" t="s">
        <v>562</v>
      </c>
      <c r="AM29" s="14" t="s">
        <v>154</v>
      </c>
      <c r="AN29" s="14">
        <f>IF('ETF Data'!$H$2,IF(ISNUMBER(AK29),AK29,NA()),NA())</f>
        <v>662.63</v>
      </c>
      <c r="AO29" s="14"/>
      <c r="AP29" s="14"/>
      <c r="AQ29" s="14"/>
      <c r="AR29" s="14"/>
      <c r="AS29" s="14"/>
      <c r="AT29" s="14"/>
      <c r="AU29" s="14"/>
      <c r="AV29" s="14"/>
      <c r="AW29" s="14"/>
      <c r="AX29" s="14"/>
      <c r="AY29" s="14"/>
      <c r="AZ29" s="14"/>
      <c r="BA29" s="14"/>
      <c r="BB29" s="14"/>
      <c r="BC29" s="14"/>
      <c r="BD29" s="14"/>
      <c r="BE29" s="14"/>
      <c r="BF29" s="14"/>
      <c r="BG29" s="14"/>
      <c r="BH29" s="14"/>
      <c r="BI29" s="14"/>
    </row>
    <row r="30" spans="1:61">
      <c r="A30" s="14" t="s">
        <v>290</v>
      </c>
      <c r="B30" s="14">
        <v>-0.35</v>
      </c>
      <c r="C30" s="14"/>
      <c r="D30" s="14">
        <v>46307</v>
      </c>
      <c r="E30" s="14" t="s">
        <v>139</v>
      </c>
      <c r="F30" s="14" t="s">
        <v>557</v>
      </c>
      <c r="G30" s="14" t="s">
        <v>1096</v>
      </c>
      <c r="H30" s="14"/>
      <c r="I30" s="14"/>
      <c r="J30" s="14" t="s">
        <v>705</v>
      </c>
      <c r="K30" s="14" t="s">
        <v>706</v>
      </c>
      <c r="L30" s="14">
        <v>5.33841E-3</v>
      </c>
      <c r="M30" s="14">
        <v>46304</v>
      </c>
      <c r="N30" s="14" t="s">
        <v>279</v>
      </c>
      <c r="O30" s="14"/>
      <c r="P30" s="14"/>
      <c r="Q30" s="14"/>
      <c r="R30" s="14"/>
      <c r="S30" s="14"/>
      <c r="T30" s="14"/>
      <c r="U30" s="14"/>
      <c r="V30" s="14"/>
      <c r="W30" s="14"/>
      <c r="X30" s="14"/>
      <c r="Y30" s="14"/>
      <c r="Z30" s="14"/>
      <c r="AA30" s="14"/>
      <c r="AB30" s="14"/>
      <c r="AC30" s="14"/>
      <c r="AD30" s="14"/>
      <c r="AE30" s="14"/>
      <c r="AF30" s="14"/>
      <c r="AG30" s="14"/>
      <c r="AH30" s="14"/>
      <c r="AI30" s="14"/>
      <c r="AJ30" s="167">
        <v>45981</v>
      </c>
      <c r="AK30" s="14">
        <v>652.53</v>
      </c>
      <c r="AL30" s="14" t="s">
        <v>562</v>
      </c>
      <c r="AM30" s="14" t="s">
        <v>154</v>
      </c>
      <c r="AN30" s="14">
        <f>IF('ETF Data'!$H$2,IF(ISNUMBER(AK30),AK30,NA()),NA())</f>
        <v>652.53</v>
      </c>
      <c r="AO30" s="14"/>
      <c r="AP30" s="14"/>
      <c r="AQ30" s="14"/>
      <c r="AR30" s="14"/>
      <c r="AS30" s="14"/>
      <c r="AT30" s="14"/>
      <c r="AU30" s="14"/>
      <c r="AV30" s="14"/>
      <c r="AW30" s="14"/>
      <c r="AX30" s="14"/>
      <c r="AY30" s="14"/>
      <c r="AZ30" s="14"/>
      <c r="BA30" s="14"/>
      <c r="BB30" s="14"/>
      <c r="BC30" s="14"/>
      <c r="BD30" s="14"/>
      <c r="BE30" s="14"/>
      <c r="BF30" s="14"/>
      <c r="BG30" s="14"/>
      <c r="BH30" s="14"/>
      <c r="BI30" s="14"/>
    </row>
    <row r="31" spans="1:61">
      <c r="A31" s="14" t="s">
        <v>292</v>
      </c>
      <c r="B31" s="14">
        <v>-4.4999999999999999E-4</v>
      </c>
      <c r="C31" s="14"/>
      <c r="D31" s="14">
        <v>46307</v>
      </c>
      <c r="E31" s="14" t="s">
        <v>139</v>
      </c>
      <c r="F31" s="14" t="s">
        <v>557</v>
      </c>
      <c r="G31" s="14" t="s">
        <v>1097</v>
      </c>
      <c r="H31" s="14"/>
      <c r="I31" s="14"/>
      <c r="J31" s="14" t="s">
        <v>697</v>
      </c>
      <c r="K31" s="14" t="s">
        <v>698</v>
      </c>
      <c r="L31" s="14">
        <v>5.2498199999999997E-3</v>
      </c>
      <c r="M31" s="14">
        <v>46304</v>
      </c>
      <c r="N31" s="14" t="s">
        <v>279</v>
      </c>
      <c r="O31" s="14"/>
      <c r="P31" s="14"/>
      <c r="Q31" s="14"/>
      <c r="R31" s="14"/>
      <c r="S31" s="14"/>
      <c r="T31" s="14"/>
      <c r="U31" s="14"/>
      <c r="V31" s="14"/>
      <c r="W31" s="14"/>
      <c r="X31" s="14"/>
      <c r="Y31" s="14"/>
      <c r="Z31" s="14"/>
      <c r="AA31" s="14"/>
      <c r="AB31" s="14"/>
      <c r="AC31" s="14"/>
      <c r="AD31" s="14"/>
      <c r="AE31" s="14"/>
      <c r="AF31" s="14"/>
      <c r="AG31" s="14"/>
      <c r="AH31" s="14"/>
      <c r="AI31" s="14"/>
      <c r="AJ31" s="167">
        <v>45982</v>
      </c>
      <c r="AK31" s="14">
        <v>659.03</v>
      </c>
      <c r="AL31" s="14" t="s">
        <v>562</v>
      </c>
      <c r="AM31" s="14" t="s">
        <v>154</v>
      </c>
      <c r="AN31" s="14">
        <f>IF('ETF Data'!$H$2,IF(ISNUMBER(AK31),AK31,NA()),NA())</f>
        <v>659.03</v>
      </c>
      <c r="AO31" s="14"/>
      <c r="AP31" s="14"/>
      <c r="AQ31" s="14"/>
      <c r="AR31" s="14"/>
      <c r="AS31" s="14"/>
      <c r="AT31" s="14"/>
      <c r="AU31" s="14"/>
      <c r="AV31" s="14"/>
      <c r="AW31" s="14"/>
      <c r="AX31" s="14"/>
      <c r="AY31" s="14"/>
      <c r="AZ31" s="14"/>
      <c r="BA31" s="14"/>
      <c r="BB31" s="14"/>
      <c r="BC31" s="14"/>
      <c r="BD31" s="14"/>
      <c r="BE31" s="14"/>
      <c r="BF31" s="14"/>
      <c r="BG31" s="14"/>
      <c r="BH31" s="14"/>
      <c r="BI31" s="14"/>
    </row>
    <row r="32" spans="1:61">
      <c r="A32" s="14" t="s">
        <v>294</v>
      </c>
      <c r="B32" s="14" t="s">
        <v>905</v>
      </c>
      <c r="C32" s="14"/>
      <c r="D32" s="14">
        <v>46307</v>
      </c>
      <c r="E32" s="14" t="s">
        <v>139</v>
      </c>
      <c r="F32" s="14" t="s">
        <v>557</v>
      </c>
      <c r="G32" s="14" t="s">
        <v>906</v>
      </c>
      <c r="H32" s="14"/>
      <c r="I32" s="14"/>
      <c r="J32" s="14" t="s">
        <v>717</v>
      </c>
      <c r="K32" s="14" t="s">
        <v>718</v>
      </c>
      <c r="L32" s="14">
        <v>5.2241500000000003E-3</v>
      </c>
      <c r="M32" s="14">
        <v>46304</v>
      </c>
      <c r="N32" s="14" t="s">
        <v>279</v>
      </c>
      <c r="O32" s="14"/>
      <c r="P32" s="14"/>
      <c r="Q32" s="14"/>
      <c r="R32" s="14"/>
      <c r="S32" s="14"/>
      <c r="T32" s="14"/>
      <c r="U32" s="14"/>
      <c r="V32" s="14"/>
      <c r="W32" s="14"/>
      <c r="X32" s="14"/>
      <c r="Y32" s="14"/>
      <c r="Z32" s="14"/>
      <c r="AA32" s="14"/>
      <c r="AB32" s="14"/>
      <c r="AC32" s="14"/>
      <c r="AD32" s="14"/>
      <c r="AE32" s="14"/>
      <c r="AF32" s="14"/>
      <c r="AG32" s="14"/>
      <c r="AH32" s="14"/>
      <c r="AI32" s="14"/>
      <c r="AJ32" s="167">
        <v>45985</v>
      </c>
      <c r="AK32" s="14">
        <v>668.73</v>
      </c>
      <c r="AL32" s="14" t="s">
        <v>562</v>
      </c>
      <c r="AM32" s="14" t="s">
        <v>154</v>
      </c>
      <c r="AN32" s="14">
        <f>IF('ETF Data'!$H$2,IF(ISNUMBER(AK32),AK32,NA()),NA())</f>
        <v>668.73</v>
      </c>
      <c r="AO32" s="14"/>
      <c r="AP32" s="14"/>
      <c r="AQ32" s="14"/>
      <c r="AR32" s="14"/>
      <c r="AS32" s="14"/>
      <c r="AT32" s="14"/>
      <c r="AU32" s="14"/>
      <c r="AV32" s="14"/>
      <c r="AW32" s="14"/>
      <c r="AX32" s="14"/>
      <c r="AY32" s="14"/>
      <c r="AZ32" s="14"/>
      <c r="BA32" s="14"/>
      <c r="BB32" s="14"/>
      <c r="BC32" s="14"/>
      <c r="BD32" s="14"/>
      <c r="BE32" s="14"/>
      <c r="BF32" s="14"/>
      <c r="BG32" s="14"/>
      <c r="BH32" s="14"/>
      <c r="BI32" s="14"/>
    </row>
    <row r="33" spans="1:61">
      <c r="A33" s="14" t="s">
        <v>296</v>
      </c>
      <c r="B33" s="14">
        <v>46307</v>
      </c>
      <c r="C33" s="14"/>
      <c r="D33" s="14">
        <v>46307</v>
      </c>
      <c r="E33" s="14" t="s">
        <v>139</v>
      </c>
      <c r="F33" s="14" t="s">
        <v>557</v>
      </c>
      <c r="G33" s="14" t="s">
        <v>594</v>
      </c>
      <c r="H33" s="14"/>
      <c r="I33" s="14"/>
      <c r="J33" s="14" t="s">
        <v>721</v>
      </c>
      <c r="K33" s="14" t="s">
        <v>722</v>
      </c>
      <c r="L33" s="14">
        <v>5.0676699999999998E-3</v>
      </c>
      <c r="M33" s="14">
        <v>46304</v>
      </c>
      <c r="N33" s="14" t="s">
        <v>279</v>
      </c>
      <c r="O33" s="14"/>
      <c r="P33" s="14"/>
      <c r="Q33" s="14"/>
      <c r="R33" s="14"/>
      <c r="S33" s="14"/>
      <c r="T33" s="14"/>
      <c r="U33" s="14"/>
      <c r="V33" s="14"/>
      <c r="W33" s="14"/>
      <c r="X33" s="14"/>
      <c r="Y33" s="14"/>
      <c r="Z33" s="14"/>
      <c r="AA33" s="14"/>
      <c r="AB33" s="14"/>
      <c r="AC33" s="14"/>
      <c r="AD33" s="14"/>
      <c r="AE33" s="14"/>
      <c r="AF33" s="14"/>
      <c r="AG33" s="14"/>
      <c r="AH33" s="14"/>
      <c r="AI33" s="14"/>
      <c r="AJ33" s="167">
        <v>45986</v>
      </c>
      <c r="AK33" s="14">
        <v>675.02</v>
      </c>
      <c r="AL33" s="14" t="s">
        <v>562</v>
      </c>
      <c r="AM33" s="14" t="s">
        <v>154</v>
      </c>
      <c r="AN33" s="14">
        <f>IF('ETF Data'!$H$2,IF(ISNUMBER(AK33),AK33,NA()),NA())</f>
        <v>675.02</v>
      </c>
      <c r="AO33" s="14"/>
      <c r="AP33" s="14"/>
      <c r="AQ33" s="14"/>
      <c r="AR33" s="14"/>
      <c r="AS33" s="14"/>
      <c r="AT33" s="14"/>
      <c r="AU33" s="14"/>
      <c r="AV33" s="14"/>
      <c r="AW33" s="14"/>
      <c r="AX33" s="14"/>
      <c r="AY33" s="14"/>
      <c r="AZ33" s="14"/>
      <c r="BA33" s="14"/>
      <c r="BB33" s="14"/>
      <c r="BC33" s="14"/>
      <c r="BD33" s="14"/>
      <c r="BE33" s="14"/>
      <c r="BF33" s="14"/>
      <c r="BG33" s="14"/>
      <c r="BH33" s="14"/>
      <c r="BI33" s="14"/>
    </row>
    <row r="34" spans="1:61">
      <c r="A34" s="14" t="s">
        <v>298</v>
      </c>
      <c r="B34" s="14">
        <v>0.79914787037037038</v>
      </c>
      <c r="C34" s="14"/>
      <c r="D34" s="14">
        <v>46307</v>
      </c>
      <c r="E34" s="14" t="s">
        <v>139</v>
      </c>
      <c r="F34" s="14" t="s">
        <v>557</v>
      </c>
      <c r="G34" s="14" t="s">
        <v>1098</v>
      </c>
      <c r="H34" s="14"/>
      <c r="I34" s="14"/>
      <c r="J34" s="14" t="s">
        <v>3</v>
      </c>
      <c r="K34" s="14" t="s">
        <v>713</v>
      </c>
      <c r="L34" s="14">
        <v>5.0670999999999997E-3</v>
      </c>
      <c r="M34" s="14">
        <v>46304</v>
      </c>
      <c r="N34" s="14" t="s">
        <v>279</v>
      </c>
      <c r="O34" s="14"/>
      <c r="P34" s="14"/>
      <c r="Q34" s="14"/>
      <c r="R34" s="14"/>
      <c r="S34" s="14"/>
      <c r="T34" s="14"/>
      <c r="U34" s="14"/>
      <c r="V34" s="14"/>
      <c r="W34" s="14"/>
      <c r="X34" s="14"/>
      <c r="Y34" s="14"/>
      <c r="Z34" s="14"/>
      <c r="AA34" s="14"/>
      <c r="AB34" s="14"/>
      <c r="AC34" s="14"/>
      <c r="AD34" s="14"/>
      <c r="AE34" s="14"/>
      <c r="AF34" s="14"/>
      <c r="AG34" s="14"/>
      <c r="AH34" s="14"/>
      <c r="AI34" s="14"/>
      <c r="AJ34" s="167">
        <v>45987</v>
      </c>
      <c r="AK34" s="14">
        <v>679.68</v>
      </c>
      <c r="AL34" s="14" t="s">
        <v>562</v>
      </c>
      <c r="AM34" s="14" t="s">
        <v>154</v>
      </c>
      <c r="AN34" s="14">
        <f>IF('ETF Data'!$H$2,IF(ISNUMBER(AK34),AK34,NA()),NA())</f>
        <v>679.68</v>
      </c>
      <c r="AO34" s="14"/>
      <c r="AP34" s="14"/>
      <c r="AQ34" s="14"/>
      <c r="AR34" s="14"/>
      <c r="AS34" s="14"/>
      <c r="AT34" s="14"/>
      <c r="AU34" s="14"/>
      <c r="AV34" s="14"/>
      <c r="AW34" s="14"/>
      <c r="AX34" s="14"/>
      <c r="AY34" s="14"/>
      <c r="AZ34" s="14"/>
      <c r="BA34" s="14"/>
      <c r="BB34" s="14"/>
      <c r="BC34" s="14"/>
      <c r="BD34" s="14"/>
      <c r="BE34" s="14"/>
      <c r="BF34" s="14"/>
      <c r="BG34" s="14"/>
      <c r="BH34" s="14"/>
      <c r="BI34" s="14"/>
    </row>
    <row r="35" spans="1:61">
      <c r="A35" s="14" t="s">
        <v>300</v>
      </c>
      <c r="B35" s="14" t="s">
        <v>642</v>
      </c>
      <c r="C35" s="14"/>
      <c r="D35" s="14">
        <v>46307</v>
      </c>
      <c r="E35" s="14" t="s">
        <v>139</v>
      </c>
      <c r="F35" s="14" t="s">
        <v>557</v>
      </c>
      <c r="G35" s="14" t="s">
        <v>714</v>
      </c>
      <c r="H35" s="14"/>
      <c r="I35" s="14"/>
      <c r="J35" s="14" t="s">
        <v>709</v>
      </c>
      <c r="K35" s="14" t="s">
        <v>710</v>
      </c>
      <c r="L35" s="14">
        <v>5.0596900000000004E-3</v>
      </c>
      <c r="M35" s="14">
        <v>46304</v>
      </c>
      <c r="N35" s="14" t="s">
        <v>279</v>
      </c>
      <c r="O35" s="14"/>
      <c r="P35" s="14"/>
      <c r="Q35" s="14"/>
      <c r="R35" s="14"/>
      <c r="S35" s="14"/>
      <c r="T35" s="14"/>
      <c r="U35" s="14"/>
      <c r="V35" s="14"/>
      <c r="W35" s="14"/>
      <c r="X35" s="14"/>
      <c r="Y35" s="14"/>
      <c r="Z35" s="14"/>
      <c r="AA35" s="14"/>
      <c r="AB35" s="14"/>
      <c r="AC35" s="14"/>
      <c r="AD35" s="14"/>
      <c r="AE35" s="14"/>
      <c r="AF35" s="14"/>
      <c r="AG35" s="14"/>
      <c r="AH35" s="14"/>
      <c r="AI35" s="14"/>
      <c r="AJ35" s="167">
        <v>45989</v>
      </c>
      <c r="AK35" s="14">
        <v>683.39</v>
      </c>
      <c r="AL35" s="14" t="s">
        <v>562</v>
      </c>
      <c r="AM35" s="14" t="s">
        <v>154</v>
      </c>
      <c r="AN35" s="14">
        <f>IF('ETF Data'!$H$2,IF(ISNUMBER(AK35),AK35,NA()),NA())</f>
        <v>683.39</v>
      </c>
      <c r="AO35" s="14"/>
      <c r="AP35" s="14"/>
      <c r="AQ35" s="14"/>
      <c r="AR35" s="14"/>
      <c r="AS35" s="14"/>
      <c r="AT35" s="14"/>
      <c r="AU35" s="14"/>
      <c r="AV35" s="14"/>
      <c r="AW35" s="14"/>
      <c r="AX35" s="14"/>
      <c r="AY35" s="14"/>
      <c r="AZ35" s="14"/>
      <c r="BA35" s="14"/>
      <c r="BB35" s="14"/>
      <c r="BC35" s="14"/>
      <c r="BD35" s="14"/>
      <c r="BE35" s="14"/>
      <c r="BF35" s="14"/>
      <c r="BG35" s="14"/>
      <c r="BH35" s="14"/>
      <c r="BI35" s="14"/>
    </row>
    <row r="36" spans="1:61">
      <c r="A36" s="14" t="s">
        <v>305</v>
      </c>
      <c r="B36" s="14" t="s">
        <v>1077</v>
      </c>
      <c r="C36" s="14"/>
      <c r="D36" s="14">
        <v>46307</v>
      </c>
      <c r="E36" s="14" t="s">
        <v>261</v>
      </c>
      <c r="F36" s="14" t="s">
        <v>557</v>
      </c>
      <c r="G36" s="14" t="s">
        <v>1078</v>
      </c>
      <c r="H36" s="14"/>
      <c r="I36" s="14"/>
      <c r="J36" s="14" t="s">
        <v>711</v>
      </c>
      <c r="K36" s="14" t="s">
        <v>712</v>
      </c>
      <c r="L36" s="14">
        <v>4.7524100000000003E-3</v>
      </c>
      <c r="M36" s="14">
        <v>46304</v>
      </c>
      <c r="N36" s="14" t="s">
        <v>279</v>
      </c>
      <c r="O36" s="14"/>
      <c r="P36" s="14"/>
      <c r="Q36" s="14"/>
      <c r="R36" s="14"/>
      <c r="S36" s="14"/>
      <c r="T36" s="14"/>
      <c r="U36" s="14"/>
      <c r="V36" s="14"/>
      <c r="W36" s="14"/>
      <c r="X36" s="14"/>
      <c r="Y36" s="14"/>
      <c r="Z36" s="14"/>
      <c r="AA36" s="14"/>
      <c r="AB36" s="14"/>
      <c r="AC36" s="14"/>
      <c r="AD36" s="14"/>
      <c r="AE36" s="14"/>
      <c r="AF36" s="14"/>
      <c r="AG36" s="14"/>
      <c r="AH36" s="14"/>
      <c r="AI36" s="14"/>
      <c r="AJ36" s="167">
        <v>45992</v>
      </c>
      <c r="AK36" s="14">
        <v>680.27</v>
      </c>
      <c r="AL36" s="14" t="s">
        <v>562</v>
      </c>
      <c r="AM36" s="14" t="s">
        <v>154</v>
      </c>
      <c r="AN36" s="14">
        <f>IF('ETF Data'!$H$2,IF(ISNUMBER(AK36),AK36,NA()),NA())</f>
        <v>680.27</v>
      </c>
      <c r="AO36" s="14"/>
      <c r="AP36" s="14"/>
      <c r="AQ36" s="14"/>
      <c r="AR36" s="14"/>
      <c r="AS36" s="14"/>
      <c r="AT36" s="14"/>
      <c r="AU36" s="14"/>
      <c r="AV36" s="14"/>
      <c r="AW36" s="14"/>
      <c r="AX36" s="14"/>
      <c r="AY36" s="14"/>
      <c r="AZ36" s="14"/>
      <c r="BA36" s="14"/>
      <c r="BB36" s="14"/>
      <c r="BC36" s="14"/>
      <c r="BD36" s="14"/>
      <c r="BE36" s="14"/>
      <c r="BF36" s="14"/>
      <c r="BG36" s="14"/>
      <c r="BH36" s="14"/>
      <c r="BI36" s="14"/>
    </row>
    <row r="37" spans="1:61">
      <c r="A37" s="14" t="s">
        <v>309</v>
      </c>
      <c r="B37" s="14" t="s">
        <v>1073</v>
      </c>
      <c r="C37" s="14"/>
      <c r="D37" s="14">
        <v>46295</v>
      </c>
      <c r="E37" s="14" t="s">
        <v>221</v>
      </c>
      <c r="F37" s="14" t="s">
        <v>557</v>
      </c>
      <c r="G37" s="14"/>
      <c r="H37" s="14"/>
      <c r="I37" s="14"/>
      <c r="J37" s="14" t="s">
        <v>723</v>
      </c>
      <c r="K37" s="14" t="s">
        <v>724</v>
      </c>
      <c r="L37" s="14">
        <v>4.6604699999999999E-3</v>
      </c>
      <c r="M37" s="14">
        <v>46304</v>
      </c>
      <c r="N37" s="14" t="s">
        <v>279</v>
      </c>
      <c r="O37" s="14"/>
      <c r="P37" s="14"/>
      <c r="Q37" s="14"/>
      <c r="R37" s="14"/>
      <c r="S37" s="14"/>
      <c r="T37" s="14"/>
      <c r="U37" s="14"/>
      <c r="V37" s="14"/>
      <c r="W37" s="14"/>
      <c r="X37" s="14"/>
      <c r="Y37" s="14"/>
      <c r="Z37" s="14"/>
      <c r="AA37" s="14"/>
      <c r="AB37" s="14"/>
      <c r="AC37" s="14"/>
      <c r="AD37" s="14"/>
      <c r="AE37" s="14"/>
      <c r="AF37" s="14"/>
      <c r="AG37" s="14"/>
      <c r="AH37" s="14"/>
      <c r="AI37" s="14"/>
      <c r="AJ37" s="167">
        <v>45993</v>
      </c>
      <c r="AK37" s="14">
        <v>681.53</v>
      </c>
      <c r="AL37" s="14" t="s">
        <v>562</v>
      </c>
      <c r="AM37" s="14" t="s">
        <v>154</v>
      </c>
      <c r="AN37" s="14">
        <f>IF('ETF Data'!$H$2,IF(ISNUMBER(AK37),AK37,NA()),NA())</f>
        <v>681.53</v>
      </c>
      <c r="AO37" s="14"/>
      <c r="AP37" s="14"/>
      <c r="AQ37" s="14"/>
      <c r="AR37" s="14"/>
      <c r="AS37" s="14"/>
      <c r="AT37" s="14"/>
      <c r="AU37" s="14"/>
      <c r="AV37" s="14"/>
      <c r="AW37" s="14"/>
      <c r="AX37" s="14"/>
      <c r="AY37" s="14"/>
      <c r="AZ37" s="14"/>
      <c r="BA37" s="14"/>
      <c r="BB37" s="14"/>
      <c r="BC37" s="14"/>
      <c r="BD37" s="14"/>
      <c r="BE37" s="14"/>
      <c r="BF37" s="14"/>
      <c r="BG37" s="14"/>
      <c r="BH37" s="14"/>
      <c r="BI37" s="14"/>
    </row>
    <row r="38" spans="1:61">
      <c r="A38" s="14" t="s">
        <v>47</v>
      </c>
      <c r="B38" s="14" t="s">
        <v>599</v>
      </c>
      <c r="C38" s="14"/>
      <c r="D38" s="14"/>
      <c r="E38" s="14"/>
      <c r="F38" s="14" t="s">
        <v>600</v>
      </c>
      <c r="G38" s="14"/>
      <c r="H38" s="14"/>
      <c r="I38" s="14"/>
      <c r="J38" s="14" t="s">
        <v>715</v>
      </c>
      <c r="K38" s="14" t="s">
        <v>716</v>
      </c>
      <c r="L38" s="14">
        <v>4.3506500000000002E-3</v>
      </c>
      <c r="M38" s="14">
        <v>46304</v>
      </c>
      <c r="N38" s="14" t="s">
        <v>279</v>
      </c>
      <c r="O38" s="14"/>
      <c r="P38" s="14"/>
      <c r="Q38" s="14"/>
      <c r="R38" s="14"/>
      <c r="S38" s="14"/>
      <c r="T38" s="14"/>
      <c r="U38" s="14"/>
      <c r="V38" s="14"/>
      <c r="W38" s="14"/>
      <c r="X38" s="14"/>
      <c r="Y38" s="14"/>
      <c r="Z38" s="14"/>
      <c r="AA38" s="14"/>
      <c r="AB38" s="14"/>
      <c r="AC38" s="14"/>
      <c r="AD38" s="14"/>
      <c r="AE38" s="14"/>
      <c r="AF38" s="14"/>
      <c r="AG38" s="14"/>
      <c r="AH38" s="14"/>
      <c r="AI38" s="14"/>
      <c r="AJ38" s="167">
        <v>45994</v>
      </c>
      <c r="AK38" s="14">
        <v>683.89</v>
      </c>
      <c r="AL38" s="14" t="s">
        <v>562</v>
      </c>
      <c r="AM38" s="14" t="s">
        <v>154</v>
      </c>
      <c r="AN38" s="14">
        <f>IF('ETF Data'!$H$2,IF(ISNUMBER(AK38),AK38,NA()),NA())</f>
        <v>683.89</v>
      </c>
      <c r="AO38" s="14"/>
      <c r="AP38" s="14"/>
      <c r="AQ38" s="14"/>
      <c r="AR38" s="14"/>
      <c r="AS38" s="14"/>
      <c r="AT38" s="14"/>
      <c r="AU38" s="14"/>
      <c r="AV38" s="14"/>
      <c r="AW38" s="14"/>
      <c r="AX38" s="14"/>
      <c r="AY38" s="14"/>
      <c r="AZ38" s="14"/>
      <c r="BA38" s="14"/>
      <c r="BB38" s="14"/>
      <c r="BC38" s="14"/>
      <c r="BD38" s="14"/>
      <c r="BE38" s="14"/>
      <c r="BF38" s="14"/>
      <c r="BG38" s="14"/>
      <c r="BH38" s="14"/>
      <c r="BI38" s="14"/>
    </row>
    <row r="39" spans="1:61">
      <c r="A39" s="14" t="s">
        <v>316</v>
      </c>
      <c r="B39" s="14" t="s">
        <v>599</v>
      </c>
      <c r="C39" s="14"/>
      <c r="D39" s="14"/>
      <c r="E39" s="14"/>
      <c r="F39" s="14" t="s">
        <v>600</v>
      </c>
      <c r="G39" s="14"/>
      <c r="H39" s="14"/>
      <c r="I39" s="14"/>
      <c r="J39" s="14" t="s">
        <v>719</v>
      </c>
      <c r="K39" s="14" t="s">
        <v>720</v>
      </c>
      <c r="L39" s="14">
        <v>4.3055899999999998E-3</v>
      </c>
      <c r="M39" s="14">
        <v>46304</v>
      </c>
      <c r="N39" s="14" t="s">
        <v>279</v>
      </c>
      <c r="O39" s="14"/>
      <c r="P39" s="14"/>
      <c r="Q39" s="14"/>
      <c r="R39" s="14"/>
      <c r="S39" s="14"/>
      <c r="T39" s="14"/>
      <c r="U39" s="14"/>
      <c r="V39" s="14"/>
      <c r="W39" s="14"/>
      <c r="X39" s="14"/>
      <c r="Y39" s="14"/>
      <c r="Z39" s="14"/>
      <c r="AA39" s="14"/>
      <c r="AB39" s="14"/>
      <c r="AC39" s="14"/>
      <c r="AD39" s="14"/>
      <c r="AE39" s="14"/>
      <c r="AF39" s="14"/>
      <c r="AG39" s="14"/>
      <c r="AH39" s="14"/>
      <c r="AI39" s="14"/>
      <c r="AJ39" s="167">
        <v>45995</v>
      </c>
      <c r="AK39" s="14">
        <v>684.39</v>
      </c>
      <c r="AL39" s="14" t="s">
        <v>562</v>
      </c>
      <c r="AM39" s="14" t="s">
        <v>154</v>
      </c>
      <c r="AN39" s="14">
        <f>IF('ETF Data'!$H$2,IF(ISNUMBER(AK39),AK39,NA()),NA())</f>
        <v>684.39</v>
      </c>
      <c r="AO39" s="14"/>
      <c r="AP39" s="14"/>
      <c r="AQ39" s="14"/>
      <c r="AR39" s="14"/>
      <c r="AS39" s="14"/>
      <c r="AT39" s="14"/>
      <c r="AU39" s="14"/>
      <c r="AV39" s="14"/>
      <c r="AW39" s="14"/>
      <c r="AX39" s="14"/>
      <c r="AY39" s="14"/>
      <c r="AZ39" s="14"/>
      <c r="BA39" s="14"/>
      <c r="BB39" s="14"/>
      <c r="BC39" s="14"/>
      <c r="BD39" s="14"/>
      <c r="BE39" s="14"/>
      <c r="BF39" s="14"/>
      <c r="BG39" s="14"/>
      <c r="BH39" s="14"/>
      <c r="BI39" s="14"/>
    </row>
    <row r="40" spans="1:61">
      <c r="A40" s="14" t="s">
        <v>320</v>
      </c>
      <c r="B40" s="14" t="s">
        <v>599</v>
      </c>
      <c r="C40" s="14"/>
      <c r="D40" s="14"/>
      <c r="E40" s="14"/>
      <c r="F40" s="14" t="s">
        <v>600</v>
      </c>
      <c r="G40" s="14"/>
      <c r="H40" s="14"/>
      <c r="I40" s="14"/>
      <c r="J40" s="14" t="s">
        <v>739</v>
      </c>
      <c r="K40" s="14" t="s">
        <v>740</v>
      </c>
      <c r="L40" s="14">
        <v>4.1627299999999999E-3</v>
      </c>
      <c r="M40" s="14">
        <v>46304</v>
      </c>
      <c r="N40" s="14" t="s">
        <v>279</v>
      </c>
      <c r="O40" s="14"/>
      <c r="P40" s="14"/>
      <c r="Q40" s="14"/>
      <c r="R40" s="14"/>
      <c r="S40" s="14"/>
      <c r="T40" s="14"/>
      <c r="U40" s="14"/>
      <c r="V40" s="14"/>
      <c r="W40" s="14"/>
      <c r="X40" s="14"/>
      <c r="Y40" s="14"/>
      <c r="Z40" s="14"/>
      <c r="AA40" s="14"/>
      <c r="AB40" s="14"/>
      <c r="AC40" s="14"/>
      <c r="AD40" s="14"/>
      <c r="AE40" s="14"/>
      <c r="AF40" s="14"/>
      <c r="AG40" s="14"/>
      <c r="AH40" s="14"/>
      <c r="AI40" s="14"/>
      <c r="AJ40" s="167">
        <v>45996</v>
      </c>
      <c r="AK40" s="14">
        <v>685.69</v>
      </c>
      <c r="AL40" s="14" t="s">
        <v>562</v>
      </c>
      <c r="AM40" s="14" t="s">
        <v>154</v>
      </c>
      <c r="AN40" s="14">
        <f>IF('ETF Data'!$H$2,IF(ISNUMBER(AK40),AK40,NA()),NA())</f>
        <v>685.69</v>
      </c>
      <c r="AO40" s="14"/>
      <c r="AP40" s="14"/>
      <c r="AQ40" s="14"/>
      <c r="AR40" s="14"/>
      <c r="AS40" s="14"/>
      <c r="AT40" s="14"/>
      <c r="AU40" s="14"/>
      <c r="AV40" s="14"/>
      <c r="AW40" s="14"/>
      <c r="AX40" s="14"/>
      <c r="AY40" s="14"/>
      <c r="AZ40" s="14"/>
      <c r="BA40" s="14"/>
      <c r="BB40" s="14"/>
      <c r="BC40" s="14"/>
      <c r="BD40" s="14"/>
      <c r="BE40" s="14"/>
      <c r="BF40" s="14"/>
      <c r="BG40" s="14"/>
      <c r="BH40" s="14"/>
      <c r="BI40" s="14"/>
    </row>
    <row r="41" spans="1:61">
      <c r="A41" s="14" t="s">
        <v>324</v>
      </c>
      <c r="B41" s="14" t="s">
        <v>599</v>
      </c>
      <c r="C41" s="14"/>
      <c r="D41" s="14"/>
      <c r="E41" s="14"/>
      <c r="F41" s="14" t="s">
        <v>600</v>
      </c>
      <c r="G41" s="14"/>
      <c r="H41" s="14"/>
      <c r="I41" s="14"/>
      <c r="J41" s="14" t="s">
        <v>735</v>
      </c>
      <c r="K41" s="14" t="s">
        <v>736</v>
      </c>
      <c r="L41" s="14">
        <v>3.9772499999999999E-3</v>
      </c>
      <c r="M41" s="14">
        <v>46304</v>
      </c>
      <c r="N41" s="14" t="s">
        <v>279</v>
      </c>
      <c r="O41" s="14"/>
      <c r="P41" s="14"/>
      <c r="Q41" s="14"/>
      <c r="R41" s="14"/>
      <c r="S41" s="14"/>
      <c r="T41" s="14"/>
      <c r="U41" s="14"/>
      <c r="V41" s="14"/>
      <c r="W41" s="14"/>
      <c r="X41" s="14"/>
      <c r="Y41" s="14"/>
      <c r="Z41" s="14"/>
      <c r="AA41" s="14"/>
      <c r="AB41" s="14"/>
      <c r="AC41" s="14"/>
      <c r="AD41" s="14"/>
      <c r="AE41" s="14"/>
      <c r="AF41" s="14"/>
      <c r="AG41" s="14"/>
      <c r="AH41" s="14"/>
      <c r="AI41" s="14"/>
      <c r="AJ41" s="167">
        <v>45999</v>
      </c>
      <c r="AK41" s="14">
        <v>683.63</v>
      </c>
      <c r="AL41" s="14" t="s">
        <v>562</v>
      </c>
      <c r="AM41" s="14" t="s">
        <v>154</v>
      </c>
      <c r="AN41" s="14">
        <f>IF('ETF Data'!$H$2,IF(ISNUMBER(AK41),AK41,NA()),NA())</f>
        <v>683.63</v>
      </c>
      <c r="AO41" s="14"/>
      <c r="AP41" s="14"/>
      <c r="AQ41" s="14"/>
      <c r="AR41" s="14"/>
      <c r="AS41" s="14"/>
      <c r="AT41" s="14"/>
      <c r="AU41" s="14"/>
      <c r="AV41" s="14"/>
      <c r="AW41" s="14"/>
      <c r="AX41" s="14"/>
      <c r="AY41" s="14"/>
      <c r="AZ41" s="14"/>
      <c r="BA41" s="14"/>
      <c r="BB41" s="14"/>
      <c r="BC41" s="14"/>
      <c r="BD41" s="14"/>
      <c r="BE41" s="14"/>
      <c r="BF41" s="14"/>
      <c r="BG41" s="14"/>
      <c r="BH41" s="14"/>
      <c r="BI41" s="14"/>
    </row>
    <row r="42" spans="1:61">
      <c r="A42" s="14" t="s">
        <v>51</v>
      </c>
      <c r="B42" s="14" t="s">
        <v>599</v>
      </c>
      <c r="C42" s="14"/>
      <c r="D42" s="14"/>
      <c r="E42" s="14"/>
      <c r="F42" s="14" t="s">
        <v>600</v>
      </c>
      <c r="G42" s="14"/>
      <c r="H42" s="14"/>
      <c r="I42" s="14"/>
      <c r="J42" s="14" t="s">
        <v>725</v>
      </c>
      <c r="K42" s="14" t="s">
        <v>726</v>
      </c>
      <c r="L42" s="14">
        <v>3.87054E-3</v>
      </c>
      <c r="M42" s="14">
        <v>46304</v>
      </c>
      <c r="N42" s="14" t="s">
        <v>279</v>
      </c>
      <c r="O42" s="14"/>
      <c r="P42" s="14"/>
      <c r="Q42" s="14"/>
      <c r="R42" s="14"/>
      <c r="S42" s="14"/>
      <c r="T42" s="14"/>
      <c r="U42" s="14"/>
      <c r="V42" s="14"/>
      <c r="W42" s="14"/>
      <c r="X42" s="14"/>
      <c r="Y42" s="14"/>
      <c r="Z42" s="14"/>
      <c r="AA42" s="14"/>
      <c r="AB42" s="14"/>
      <c r="AC42" s="14"/>
      <c r="AD42" s="14"/>
      <c r="AE42" s="14"/>
      <c r="AF42" s="14"/>
      <c r="AG42" s="14"/>
      <c r="AH42" s="14"/>
      <c r="AI42" s="14"/>
      <c r="AJ42" s="167">
        <v>46000</v>
      </c>
      <c r="AK42" s="14">
        <v>683.04</v>
      </c>
      <c r="AL42" s="14" t="s">
        <v>562</v>
      </c>
      <c r="AM42" s="14" t="s">
        <v>154</v>
      </c>
      <c r="AN42" s="14">
        <f>IF('ETF Data'!$H$2,IF(ISNUMBER(AK42),AK42,NA()),NA())</f>
        <v>683.04</v>
      </c>
      <c r="AO42" s="14"/>
      <c r="AP42" s="14"/>
      <c r="AQ42" s="14"/>
      <c r="AR42" s="14"/>
      <c r="AS42" s="14"/>
      <c r="AT42" s="14"/>
      <c r="AU42" s="14"/>
      <c r="AV42" s="14"/>
      <c r="AW42" s="14"/>
      <c r="AX42" s="14"/>
      <c r="AY42" s="14"/>
      <c r="AZ42" s="14"/>
      <c r="BA42" s="14"/>
      <c r="BB42" s="14"/>
      <c r="BC42" s="14"/>
      <c r="BD42" s="14"/>
      <c r="BE42" s="14"/>
      <c r="BF42" s="14"/>
      <c r="BG42" s="14"/>
      <c r="BH42" s="14"/>
      <c r="BI42" s="14"/>
    </row>
    <row r="43" spans="1:61">
      <c r="A43" s="14" t="s">
        <v>331</v>
      </c>
      <c r="B43" s="14" t="s">
        <v>858</v>
      </c>
      <c r="C43" s="14"/>
      <c r="D43" s="14">
        <v>46295</v>
      </c>
      <c r="E43" s="14" t="s">
        <v>216</v>
      </c>
      <c r="F43" s="14" t="s">
        <v>557</v>
      </c>
      <c r="G43" s="14" t="s">
        <v>859</v>
      </c>
      <c r="H43" s="14"/>
      <c r="I43" s="14"/>
      <c r="J43" s="14" t="s">
        <v>737</v>
      </c>
      <c r="K43" s="14" t="s">
        <v>738</v>
      </c>
      <c r="L43" s="14">
        <v>3.8475100000000002E-3</v>
      </c>
      <c r="M43" s="14">
        <v>46304</v>
      </c>
      <c r="N43" s="14" t="s">
        <v>279</v>
      </c>
      <c r="O43" s="14"/>
      <c r="P43" s="14"/>
      <c r="Q43" s="14"/>
      <c r="R43" s="14"/>
      <c r="S43" s="14"/>
      <c r="T43" s="14"/>
      <c r="U43" s="14"/>
      <c r="V43" s="14"/>
      <c r="W43" s="14"/>
      <c r="X43" s="14"/>
      <c r="Y43" s="14"/>
      <c r="Z43" s="14"/>
      <c r="AA43" s="14"/>
      <c r="AB43" s="14"/>
      <c r="AC43" s="14"/>
      <c r="AD43" s="14"/>
      <c r="AE43" s="14"/>
      <c r="AF43" s="14"/>
      <c r="AG43" s="14"/>
      <c r="AH43" s="14"/>
      <c r="AI43" s="14"/>
      <c r="AJ43" s="167">
        <v>46001</v>
      </c>
      <c r="AK43" s="14">
        <v>687.57</v>
      </c>
      <c r="AL43" s="14" t="s">
        <v>562</v>
      </c>
      <c r="AM43" s="14" t="s">
        <v>154</v>
      </c>
      <c r="AN43" s="14">
        <f>IF('ETF Data'!$H$2,IF(ISNUMBER(AK43),AK43,NA()),NA())</f>
        <v>687.57</v>
      </c>
      <c r="AO43" s="14"/>
      <c r="AP43" s="14"/>
      <c r="AQ43" s="14"/>
      <c r="AR43" s="14"/>
      <c r="AS43" s="14"/>
      <c r="AT43" s="14"/>
      <c r="AU43" s="14"/>
      <c r="AV43" s="14"/>
      <c r="AW43" s="14"/>
      <c r="AX43" s="14"/>
      <c r="AY43" s="14"/>
      <c r="AZ43" s="14"/>
      <c r="BA43" s="14"/>
      <c r="BB43" s="14"/>
      <c r="BC43" s="14"/>
      <c r="BD43" s="14"/>
      <c r="BE43" s="14"/>
      <c r="BF43" s="14"/>
      <c r="BG43" s="14"/>
      <c r="BH43" s="14"/>
      <c r="BI43" s="14"/>
    </row>
    <row r="44" spans="1:61">
      <c r="A44" s="14" t="s">
        <v>125</v>
      </c>
      <c r="B44" s="14">
        <v>821678532946</v>
      </c>
      <c r="C44" s="14"/>
      <c r="D44" s="14">
        <v>46304</v>
      </c>
      <c r="E44" s="14" t="s">
        <v>267</v>
      </c>
      <c r="F44" s="14" t="s">
        <v>557</v>
      </c>
      <c r="G44" s="14" t="s">
        <v>1083</v>
      </c>
      <c r="H44" s="14"/>
      <c r="I44" s="14"/>
      <c r="J44" s="14" t="s">
        <v>747</v>
      </c>
      <c r="K44" s="14" t="s">
        <v>748</v>
      </c>
      <c r="L44" s="14">
        <v>3.7939599999999999E-3</v>
      </c>
      <c r="M44" s="14">
        <v>46304</v>
      </c>
      <c r="N44" s="14" t="s">
        <v>279</v>
      </c>
      <c r="O44" s="14"/>
      <c r="P44" s="14"/>
      <c r="Q44" s="14"/>
      <c r="R44" s="14"/>
      <c r="S44" s="14"/>
      <c r="T44" s="14"/>
      <c r="U44" s="14"/>
      <c r="V44" s="14"/>
      <c r="W44" s="14"/>
      <c r="X44" s="14"/>
      <c r="Y44" s="14"/>
      <c r="Z44" s="14"/>
      <c r="AA44" s="14"/>
      <c r="AB44" s="14"/>
      <c r="AC44" s="14"/>
      <c r="AD44" s="14"/>
      <c r="AE44" s="14"/>
      <c r="AF44" s="14"/>
      <c r="AG44" s="14"/>
      <c r="AH44" s="14"/>
      <c r="AI44" s="14"/>
      <c r="AJ44" s="167">
        <v>46002</v>
      </c>
      <c r="AK44" s="14">
        <v>689.17</v>
      </c>
      <c r="AL44" s="14" t="s">
        <v>562</v>
      </c>
      <c r="AM44" s="14" t="s">
        <v>154</v>
      </c>
      <c r="AN44" s="14">
        <f>IF('ETF Data'!$H$2,IF(ISNUMBER(AK44),AK44,NA()),NA())</f>
        <v>689.17</v>
      </c>
      <c r="AO44" s="14"/>
      <c r="AP44" s="14"/>
      <c r="AQ44" s="14"/>
      <c r="AR44" s="14"/>
      <c r="AS44" s="14"/>
      <c r="AT44" s="14"/>
      <c r="AU44" s="14"/>
      <c r="AV44" s="14"/>
      <c r="AW44" s="14"/>
      <c r="AX44" s="14"/>
      <c r="AY44" s="14"/>
      <c r="AZ44" s="14"/>
      <c r="BA44" s="14"/>
      <c r="BB44" s="14"/>
      <c r="BC44" s="14"/>
      <c r="BD44" s="14"/>
      <c r="BE44" s="14"/>
      <c r="BF44" s="14"/>
      <c r="BG44" s="14"/>
      <c r="BH44" s="14"/>
      <c r="BI44" s="14"/>
    </row>
    <row r="45" spans="1:61">
      <c r="A45" s="14" t="s">
        <v>340</v>
      </c>
      <c r="B45" s="14" t="s">
        <v>599</v>
      </c>
      <c r="C45" s="14"/>
      <c r="D45" s="14"/>
      <c r="E45" s="14"/>
      <c r="F45" s="14" t="s">
        <v>600</v>
      </c>
      <c r="G45" s="14"/>
      <c r="H45" s="14"/>
      <c r="I45" s="14"/>
      <c r="J45" s="14" t="s">
        <v>729</v>
      </c>
      <c r="K45" s="14" t="s">
        <v>730</v>
      </c>
      <c r="L45" s="14">
        <v>3.75538E-3</v>
      </c>
      <c r="M45" s="14">
        <v>46304</v>
      </c>
      <c r="N45" s="14" t="s">
        <v>279</v>
      </c>
      <c r="O45" s="14"/>
      <c r="P45" s="14"/>
      <c r="Q45" s="14"/>
      <c r="R45" s="14"/>
      <c r="S45" s="14"/>
      <c r="T45" s="14"/>
      <c r="U45" s="14"/>
      <c r="V45" s="14"/>
      <c r="W45" s="14"/>
      <c r="X45" s="14"/>
      <c r="Y45" s="14"/>
      <c r="Z45" s="14"/>
      <c r="AA45" s="14"/>
      <c r="AB45" s="14"/>
      <c r="AC45" s="14"/>
      <c r="AD45" s="14"/>
      <c r="AE45" s="14"/>
      <c r="AF45" s="14"/>
      <c r="AG45" s="14"/>
      <c r="AH45" s="14"/>
      <c r="AI45" s="14"/>
      <c r="AJ45" s="167">
        <v>46003</v>
      </c>
      <c r="AK45" s="14">
        <v>681.76</v>
      </c>
      <c r="AL45" s="14" t="s">
        <v>562</v>
      </c>
      <c r="AM45" s="14" t="s">
        <v>154</v>
      </c>
      <c r="AN45" s="14">
        <f>IF('ETF Data'!$H$2,IF(ISNUMBER(AK45),AK45,NA()),NA())</f>
        <v>681.76</v>
      </c>
      <c r="AO45" s="14"/>
      <c r="AP45" s="14"/>
      <c r="AQ45" s="14"/>
      <c r="AR45" s="14"/>
      <c r="AS45" s="14"/>
      <c r="AT45" s="14"/>
      <c r="AU45" s="14"/>
      <c r="AV45" s="14"/>
      <c r="AW45" s="14"/>
      <c r="AX45" s="14"/>
      <c r="AY45" s="14"/>
      <c r="AZ45" s="14"/>
      <c r="BA45" s="14"/>
      <c r="BB45" s="14"/>
      <c r="BC45" s="14"/>
      <c r="BD45" s="14"/>
      <c r="BE45" s="14"/>
      <c r="BF45" s="14"/>
      <c r="BG45" s="14"/>
      <c r="BH45" s="14"/>
      <c r="BI45" s="14"/>
    </row>
    <row r="46" spans="1:61">
      <c r="A46" s="14" t="s">
        <v>38</v>
      </c>
      <c r="B46" s="14" t="s">
        <v>599</v>
      </c>
      <c r="C46" s="14"/>
      <c r="D46" s="14"/>
      <c r="E46" s="14"/>
      <c r="F46" s="14" t="s">
        <v>600</v>
      </c>
      <c r="G46" s="14"/>
      <c r="H46" s="14"/>
      <c r="I46" s="14"/>
      <c r="J46" s="14" t="s">
        <v>727</v>
      </c>
      <c r="K46" s="14" t="s">
        <v>728</v>
      </c>
      <c r="L46" s="14">
        <v>3.7215199999999999E-3</v>
      </c>
      <c r="M46" s="14">
        <v>46304</v>
      </c>
      <c r="N46" s="14" t="s">
        <v>279</v>
      </c>
      <c r="O46" s="14"/>
      <c r="P46" s="14"/>
      <c r="Q46" s="14"/>
      <c r="R46" s="14"/>
      <c r="S46" s="14"/>
      <c r="T46" s="14"/>
      <c r="U46" s="14"/>
      <c r="V46" s="14"/>
      <c r="W46" s="14"/>
      <c r="X46" s="14"/>
      <c r="Y46" s="14"/>
      <c r="Z46" s="14"/>
      <c r="AA46" s="14"/>
      <c r="AB46" s="14"/>
      <c r="AC46" s="14"/>
      <c r="AD46" s="14"/>
      <c r="AE46" s="14"/>
      <c r="AF46" s="14"/>
      <c r="AG46" s="14"/>
      <c r="AH46" s="14"/>
      <c r="AI46" s="14"/>
      <c r="AJ46" s="167">
        <v>46006</v>
      </c>
      <c r="AK46" s="14">
        <v>680.73</v>
      </c>
      <c r="AL46" s="14" t="s">
        <v>562</v>
      </c>
      <c r="AM46" s="14" t="s">
        <v>154</v>
      </c>
      <c r="AN46" s="14">
        <f>IF('ETF Data'!$H$2,IF(ISNUMBER(AK46),AK46,NA()),NA())</f>
        <v>680.73</v>
      </c>
      <c r="AO46" s="14"/>
      <c r="AP46" s="14"/>
      <c r="AQ46" s="14"/>
      <c r="AR46" s="14"/>
      <c r="AS46" s="14"/>
      <c r="AT46" s="14"/>
      <c r="AU46" s="14"/>
      <c r="AV46" s="14"/>
      <c r="AW46" s="14"/>
      <c r="AX46" s="14"/>
      <c r="AY46" s="14"/>
      <c r="AZ46" s="14"/>
      <c r="BA46" s="14"/>
      <c r="BB46" s="14"/>
      <c r="BC46" s="14"/>
      <c r="BD46" s="14"/>
      <c r="BE46" s="14"/>
      <c r="BF46" s="14"/>
      <c r="BG46" s="14"/>
      <c r="BH46" s="14"/>
      <c r="BI46" s="14"/>
    </row>
    <row r="47" spans="1:61">
      <c r="A47" s="14" t="s">
        <v>347</v>
      </c>
      <c r="B47" s="14" t="s">
        <v>599</v>
      </c>
      <c r="C47" s="14"/>
      <c r="D47" s="14"/>
      <c r="E47" s="14"/>
      <c r="F47" s="14" t="s">
        <v>600</v>
      </c>
      <c r="G47" s="14"/>
      <c r="H47" s="14"/>
      <c r="I47" s="14"/>
      <c r="J47" s="14" t="s">
        <v>733</v>
      </c>
      <c r="K47" s="14" t="s">
        <v>734</v>
      </c>
      <c r="L47" s="14">
        <v>3.62853E-3</v>
      </c>
      <c r="M47" s="14">
        <v>46304</v>
      </c>
      <c r="N47" s="14" t="s">
        <v>279</v>
      </c>
      <c r="O47" s="14"/>
      <c r="P47" s="14"/>
      <c r="Q47" s="14"/>
      <c r="R47" s="14"/>
      <c r="S47" s="14"/>
      <c r="T47" s="14"/>
      <c r="U47" s="14"/>
      <c r="V47" s="14"/>
      <c r="W47" s="14"/>
      <c r="X47" s="14"/>
      <c r="Y47" s="14"/>
      <c r="Z47" s="14"/>
      <c r="AA47" s="14"/>
      <c r="AB47" s="14"/>
      <c r="AC47" s="14"/>
      <c r="AD47" s="14"/>
      <c r="AE47" s="14"/>
      <c r="AF47" s="14"/>
      <c r="AG47" s="14"/>
      <c r="AH47" s="14"/>
      <c r="AI47" s="14"/>
      <c r="AJ47" s="167">
        <v>46007</v>
      </c>
      <c r="AK47" s="14">
        <v>678.87</v>
      </c>
      <c r="AL47" s="14" t="s">
        <v>562</v>
      </c>
      <c r="AM47" s="14" t="s">
        <v>154</v>
      </c>
      <c r="AN47" s="14">
        <f>IF('ETF Data'!$H$2,IF(ISNUMBER(AK47),AK47,NA()),NA())</f>
        <v>678.87</v>
      </c>
      <c r="AO47" s="14"/>
      <c r="AP47" s="14"/>
      <c r="AQ47" s="14"/>
      <c r="AR47" s="14"/>
      <c r="AS47" s="14"/>
      <c r="AT47" s="14"/>
      <c r="AU47" s="14"/>
      <c r="AV47" s="14"/>
      <c r="AW47" s="14"/>
      <c r="AX47" s="14"/>
      <c r="AY47" s="14"/>
      <c r="AZ47" s="14"/>
      <c r="BA47" s="14"/>
      <c r="BB47" s="14"/>
      <c r="BC47" s="14"/>
      <c r="BD47" s="14"/>
      <c r="BE47" s="14"/>
      <c r="BF47" s="14"/>
      <c r="BG47" s="14"/>
      <c r="BH47" s="14"/>
      <c r="BI47" s="14"/>
    </row>
    <row r="48" spans="1:61">
      <c r="A48" s="14" t="s">
        <v>351</v>
      </c>
      <c r="B48" s="14">
        <v>9.9474990000000003E-3</v>
      </c>
      <c r="C48" s="14"/>
      <c r="D48" s="14">
        <v>46295</v>
      </c>
      <c r="E48" s="14" t="s">
        <v>216</v>
      </c>
      <c r="F48" s="14" t="s">
        <v>557</v>
      </c>
      <c r="G48" s="14" t="s">
        <v>1068</v>
      </c>
      <c r="H48" s="14"/>
      <c r="I48" s="14"/>
      <c r="J48" s="14" t="s">
        <v>745</v>
      </c>
      <c r="K48" s="14" t="s">
        <v>746</v>
      </c>
      <c r="L48" s="14">
        <v>3.6163499999999999E-3</v>
      </c>
      <c r="M48" s="14">
        <v>46304</v>
      </c>
      <c r="N48" s="14" t="s">
        <v>279</v>
      </c>
      <c r="O48" s="14"/>
      <c r="P48" s="14"/>
      <c r="Q48" s="14"/>
      <c r="R48" s="14"/>
      <c r="S48" s="14"/>
      <c r="T48" s="14"/>
      <c r="U48" s="14"/>
      <c r="V48" s="14"/>
      <c r="W48" s="14"/>
      <c r="X48" s="14"/>
      <c r="Y48" s="14"/>
      <c r="Z48" s="14"/>
      <c r="AA48" s="14"/>
      <c r="AB48" s="14"/>
      <c r="AC48" s="14"/>
      <c r="AD48" s="14"/>
      <c r="AE48" s="14"/>
      <c r="AF48" s="14"/>
      <c r="AG48" s="14"/>
      <c r="AH48" s="14"/>
      <c r="AI48" s="14"/>
      <c r="AJ48" s="167">
        <v>46008</v>
      </c>
      <c r="AK48" s="14">
        <v>671.4</v>
      </c>
      <c r="AL48" s="14" t="s">
        <v>562</v>
      </c>
      <c r="AM48" s="14" t="s">
        <v>154</v>
      </c>
      <c r="AN48" s="14">
        <f>IF('ETF Data'!$H$2,IF(ISNUMBER(AK48),AK48,NA()),NA())</f>
        <v>671.4</v>
      </c>
      <c r="AO48" s="14"/>
      <c r="AP48" s="14"/>
      <c r="AQ48" s="14"/>
      <c r="AR48" s="14"/>
      <c r="AS48" s="14"/>
      <c r="AT48" s="14"/>
      <c r="AU48" s="14"/>
      <c r="AV48" s="14"/>
      <c r="AW48" s="14"/>
      <c r="AX48" s="14"/>
      <c r="AY48" s="14"/>
      <c r="AZ48" s="14"/>
      <c r="BA48" s="14"/>
      <c r="BB48" s="14"/>
      <c r="BC48" s="14"/>
      <c r="BD48" s="14"/>
      <c r="BE48" s="14"/>
      <c r="BF48" s="14"/>
      <c r="BG48" s="14"/>
      <c r="BH48" s="14"/>
      <c r="BI48" s="14"/>
    </row>
    <row r="49" spans="1:61">
      <c r="A49" s="14" t="s">
        <v>355</v>
      </c>
      <c r="B49" s="14">
        <v>1055532116</v>
      </c>
      <c r="C49" s="14"/>
      <c r="D49" s="14">
        <v>46304</v>
      </c>
      <c r="E49" s="14" t="s">
        <v>267</v>
      </c>
      <c r="F49" s="14" t="s">
        <v>557</v>
      </c>
      <c r="G49" s="14" t="s">
        <v>1084</v>
      </c>
      <c r="H49" s="14"/>
      <c r="I49" s="14"/>
      <c r="J49" s="14" t="s">
        <v>775</v>
      </c>
      <c r="K49" s="14" t="s">
        <v>776</v>
      </c>
      <c r="L49" s="14">
        <v>3.5827099999999998E-3</v>
      </c>
      <c r="M49" s="14">
        <v>46304</v>
      </c>
      <c r="N49" s="14" t="s">
        <v>279</v>
      </c>
      <c r="O49" s="14"/>
      <c r="P49" s="14"/>
      <c r="Q49" s="14"/>
      <c r="R49" s="14"/>
      <c r="S49" s="14"/>
      <c r="T49" s="14"/>
      <c r="U49" s="14"/>
      <c r="V49" s="14"/>
      <c r="W49" s="14"/>
      <c r="X49" s="14"/>
      <c r="Y49" s="14"/>
      <c r="Z49" s="14"/>
      <c r="AA49" s="14"/>
      <c r="AB49" s="14"/>
      <c r="AC49" s="14"/>
      <c r="AD49" s="14"/>
      <c r="AE49" s="14"/>
      <c r="AF49" s="14"/>
      <c r="AG49" s="14"/>
      <c r="AH49" s="14"/>
      <c r="AI49" s="14"/>
      <c r="AJ49" s="167">
        <v>46009</v>
      </c>
      <c r="AK49" s="14">
        <v>676.47</v>
      </c>
      <c r="AL49" s="14" t="s">
        <v>562</v>
      </c>
      <c r="AM49" s="14" t="s">
        <v>154</v>
      </c>
      <c r="AN49" s="14">
        <f>IF('ETF Data'!$H$2,IF(ISNUMBER(AK49),AK49,NA()),NA())</f>
        <v>676.47</v>
      </c>
      <c r="AO49" s="14"/>
      <c r="AP49" s="14"/>
      <c r="AQ49" s="14"/>
      <c r="AR49" s="14"/>
      <c r="AS49" s="14"/>
      <c r="AT49" s="14"/>
      <c r="AU49" s="14"/>
      <c r="AV49" s="14"/>
      <c r="AW49" s="14"/>
      <c r="AX49" s="14"/>
      <c r="AY49" s="14"/>
      <c r="AZ49" s="14"/>
      <c r="BA49" s="14"/>
      <c r="BB49" s="14"/>
      <c r="BC49" s="14"/>
      <c r="BD49" s="14"/>
      <c r="BE49" s="14"/>
      <c r="BF49" s="14"/>
      <c r="BG49" s="14"/>
      <c r="BH49" s="14"/>
      <c r="BI49" s="14"/>
    </row>
    <row r="50" spans="1:61">
      <c r="A50" s="14" t="s">
        <v>359</v>
      </c>
      <c r="B50" s="14" t="s">
        <v>599</v>
      </c>
      <c r="C50" s="14"/>
      <c r="D50" s="14"/>
      <c r="E50" s="14"/>
      <c r="F50" s="14" t="s">
        <v>600</v>
      </c>
      <c r="G50" s="14"/>
      <c r="H50" s="14"/>
      <c r="I50" s="14"/>
      <c r="J50" s="14" t="s">
        <v>743</v>
      </c>
      <c r="K50" s="14" t="s">
        <v>744</v>
      </c>
      <c r="L50" s="14">
        <v>3.42866E-3</v>
      </c>
      <c r="M50" s="14">
        <v>46304</v>
      </c>
      <c r="N50" s="14" t="s">
        <v>279</v>
      </c>
      <c r="O50" s="14"/>
      <c r="P50" s="14"/>
      <c r="Q50" s="14"/>
      <c r="R50" s="14"/>
      <c r="S50" s="14"/>
      <c r="T50" s="14"/>
      <c r="U50" s="14"/>
      <c r="V50" s="14"/>
      <c r="W50" s="14"/>
      <c r="X50" s="14"/>
      <c r="Y50" s="14"/>
      <c r="Z50" s="14"/>
      <c r="AA50" s="14"/>
      <c r="AB50" s="14"/>
      <c r="AC50" s="14"/>
      <c r="AD50" s="14"/>
      <c r="AE50" s="14"/>
      <c r="AF50" s="14"/>
      <c r="AG50" s="14"/>
      <c r="AH50" s="14"/>
      <c r="AI50" s="14"/>
      <c r="AJ50" s="167">
        <v>46010</v>
      </c>
      <c r="AK50" s="14">
        <v>680.59</v>
      </c>
      <c r="AL50" s="14" t="s">
        <v>562</v>
      </c>
      <c r="AM50" s="14" t="s">
        <v>154</v>
      </c>
      <c r="AN50" s="14">
        <f>IF('ETF Data'!$H$2,IF(ISNUMBER(AK50),AK50,NA()),NA())</f>
        <v>680.59</v>
      </c>
      <c r="AO50" s="14"/>
      <c r="AP50" s="14"/>
      <c r="AQ50" s="14"/>
      <c r="AR50" s="14"/>
      <c r="AS50" s="14"/>
      <c r="AT50" s="14"/>
      <c r="AU50" s="14"/>
      <c r="AV50" s="14"/>
      <c r="AW50" s="14"/>
      <c r="AX50" s="14"/>
      <c r="AY50" s="14"/>
      <c r="AZ50" s="14"/>
      <c r="BA50" s="14"/>
      <c r="BB50" s="14"/>
      <c r="BC50" s="14"/>
      <c r="BD50" s="14"/>
      <c r="BE50" s="14"/>
      <c r="BF50" s="14"/>
      <c r="BG50" s="14"/>
      <c r="BH50" s="14"/>
      <c r="BI50" s="14"/>
    </row>
    <row r="51" spans="1:61">
      <c r="A51" s="14" t="s">
        <v>363</v>
      </c>
      <c r="B51" s="14">
        <v>0.99900699999999998</v>
      </c>
      <c r="C51" s="14" t="s">
        <v>456</v>
      </c>
      <c r="D51" s="14">
        <v>46295</v>
      </c>
      <c r="E51" s="14" t="s">
        <v>216</v>
      </c>
      <c r="F51" s="14" t="s">
        <v>557</v>
      </c>
      <c r="G51" s="14" t="s">
        <v>1070</v>
      </c>
      <c r="H51" s="14"/>
      <c r="I51" s="14"/>
      <c r="J51" s="14" t="s">
        <v>731</v>
      </c>
      <c r="K51" s="14" t="s">
        <v>732</v>
      </c>
      <c r="L51" s="14">
        <v>3.37141E-3</v>
      </c>
      <c r="M51" s="14">
        <v>46304</v>
      </c>
      <c r="N51" s="14" t="s">
        <v>279</v>
      </c>
      <c r="O51" s="14"/>
      <c r="P51" s="14"/>
      <c r="Q51" s="14"/>
      <c r="R51" s="14"/>
      <c r="S51" s="14"/>
      <c r="T51" s="14"/>
      <c r="U51" s="14"/>
      <c r="V51" s="14"/>
      <c r="W51" s="14"/>
      <c r="X51" s="14"/>
      <c r="Y51" s="14"/>
      <c r="Z51" s="14"/>
      <c r="AA51" s="14"/>
      <c r="AB51" s="14"/>
      <c r="AC51" s="14"/>
      <c r="AD51" s="14"/>
      <c r="AE51" s="14"/>
      <c r="AF51" s="14"/>
      <c r="AG51" s="14"/>
      <c r="AH51" s="14"/>
      <c r="AI51" s="14"/>
      <c r="AJ51" s="167">
        <v>46013</v>
      </c>
      <c r="AK51" s="14">
        <v>684.83</v>
      </c>
      <c r="AL51" s="14" t="s">
        <v>562</v>
      </c>
      <c r="AM51" s="14" t="s">
        <v>154</v>
      </c>
      <c r="AN51" s="14">
        <f>IF('ETF Data'!$H$2,IF(ISNUMBER(AK51),AK51,NA()),NA())</f>
        <v>684.83</v>
      </c>
      <c r="AO51" s="14"/>
      <c r="AP51" s="14"/>
      <c r="AQ51" s="14"/>
      <c r="AR51" s="14"/>
      <c r="AS51" s="14"/>
      <c r="AT51" s="14"/>
      <c r="AU51" s="14"/>
      <c r="AV51" s="14"/>
      <c r="AW51" s="14"/>
      <c r="AX51" s="14"/>
      <c r="AY51" s="14"/>
      <c r="AZ51" s="14"/>
      <c r="BA51" s="14"/>
      <c r="BB51" s="14"/>
      <c r="BC51" s="14"/>
      <c r="BD51" s="14"/>
      <c r="BE51" s="14"/>
      <c r="BF51" s="14"/>
      <c r="BG51" s="14"/>
      <c r="BH51" s="14"/>
      <c r="BI51" s="14"/>
    </row>
    <row r="52" spans="1:61">
      <c r="A52" s="14" t="s">
        <v>367</v>
      </c>
      <c r="B52" s="14" t="s">
        <v>599</v>
      </c>
      <c r="C52" s="14"/>
      <c r="D52" s="14"/>
      <c r="E52" s="14"/>
      <c r="F52" s="14" t="s">
        <v>600</v>
      </c>
      <c r="G52" s="14"/>
      <c r="H52" s="14"/>
      <c r="I52" s="14"/>
      <c r="J52" s="14" t="s">
        <v>759</v>
      </c>
      <c r="K52" s="14" t="s">
        <v>760</v>
      </c>
      <c r="L52" s="14">
        <v>3.3687999999999999E-3</v>
      </c>
      <c r="M52" s="14">
        <v>46304</v>
      </c>
      <c r="N52" s="14" t="s">
        <v>279</v>
      </c>
      <c r="O52" s="14"/>
      <c r="P52" s="14"/>
      <c r="Q52" s="14"/>
      <c r="R52" s="14"/>
      <c r="S52" s="14"/>
      <c r="T52" s="14"/>
      <c r="U52" s="14"/>
      <c r="V52" s="14"/>
      <c r="W52" s="14"/>
      <c r="X52" s="14"/>
      <c r="Y52" s="14"/>
      <c r="Z52" s="14"/>
      <c r="AA52" s="14"/>
      <c r="AB52" s="14"/>
      <c r="AC52" s="14"/>
      <c r="AD52" s="14"/>
      <c r="AE52" s="14"/>
      <c r="AF52" s="14"/>
      <c r="AG52" s="14"/>
      <c r="AH52" s="14"/>
      <c r="AI52" s="14"/>
      <c r="AJ52" s="167">
        <v>46014</v>
      </c>
      <c r="AK52" s="14">
        <v>687.96</v>
      </c>
      <c r="AL52" s="14" t="s">
        <v>562</v>
      </c>
      <c r="AM52" s="14" t="s">
        <v>154</v>
      </c>
      <c r="AN52" s="14">
        <f>IF('ETF Data'!$H$2,IF(ISNUMBER(AK52),AK52,NA()),NA())</f>
        <v>687.96</v>
      </c>
      <c r="AO52" s="14"/>
      <c r="AP52" s="14"/>
      <c r="AQ52" s="14"/>
      <c r="AR52" s="14"/>
      <c r="AS52" s="14"/>
      <c r="AT52" s="14"/>
      <c r="AU52" s="14"/>
      <c r="AV52" s="14"/>
      <c r="AW52" s="14"/>
      <c r="AX52" s="14"/>
      <c r="AY52" s="14"/>
      <c r="AZ52" s="14"/>
      <c r="BA52" s="14"/>
      <c r="BB52" s="14"/>
      <c r="BC52" s="14"/>
      <c r="BD52" s="14"/>
      <c r="BE52" s="14"/>
      <c r="BF52" s="14"/>
      <c r="BG52" s="14"/>
      <c r="BH52" s="14"/>
      <c r="BI52" s="14"/>
    </row>
    <row r="53" spans="1:61">
      <c r="A53" s="14" t="s">
        <v>90</v>
      </c>
      <c r="B53" s="14" t="s">
        <v>1075</v>
      </c>
      <c r="C53" s="14"/>
      <c r="D53" s="14">
        <v>46307</v>
      </c>
      <c r="E53" s="14" t="s">
        <v>261</v>
      </c>
      <c r="F53" s="14" t="s">
        <v>557</v>
      </c>
      <c r="G53" s="14" t="s">
        <v>1076</v>
      </c>
      <c r="H53" s="14"/>
      <c r="I53" s="14"/>
      <c r="J53" s="14" t="s">
        <v>741</v>
      </c>
      <c r="K53" s="14" t="s">
        <v>742</v>
      </c>
      <c r="L53" s="14">
        <v>3.3307699999999998E-3</v>
      </c>
      <c r="M53" s="14">
        <v>46304</v>
      </c>
      <c r="N53" s="14" t="s">
        <v>279</v>
      </c>
      <c r="O53" s="14"/>
      <c r="P53" s="14"/>
      <c r="Q53" s="14"/>
      <c r="R53" s="14"/>
      <c r="S53" s="14"/>
      <c r="T53" s="14"/>
      <c r="U53" s="14"/>
      <c r="V53" s="14"/>
      <c r="W53" s="14"/>
      <c r="X53" s="14"/>
      <c r="Y53" s="14"/>
      <c r="Z53" s="14"/>
      <c r="AA53" s="14"/>
      <c r="AB53" s="14"/>
      <c r="AC53" s="14"/>
      <c r="AD53" s="14"/>
      <c r="AE53" s="14"/>
      <c r="AF53" s="14"/>
      <c r="AG53" s="14"/>
      <c r="AH53" s="14"/>
      <c r="AI53" s="14"/>
      <c r="AJ53" s="167">
        <v>46015</v>
      </c>
      <c r="AK53" s="14">
        <v>690.38</v>
      </c>
      <c r="AL53" s="14" t="s">
        <v>562</v>
      </c>
      <c r="AM53" s="14" t="s">
        <v>154</v>
      </c>
      <c r="AN53" s="14">
        <f>IF('ETF Data'!$H$2,IF(ISNUMBER(AK53),AK53,NA()),NA())</f>
        <v>690.38</v>
      </c>
      <c r="AO53" s="14"/>
      <c r="AP53" s="14"/>
      <c r="AQ53" s="14"/>
      <c r="AR53" s="14"/>
      <c r="AS53" s="14"/>
      <c r="AT53" s="14"/>
      <c r="AU53" s="14"/>
      <c r="AV53" s="14"/>
      <c r="AW53" s="14"/>
      <c r="AX53" s="14"/>
      <c r="AY53" s="14"/>
      <c r="AZ53" s="14"/>
      <c r="BA53" s="14"/>
      <c r="BB53" s="14"/>
      <c r="BC53" s="14"/>
      <c r="BD53" s="14"/>
      <c r="BE53" s="14"/>
      <c r="BF53" s="14"/>
      <c r="BG53" s="14"/>
      <c r="BH53" s="14"/>
      <c r="BI53" s="14"/>
    </row>
    <row r="54" spans="1:61">
      <c r="A54" s="14" t="s">
        <v>375</v>
      </c>
      <c r="B54" s="14" t="s">
        <v>1062</v>
      </c>
      <c r="C54" s="14"/>
      <c r="D54" s="14">
        <v>46295</v>
      </c>
      <c r="E54" s="14" t="s">
        <v>216</v>
      </c>
      <c r="F54" s="14" t="s">
        <v>557</v>
      </c>
      <c r="G54" s="14" t="s">
        <v>1063</v>
      </c>
      <c r="H54" s="14"/>
      <c r="I54" s="14"/>
      <c r="J54" s="14" t="s">
        <v>749</v>
      </c>
      <c r="K54" s="14" t="s">
        <v>750</v>
      </c>
      <c r="L54" s="14">
        <v>3.31467E-3</v>
      </c>
      <c r="M54" s="14">
        <v>46304</v>
      </c>
      <c r="N54" s="14" t="s">
        <v>279</v>
      </c>
      <c r="O54" s="14"/>
      <c r="P54" s="14"/>
      <c r="Q54" s="14"/>
      <c r="R54" s="14"/>
      <c r="S54" s="14"/>
      <c r="T54" s="14"/>
      <c r="U54" s="14"/>
      <c r="V54" s="14"/>
      <c r="W54" s="14"/>
      <c r="X54" s="14"/>
      <c r="Y54" s="14"/>
      <c r="Z54" s="14"/>
      <c r="AA54" s="14"/>
      <c r="AB54" s="14"/>
      <c r="AC54" s="14"/>
      <c r="AD54" s="14"/>
      <c r="AE54" s="14"/>
      <c r="AF54" s="14"/>
      <c r="AG54" s="14"/>
      <c r="AH54" s="14"/>
      <c r="AI54" s="14"/>
      <c r="AJ54" s="167">
        <v>46017</v>
      </c>
      <c r="AK54" s="14">
        <v>690.31</v>
      </c>
      <c r="AL54" s="14" t="s">
        <v>562</v>
      </c>
      <c r="AM54" s="14" t="s">
        <v>154</v>
      </c>
      <c r="AN54" s="14">
        <f>IF('ETF Data'!$H$2,IF(ISNUMBER(AK54),AK54,NA()),NA())</f>
        <v>690.31</v>
      </c>
      <c r="AO54" s="14"/>
      <c r="AP54" s="14"/>
      <c r="AQ54" s="14"/>
      <c r="AR54" s="14"/>
      <c r="AS54" s="14"/>
      <c r="AT54" s="14"/>
      <c r="AU54" s="14"/>
      <c r="AV54" s="14"/>
      <c r="AW54" s="14"/>
      <c r="AX54" s="14"/>
      <c r="AY54" s="14"/>
      <c r="AZ54" s="14"/>
      <c r="BA54" s="14"/>
      <c r="BB54" s="14"/>
      <c r="BC54" s="14"/>
      <c r="BD54" s="14"/>
      <c r="BE54" s="14"/>
      <c r="BF54" s="14"/>
      <c r="BG54" s="14"/>
      <c r="BH54" s="14"/>
      <c r="BI54" s="14"/>
    </row>
    <row r="55" spans="1:61">
      <c r="A55" s="14" t="s">
        <v>378</v>
      </c>
      <c r="B55" s="14" t="s">
        <v>599</v>
      </c>
      <c r="C55" s="14"/>
      <c r="D55" s="14"/>
      <c r="E55" s="14"/>
      <c r="F55" s="14" t="s">
        <v>600</v>
      </c>
      <c r="G55" s="14"/>
      <c r="H55" s="14"/>
      <c r="I55" s="14"/>
      <c r="J55" s="14" t="s">
        <v>751</v>
      </c>
      <c r="K55" s="14" t="s">
        <v>752</v>
      </c>
      <c r="L55" s="14">
        <v>3.2325100000000001E-3</v>
      </c>
      <c r="M55" s="14">
        <v>46304</v>
      </c>
      <c r="N55" s="14" t="s">
        <v>279</v>
      </c>
      <c r="O55" s="14"/>
      <c r="P55" s="14"/>
      <c r="Q55" s="14"/>
      <c r="R55" s="14"/>
      <c r="S55" s="14"/>
      <c r="T55" s="14"/>
      <c r="U55" s="14"/>
      <c r="V55" s="14"/>
      <c r="W55" s="14"/>
      <c r="X55" s="14"/>
      <c r="Y55" s="14"/>
      <c r="Z55" s="14"/>
      <c r="AA55" s="14"/>
      <c r="AB55" s="14"/>
      <c r="AC55" s="14"/>
      <c r="AD55" s="14"/>
      <c r="AE55" s="14"/>
      <c r="AF55" s="14"/>
      <c r="AG55" s="14"/>
      <c r="AH55" s="14"/>
      <c r="AI55" s="14"/>
      <c r="AJ55" s="167">
        <v>46020</v>
      </c>
      <c r="AK55" s="14">
        <v>687.85</v>
      </c>
      <c r="AL55" s="14" t="s">
        <v>562</v>
      </c>
      <c r="AM55" s="14" t="s">
        <v>154</v>
      </c>
      <c r="AN55" s="14">
        <f>IF('ETF Data'!$H$2,IF(ISNUMBER(AK55),AK55,NA()),NA())</f>
        <v>687.85</v>
      </c>
      <c r="AO55" s="14"/>
      <c r="AP55" s="14"/>
      <c r="AQ55" s="14"/>
      <c r="AR55" s="14"/>
      <c r="AS55" s="14"/>
      <c r="AT55" s="14"/>
      <c r="AU55" s="14"/>
      <c r="AV55" s="14"/>
      <c r="AW55" s="14"/>
      <c r="AX55" s="14"/>
      <c r="AY55" s="14"/>
      <c r="AZ55" s="14"/>
      <c r="BA55" s="14"/>
      <c r="BB55" s="14"/>
      <c r="BC55" s="14"/>
      <c r="BD55" s="14"/>
      <c r="BE55" s="14"/>
      <c r="BF55" s="14"/>
      <c r="BG55" s="14"/>
      <c r="BH55" s="14"/>
      <c r="BI55" s="14"/>
    </row>
    <row r="56" spans="1:61">
      <c r="A56" s="14" t="s">
        <v>380</v>
      </c>
      <c r="B56" s="14">
        <v>33991</v>
      </c>
      <c r="C56" s="14"/>
      <c r="D56" s="14">
        <v>46307</v>
      </c>
      <c r="E56" s="14" t="s">
        <v>261</v>
      </c>
      <c r="F56" s="14" t="s">
        <v>557</v>
      </c>
      <c r="G56" s="14" t="s">
        <v>1064</v>
      </c>
      <c r="H56" s="14"/>
      <c r="I56" s="14"/>
      <c r="J56" s="14" t="s">
        <v>761</v>
      </c>
      <c r="K56" s="14" t="s">
        <v>762</v>
      </c>
      <c r="L56" s="14">
        <v>3.1978699999999998E-3</v>
      </c>
      <c r="M56" s="14">
        <v>46304</v>
      </c>
      <c r="N56" s="14" t="s">
        <v>279</v>
      </c>
      <c r="O56" s="14"/>
      <c r="P56" s="14"/>
      <c r="Q56" s="14"/>
      <c r="R56" s="14"/>
      <c r="S56" s="14"/>
      <c r="T56" s="14"/>
      <c r="U56" s="14"/>
      <c r="V56" s="14"/>
      <c r="W56" s="14"/>
      <c r="X56" s="14"/>
      <c r="Y56" s="14"/>
      <c r="Z56" s="14"/>
      <c r="AA56" s="14"/>
      <c r="AB56" s="14"/>
      <c r="AC56" s="14"/>
      <c r="AD56" s="14"/>
      <c r="AE56" s="14"/>
      <c r="AF56" s="14"/>
      <c r="AG56" s="14"/>
      <c r="AH56" s="14"/>
      <c r="AI56" s="14"/>
      <c r="AJ56" s="167">
        <v>46021</v>
      </c>
      <c r="AK56" s="14">
        <v>687.01</v>
      </c>
      <c r="AL56" s="14" t="s">
        <v>562</v>
      </c>
      <c r="AM56" s="14" t="s">
        <v>154</v>
      </c>
      <c r="AN56" s="14">
        <f>IF('ETF Data'!$H$2,IF(ISNUMBER(AK56),AK56,NA()),NA())</f>
        <v>687.01</v>
      </c>
      <c r="AO56" s="14"/>
      <c r="AP56" s="14"/>
      <c r="AQ56" s="14"/>
      <c r="AR56" s="14"/>
      <c r="AS56" s="14"/>
      <c r="AT56" s="14"/>
      <c r="AU56" s="14"/>
      <c r="AV56" s="14"/>
      <c r="AW56" s="14"/>
      <c r="AX56" s="14"/>
      <c r="AY56" s="14"/>
      <c r="AZ56" s="14"/>
      <c r="BA56" s="14"/>
      <c r="BB56" s="14"/>
      <c r="BC56" s="14"/>
      <c r="BD56" s="14"/>
      <c r="BE56" s="14"/>
      <c r="BF56" s="14"/>
      <c r="BG56" s="14"/>
      <c r="BH56" s="14"/>
      <c r="BI56" s="14"/>
    </row>
    <row r="57" spans="1:61">
      <c r="A57" s="14" t="s">
        <v>384</v>
      </c>
      <c r="B57" s="14">
        <v>8.9999999999999998E-4</v>
      </c>
      <c r="C57" s="14"/>
      <c r="D57" s="14">
        <v>46295</v>
      </c>
      <c r="E57" s="14" t="s">
        <v>216</v>
      </c>
      <c r="F57" s="14" t="s">
        <v>557</v>
      </c>
      <c r="G57" s="14" t="s">
        <v>1065</v>
      </c>
      <c r="H57" s="14"/>
      <c r="I57" s="14"/>
      <c r="J57" s="14" t="s">
        <v>753</v>
      </c>
      <c r="K57" s="14" t="s">
        <v>754</v>
      </c>
      <c r="L57" s="14">
        <v>3.1772699999999998E-3</v>
      </c>
      <c r="M57" s="14">
        <v>46304</v>
      </c>
      <c r="N57" s="14" t="s">
        <v>279</v>
      </c>
      <c r="O57" s="14"/>
      <c r="P57" s="14"/>
      <c r="Q57" s="14"/>
      <c r="R57" s="14"/>
      <c r="S57" s="14"/>
      <c r="T57" s="14"/>
      <c r="U57" s="14"/>
      <c r="V57" s="14"/>
      <c r="W57" s="14"/>
      <c r="X57" s="14"/>
      <c r="Y57" s="14"/>
      <c r="Z57" s="14"/>
      <c r="AA57" s="14"/>
      <c r="AB57" s="14"/>
      <c r="AC57" s="14"/>
      <c r="AD57" s="14"/>
      <c r="AE57" s="14"/>
      <c r="AF57" s="14"/>
      <c r="AG57" s="14"/>
      <c r="AH57" s="14"/>
      <c r="AI57" s="14"/>
      <c r="AJ57" s="167">
        <v>46022</v>
      </c>
      <c r="AK57" s="14">
        <v>681.92</v>
      </c>
      <c r="AL57" s="14" t="s">
        <v>562</v>
      </c>
      <c r="AM57" s="14" t="s">
        <v>154</v>
      </c>
      <c r="AN57" s="14">
        <f>IF('ETF Data'!$H$2,IF(ISNUMBER(AK57),AK57,NA()),NA())</f>
        <v>681.92</v>
      </c>
      <c r="AO57" s="14"/>
      <c r="AP57" s="14"/>
      <c r="AQ57" s="14"/>
      <c r="AR57" s="14"/>
      <c r="AS57" s="14"/>
      <c r="AT57" s="14"/>
      <c r="AU57" s="14"/>
      <c r="AV57" s="14"/>
      <c r="AW57" s="14"/>
      <c r="AX57" s="14"/>
      <c r="AY57" s="14"/>
      <c r="AZ57" s="14"/>
      <c r="BA57" s="14"/>
      <c r="BB57" s="14"/>
      <c r="BC57" s="14"/>
      <c r="BD57" s="14"/>
      <c r="BE57" s="14"/>
      <c r="BF57" s="14"/>
      <c r="BG57" s="14"/>
      <c r="BH57" s="14"/>
      <c r="BI57" s="14"/>
    </row>
    <row r="58" spans="1:61">
      <c r="A58" s="14" t="s">
        <v>388</v>
      </c>
      <c r="B58" s="14">
        <v>9.4499999999999998E-4</v>
      </c>
      <c r="C58" s="14"/>
      <c r="D58" s="14">
        <v>46307</v>
      </c>
      <c r="E58" s="14" t="s">
        <v>261</v>
      </c>
      <c r="F58" s="14" t="s">
        <v>557</v>
      </c>
      <c r="G58" s="14" t="s">
        <v>1079</v>
      </c>
      <c r="H58" s="14"/>
      <c r="I58" s="14"/>
      <c r="J58" s="14" t="s">
        <v>787</v>
      </c>
      <c r="K58" s="14" t="s">
        <v>788</v>
      </c>
      <c r="L58" s="14">
        <v>2.9410700000000001E-3</v>
      </c>
      <c r="M58" s="14">
        <v>46304</v>
      </c>
      <c r="N58" s="14" t="s">
        <v>279</v>
      </c>
      <c r="O58" s="14"/>
      <c r="P58" s="14"/>
      <c r="Q58" s="14"/>
      <c r="R58" s="14"/>
      <c r="S58" s="14"/>
      <c r="T58" s="14"/>
      <c r="U58" s="14"/>
      <c r="V58" s="14"/>
      <c r="W58" s="14"/>
      <c r="X58" s="14"/>
      <c r="Y58" s="14"/>
      <c r="Z58" s="14"/>
      <c r="AA58" s="14"/>
      <c r="AB58" s="14"/>
      <c r="AC58" s="14"/>
      <c r="AD58" s="14"/>
      <c r="AE58" s="14"/>
      <c r="AF58" s="14"/>
      <c r="AG58" s="14"/>
      <c r="AH58" s="14"/>
      <c r="AI58" s="14"/>
      <c r="AJ58" s="167">
        <v>46024</v>
      </c>
      <c r="AK58" s="14">
        <v>683.17</v>
      </c>
      <c r="AL58" s="14" t="s">
        <v>562</v>
      </c>
      <c r="AM58" s="14" t="s">
        <v>154</v>
      </c>
      <c r="AN58" s="14">
        <f>IF('ETF Data'!$H$2,IF(ISNUMBER(AK58),AK58,NA()),NA())</f>
        <v>683.17</v>
      </c>
      <c r="AO58" s="14"/>
      <c r="AP58" s="14"/>
      <c r="AQ58" s="14"/>
      <c r="AR58" s="14"/>
      <c r="AS58" s="14"/>
      <c r="AT58" s="14"/>
      <c r="AU58" s="14"/>
      <c r="AV58" s="14"/>
      <c r="AW58" s="14"/>
      <c r="AX58" s="14"/>
      <c r="AY58" s="14"/>
      <c r="AZ58" s="14"/>
      <c r="BA58" s="14"/>
      <c r="BB58" s="14"/>
      <c r="BC58" s="14"/>
      <c r="BD58" s="14"/>
      <c r="BE58" s="14"/>
      <c r="BF58" s="14"/>
      <c r="BG58" s="14"/>
      <c r="BH58" s="14"/>
      <c r="BI58" s="14"/>
    </row>
    <row r="59" spans="1:61">
      <c r="A59" s="14" t="s">
        <v>92</v>
      </c>
      <c r="B59" s="14" t="s">
        <v>763</v>
      </c>
      <c r="C59" s="14"/>
      <c r="D59" s="14">
        <v>46307</v>
      </c>
      <c r="E59" s="14" t="s">
        <v>261</v>
      </c>
      <c r="F59" s="14" t="s">
        <v>557</v>
      </c>
      <c r="G59" s="14" t="s">
        <v>764</v>
      </c>
      <c r="H59" s="14"/>
      <c r="I59" s="14"/>
      <c r="J59" s="14" t="s">
        <v>755</v>
      </c>
      <c r="K59" s="14" t="s">
        <v>756</v>
      </c>
      <c r="L59" s="14">
        <v>2.7868599999999999E-3</v>
      </c>
      <c r="M59" s="14">
        <v>46304</v>
      </c>
      <c r="N59" s="14" t="s">
        <v>279</v>
      </c>
      <c r="O59" s="14"/>
      <c r="P59" s="14"/>
      <c r="Q59" s="14"/>
      <c r="R59" s="14"/>
      <c r="S59" s="14"/>
      <c r="T59" s="14"/>
      <c r="U59" s="14"/>
      <c r="V59" s="14"/>
      <c r="W59" s="14"/>
      <c r="X59" s="14"/>
      <c r="Y59" s="14"/>
      <c r="Z59" s="14"/>
      <c r="AA59" s="14"/>
      <c r="AB59" s="14"/>
      <c r="AC59" s="14"/>
      <c r="AD59" s="14"/>
      <c r="AE59" s="14"/>
      <c r="AF59" s="14"/>
      <c r="AG59" s="14"/>
      <c r="AH59" s="14"/>
      <c r="AI59" s="14"/>
      <c r="AJ59" s="167">
        <v>46027</v>
      </c>
      <c r="AK59" s="14">
        <v>687.72</v>
      </c>
      <c r="AL59" s="14" t="s">
        <v>562</v>
      </c>
      <c r="AM59" s="14" t="s">
        <v>154</v>
      </c>
      <c r="AN59" s="14">
        <f>IF('ETF Data'!$H$2,IF(ISNUMBER(AK59),AK59,NA()),NA())</f>
        <v>687.72</v>
      </c>
      <c r="AO59" s="14"/>
      <c r="AP59" s="14"/>
      <c r="AQ59" s="14"/>
      <c r="AR59" s="14"/>
      <c r="AS59" s="14"/>
      <c r="AT59" s="14"/>
      <c r="AU59" s="14"/>
      <c r="AV59" s="14"/>
      <c r="AW59" s="14"/>
      <c r="AX59" s="14"/>
      <c r="AY59" s="14"/>
      <c r="AZ59" s="14"/>
      <c r="BA59" s="14"/>
      <c r="BB59" s="14"/>
      <c r="BC59" s="14"/>
      <c r="BD59" s="14"/>
      <c r="BE59" s="14"/>
      <c r="BF59" s="14"/>
      <c r="BG59" s="14"/>
      <c r="BH59" s="14"/>
      <c r="BI59" s="14"/>
    </row>
    <row r="60" spans="1:61">
      <c r="A60" s="14" t="s">
        <v>407</v>
      </c>
      <c r="B60" s="14" t="s">
        <v>599</v>
      </c>
      <c r="C60" s="14"/>
      <c r="D60" s="14"/>
      <c r="E60" s="14" t="s">
        <v>216</v>
      </c>
      <c r="F60" s="14" t="s">
        <v>851</v>
      </c>
      <c r="G60" s="14"/>
      <c r="H60" s="14"/>
      <c r="I60" s="14"/>
      <c r="J60" s="14" t="s">
        <v>777</v>
      </c>
      <c r="K60" s="14" t="s">
        <v>778</v>
      </c>
      <c r="L60" s="14">
        <v>2.78664E-3</v>
      </c>
      <c r="M60" s="14">
        <v>46304</v>
      </c>
      <c r="N60" s="14" t="s">
        <v>279</v>
      </c>
      <c r="O60" s="14"/>
      <c r="P60" s="14"/>
      <c r="Q60" s="14"/>
      <c r="R60" s="14"/>
      <c r="S60" s="14"/>
      <c r="T60" s="14"/>
      <c r="U60" s="14"/>
      <c r="V60" s="14"/>
      <c r="W60" s="14"/>
      <c r="X60" s="14"/>
      <c r="Y60" s="14"/>
      <c r="Z60" s="14"/>
      <c r="AA60" s="14"/>
      <c r="AB60" s="14"/>
      <c r="AC60" s="14"/>
      <c r="AD60" s="14"/>
      <c r="AE60" s="14"/>
      <c r="AF60" s="14"/>
      <c r="AG60" s="14"/>
      <c r="AH60" s="14"/>
      <c r="AI60" s="14"/>
      <c r="AJ60" s="167">
        <v>46028</v>
      </c>
      <c r="AK60" s="14">
        <v>691.81</v>
      </c>
      <c r="AL60" s="14" t="s">
        <v>562</v>
      </c>
      <c r="AM60" s="14" t="s">
        <v>154</v>
      </c>
      <c r="AN60" s="14">
        <f>IF('ETF Data'!$H$2,IF(ISNUMBER(AK60),AK60,NA()),NA())</f>
        <v>691.81</v>
      </c>
      <c r="AO60" s="14"/>
      <c r="AP60" s="14"/>
      <c r="AQ60" s="14"/>
      <c r="AR60" s="14"/>
      <c r="AS60" s="14"/>
      <c r="AT60" s="14"/>
      <c r="AU60" s="14"/>
      <c r="AV60" s="14"/>
      <c r="AW60" s="14"/>
      <c r="AX60" s="14"/>
      <c r="AY60" s="14"/>
      <c r="AZ60" s="14"/>
      <c r="BA60" s="14"/>
      <c r="BB60" s="14"/>
      <c r="BC60" s="14"/>
      <c r="BD60" s="14"/>
      <c r="BE60" s="14"/>
      <c r="BF60" s="14"/>
      <c r="BG60" s="14"/>
      <c r="BH60" s="14"/>
      <c r="BI60" s="14"/>
    </row>
    <row r="61" spans="1:61">
      <c r="A61" s="14" t="s">
        <v>411</v>
      </c>
      <c r="B61" s="14">
        <v>0.03</v>
      </c>
      <c r="C61" s="14"/>
      <c r="D61" s="14">
        <v>46295</v>
      </c>
      <c r="E61" s="14" t="s">
        <v>216</v>
      </c>
      <c r="F61" s="14" t="s">
        <v>557</v>
      </c>
      <c r="G61" s="14" t="s">
        <v>1066</v>
      </c>
      <c r="H61" s="14"/>
      <c r="I61" s="14"/>
      <c r="J61" s="14" t="s">
        <v>781</v>
      </c>
      <c r="K61" s="14" t="s">
        <v>782</v>
      </c>
      <c r="L61" s="14">
        <v>2.7831499999999999E-3</v>
      </c>
      <c r="M61" s="14">
        <v>46304</v>
      </c>
      <c r="N61" s="14" t="s">
        <v>279</v>
      </c>
      <c r="O61" s="14"/>
      <c r="P61" s="14"/>
      <c r="Q61" s="14"/>
      <c r="R61" s="14"/>
      <c r="S61" s="14"/>
      <c r="T61" s="14"/>
      <c r="U61" s="14"/>
      <c r="V61" s="14"/>
      <c r="W61" s="14"/>
      <c r="X61" s="14"/>
      <c r="Y61" s="14"/>
      <c r="Z61" s="14"/>
      <c r="AA61" s="14"/>
      <c r="AB61" s="14"/>
      <c r="AC61" s="14"/>
      <c r="AD61" s="14"/>
      <c r="AE61" s="14"/>
      <c r="AF61" s="14"/>
      <c r="AG61" s="14"/>
      <c r="AH61" s="14"/>
      <c r="AI61" s="14"/>
      <c r="AJ61" s="167">
        <v>46029</v>
      </c>
      <c r="AK61" s="14">
        <v>689.58</v>
      </c>
      <c r="AL61" s="14" t="s">
        <v>562</v>
      </c>
      <c r="AM61" s="14" t="s">
        <v>154</v>
      </c>
      <c r="AN61" s="14">
        <f>IF('ETF Data'!$H$2,IF(ISNUMBER(AK61),AK61,NA()),NA())</f>
        <v>689.58</v>
      </c>
      <c r="AO61" s="14"/>
      <c r="AP61" s="14"/>
      <c r="AQ61" s="14"/>
      <c r="AR61" s="14"/>
      <c r="AS61" s="14"/>
      <c r="AT61" s="14"/>
      <c r="AU61" s="14"/>
      <c r="AV61" s="14"/>
      <c r="AW61" s="14"/>
      <c r="AX61" s="14"/>
      <c r="AY61" s="14"/>
      <c r="AZ61" s="14"/>
      <c r="BA61" s="14"/>
      <c r="BB61" s="14"/>
      <c r="BC61" s="14"/>
      <c r="BD61" s="14"/>
      <c r="BE61" s="14"/>
      <c r="BF61" s="14"/>
      <c r="BG61" s="14"/>
      <c r="BH61" s="14"/>
      <c r="BI61" s="14"/>
    </row>
    <row r="62" spans="1:61">
      <c r="A62" s="14" t="s">
        <v>415</v>
      </c>
      <c r="B62" s="14" t="s">
        <v>599</v>
      </c>
      <c r="C62" s="14"/>
      <c r="D62" s="14"/>
      <c r="E62" s="14" t="s">
        <v>216</v>
      </c>
      <c r="F62" s="14" t="s">
        <v>851</v>
      </c>
      <c r="G62" s="14"/>
      <c r="H62" s="14"/>
      <c r="I62" s="14"/>
      <c r="J62" s="14" t="s">
        <v>771</v>
      </c>
      <c r="K62" s="14" t="s">
        <v>772</v>
      </c>
      <c r="L62" s="14">
        <v>2.7736599999999998E-3</v>
      </c>
      <c r="M62" s="14">
        <v>46304</v>
      </c>
      <c r="N62" s="14" t="s">
        <v>279</v>
      </c>
      <c r="O62" s="14"/>
      <c r="P62" s="14"/>
      <c r="Q62" s="14"/>
      <c r="R62" s="14"/>
      <c r="S62" s="14"/>
      <c r="T62" s="14"/>
      <c r="U62" s="14"/>
      <c r="V62" s="14"/>
      <c r="W62" s="14"/>
      <c r="X62" s="14"/>
      <c r="Y62" s="14"/>
      <c r="Z62" s="14"/>
      <c r="AA62" s="14"/>
      <c r="AB62" s="14"/>
      <c r="AC62" s="14"/>
      <c r="AD62" s="14"/>
      <c r="AE62" s="14"/>
      <c r="AF62" s="14"/>
      <c r="AG62" s="14"/>
      <c r="AH62" s="14"/>
      <c r="AI62" s="14"/>
      <c r="AJ62" s="167">
        <v>46030</v>
      </c>
      <c r="AK62" s="14">
        <v>689.51</v>
      </c>
      <c r="AL62" s="14" t="s">
        <v>562</v>
      </c>
      <c r="AM62" s="14" t="s">
        <v>154</v>
      </c>
      <c r="AN62" s="14">
        <f>IF('ETF Data'!$H$2,IF(ISNUMBER(AK62),AK62,NA()),NA())</f>
        <v>689.51</v>
      </c>
      <c r="AO62" s="14"/>
      <c r="AP62" s="14"/>
      <c r="AQ62" s="14"/>
      <c r="AR62" s="14"/>
      <c r="AS62" s="14"/>
      <c r="AT62" s="14"/>
      <c r="AU62" s="14"/>
      <c r="AV62" s="14"/>
      <c r="AW62" s="14"/>
      <c r="AX62" s="14"/>
      <c r="AY62" s="14"/>
      <c r="AZ62" s="14"/>
      <c r="BA62" s="14"/>
      <c r="BB62" s="14"/>
      <c r="BC62" s="14"/>
      <c r="BD62" s="14"/>
      <c r="BE62" s="14"/>
      <c r="BF62" s="14"/>
      <c r="BG62" s="14"/>
      <c r="BH62" s="14"/>
      <c r="BI62" s="14"/>
    </row>
    <row r="63" spans="1:61">
      <c r="A63" s="14" t="s">
        <v>419</v>
      </c>
      <c r="B63" s="14" t="s">
        <v>599</v>
      </c>
      <c r="C63" s="14"/>
      <c r="D63" s="14"/>
      <c r="E63" s="14" t="s">
        <v>216</v>
      </c>
      <c r="F63" s="14" t="s">
        <v>851</v>
      </c>
      <c r="G63" s="14"/>
      <c r="H63" s="14"/>
      <c r="I63" s="14"/>
      <c r="J63" s="14" t="s">
        <v>773</v>
      </c>
      <c r="K63" s="14" t="s">
        <v>774</v>
      </c>
      <c r="L63" s="14">
        <v>2.6349799999999999E-3</v>
      </c>
      <c r="M63" s="14">
        <v>46304</v>
      </c>
      <c r="N63" s="14" t="s">
        <v>279</v>
      </c>
      <c r="O63" s="14"/>
      <c r="P63" s="14"/>
      <c r="Q63" s="14"/>
      <c r="R63" s="14"/>
      <c r="S63" s="14"/>
      <c r="T63" s="14"/>
      <c r="U63" s="14"/>
      <c r="V63" s="14"/>
      <c r="W63" s="14"/>
      <c r="X63" s="14"/>
      <c r="Y63" s="14"/>
      <c r="Z63" s="14"/>
      <c r="AA63" s="14"/>
      <c r="AB63" s="14"/>
      <c r="AC63" s="14"/>
      <c r="AD63" s="14"/>
      <c r="AE63" s="14"/>
      <c r="AF63" s="14"/>
      <c r="AG63" s="14"/>
      <c r="AH63" s="14"/>
      <c r="AI63" s="14"/>
      <c r="AJ63" s="167">
        <v>46031</v>
      </c>
      <c r="AK63" s="14">
        <v>694.07</v>
      </c>
      <c r="AL63" s="14" t="s">
        <v>562</v>
      </c>
      <c r="AM63" s="14" t="s">
        <v>154</v>
      </c>
      <c r="AN63" s="14">
        <f>IF('ETF Data'!$H$2,IF(ISNUMBER(AK63),AK63,NA()),NA())</f>
        <v>694.07</v>
      </c>
      <c r="AO63" s="14"/>
      <c r="AP63" s="14"/>
      <c r="AQ63" s="14"/>
      <c r="AR63" s="14"/>
      <c r="AS63" s="14"/>
      <c r="AT63" s="14"/>
      <c r="AU63" s="14"/>
      <c r="AV63" s="14"/>
      <c r="AW63" s="14"/>
      <c r="AX63" s="14"/>
      <c r="AY63" s="14"/>
      <c r="AZ63" s="14"/>
      <c r="BA63" s="14"/>
      <c r="BB63" s="14"/>
      <c r="BC63" s="14"/>
      <c r="BD63" s="14"/>
      <c r="BE63" s="14"/>
      <c r="BF63" s="14"/>
      <c r="BG63" s="14"/>
      <c r="BH63" s="14"/>
      <c r="BI63" s="14"/>
    </row>
    <row r="64" spans="1:61">
      <c r="A64" s="14" t="s">
        <v>423</v>
      </c>
      <c r="B64" s="14" t="s">
        <v>599</v>
      </c>
      <c r="C64" s="14"/>
      <c r="D64" s="14"/>
      <c r="E64" s="14" t="s">
        <v>216</v>
      </c>
      <c r="F64" s="14" t="s">
        <v>851</v>
      </c>
      <c r="G64" s="14"/>
      <c r="H64" s="14"/>
      <c r="I64" s="14"/>
      <c r="J64" s="14" t="s">
        <v>837</v>
      </c>
      <c r="K64" s="14" t="s">
        <v>838</v>
      </c>
      <c r="L64" s="14">
        <v>2.63057E-3</v>
      </c>
      <c r="M64" s="14">
        <v>46304</v>
      </c>
      <c r="N64" s="14" t="s">
        <v>279</v>
      </c>
      <c r="O64" s="14"/>
      <c r="P64" s="14"/>
      <c r="Q64" s="14"/>
      <c r="R64" s="14"/>
      <c r="S64" s="14"/>
      <c r="T64" s="14"/>
      <c r="U64" s="14"/>
      <c r="V64" s="14"/>
      <c r="W64" s="14"/>
      <c r="X64" s="14"/>
      <c r="Y64" s="14"/>
      <c r="Z64" s="14"/>
      <c r="AA64" s="14"/>
      <c r="AB64" s="14"/>
      <c r="AC64" s="14"/>
      <c r="AD64" s="14"/>
      <c r="AE64" s="14"/>
      <c r="AF64" s="14"/>
      <c r="AG64" s="14"/>
      <c r="AH64" s="14"/>
      <c r="AI64" s="14"/>
      <c r="AJ64" s="167">
        <v>46034</v>
      </c>
      <c r="AK64" s="14">
        <v>695.16</v>
      </c>
      <c r="AL64" s="14" t="s">
        <v>562</v>
      </c>
      <c r="AM64" s="14" t="s">
        <v>154</v>
      </c>
      <c r="AN64" s="14">
        <f>IF('ETF Data'!$H$2,IF(ISNUMBER(AK64),AK64,NA()),NA())</f>
        <v>695.16</v>
      </c>
      <c r="AO64" s="14"/>
      <c r="AP64" s="14"/>
      <c r="AQ64" s="14"/>
      <c r="AR64" s="14"/>
      <c r="AS64" s="14"/>
      <c r="AT64" s="14"/>
      <c r="AU64" s="14"/>
      <c r="AV64" s="14"/>
      <c r="AW64" s="14"/>
      <c r="AX64" s="14"/>
      <c r="AY64" s="14"/>
      <c r="AZ64" s="14"/>
      <c r="BA64" s="14"/>
      <c r="BB64" s="14"/>
      <c r="BC64" s="14"/>
      <c r="BD64" s="14"/>
      <c r="BE64" s="14"/>
      <c r="BF64" s="14"/>
      <c r="BG64" s="14"/>
      <c r="BH64" s="14"/>
      <c r="BI64" s="14"/>
    </row>
    <row r="65" spans="1:61">
      <c r="A65" s="14" t="s">
        <v>427</v>
      </c>
      <c r="B65" s="14" t="s">
        <v>599</v>
      </c>
      <c r="C65" s="14"/>
      <c r="D65" s="14"/>
      <c r="E65" s="14" t="s">
        <v>216</v>
      </c>
      <c r="F65" s="14" t="s">
        <v>851</v>
      </c>
      <c r="G65" s="14"/>
      <c r="H65" s="14"/>
      <c r="I65" s="14"/>
      <c r="J65" s="14" t="s">
        <v>757</v>
      </c>
      <c r="K65" s="14" t="s">
        <v>758</v>
      </c>
      <c r="L65" s="14">
        <v>2.5724900000000002E-3</v>
      </c>
      <c r="M65" s="14">
        <v>46304</v>
      </c>
      <c r="N65" s="14" t="s">
        <v>279</v>
      </c>
      <c r="O65" s="14"/>
      <c r="P65" s="14"/>
      <c r="Q65" s="14"/>
      <c r="R65" s="14"/>
      <c r="S65" s="14"/>
      <c r="T65" s="14"/>
      <c r="U65" s="14"/>
      <c r="V65" s="14"/>
      <c r="W65" s="14"/>
      <c r="X65" s="14"/>
      <c r="Y65" s="14"/>
      <c r="Z65" s="14"/>
      <c r="AA65" s="14"/>
      <c r="AB65" s="14"/>
      <c r="AC65" s="14"/>
      <c r="AD65" s="14"/>
      <c r="AE65" s="14"/>
      <c r="AF65" s="14"/>
      <c r="AG65" s="14"/>
      <c r="AH65" s="14"/>
      <c r="AI65" s="14"/>
      <c r="AJ65" s="167">
        <v>46035</v>
      </c>
      <c r="AK65" s="14">
        <v>693.77</v>
      </c>
      <c r="AL65" s="14" t="s">
        <v>562</v>
      </c>
      <c r="AM65" s="14" t="s">
        <v>154</v>
      </c>
      <c r="AN65" s="14">
        <f>IF('ETF Data'!$H$2,IF(ISNUMBER(AK65),AK65,NA()),NA())</f>
        <v>693.77</v>
      </c>
      <c r="AO65" s="14"/>
      <c r="AP65" s="14"/>
      <c r="AQ65" s="14"/>
      <c r="AR65" s="14"/>
      <c r="AS65" s="14"/>
      <c r="AT65" s="14"/>
      <c r="AU65" s="14"/>
      <c r="AV65" s="14"/>
      <c r="AW65" s="14"/>
      <c r="AX65" s="14"/>
      <c r="AY65" s="14"/>
      <c r="AZ65" s="14"/>
      <c r="BA65" s="14"/>
      <c r="BB65" s="14"/>
      <c r="BC65" s="14"/>
      <c r="BD65" s="14"/>
      <c r="BE65" s="14"/>
      <c r="BF65" s="14"/>
      <c r="BG65" s="14"/>
      <c r="BH65" s="14"/>
      <c r="BI65" s="14"/>
    </row>
    <row r="66" spans="1:61">
      <c r="A66" s="14" t="s">
        <v>431</v>
      </c>
      <c r="B66" s="14" t="s">
        <v>599</v>
      </c>
      <c r="C66" s="14"/>
      <c r="D66" s="14"/>
      <c r="E66" s="14" t="s">
        <v>216</v>
      </c>
      <c r="F66" s="14" t="s">
        <v>851</v>
      </c>
      <c r="G66" s="14"/>
      <c r="H66" s="14"/>
      <c r="I66" s="14"/>
      <c r="J66" s="14" t="s">
        <v>765</v>
      </c>
      <c r="K66" s="14" t="s">
        <v>766</v>
      </c>
      <c r="L66" s="14">
        <v>2.5589800000000002E-3</v>
      </c>
      <c r="M66" s="14">
        <v>46304</v>
      </c>
      <c r="N66" s="14" t="s">
        <v>279</v>
      </c>
      <c r="O66" s="14"/>
      <c r="P66" s="14"/>
      <c r="Q66" s="14"/>
      <c r="R66" s="14"/>
      <c r="S66" s="14"/>
      <c r="T66" s="14"/>
      <c r="U66" s="14"/>
      <c r="V66" s="14"/>
      <c r="W66" s="14"/>
      <c r="X66" s="14"/>
      <c r="Y66" s="14"/>
      <c r="Z66" s="14"/>
      <c r="AA66" s="14"/>
      <c r="AB66" s="14"/>
      <c r="AC66" s="14"/>
      <c r="AD66" s="14"/>
      <c r="AE66" s="14"/>
      <c r="AF66" s="14"/>
      <c r="AG66" s="14"/>
      <c r="AH66" s="14"/>
      <c r="AI66" s="14"/>
      <c r="AJ66" s="167">
        <v>46036</v>
      </c>
      <c r="AK66" s="14">
        <v>690.36</v>
      </c>
      <c r="AL66" s="14" t="s">
        <v>562</v>
      </c>
      <c r="AM66" s="14" t="s">
        <v>154</v>
      </c>
      <c r="AN66" s="14">
        <f>IF('ETF Data'!$H$2,IF(ISNUMBER(AK66),AK66,NA()),NA())</f>
        <v>690.36</v>
      </c>
      <c r="AO66" s="14"/>
      <c r="AP66" s="14"/>
      <c r="AQ66" s="14"/>
      <c r="AR66" s="14"/>
      <c r="AS66" s="14"/>
      <c r="AT66" s="14"/>
      <c r="AU66" s="14"/>
      <c r="AV66" s="14"/>
      <c r="AW66" s="14"/>
      <c r="AX66" s="14"/>
      <c r="AY66" s="14"/>
      <c r="AZ66" s="14"/>
      <c r="BA66" s="14"/>
      <c r="BB66" s="14"/>
      <c r="BC66" s="14"/>
      <c r="BD66" s="14"/>
      <c r="BE66" s="14"/>
      <c r="BF66" s="14"/>
      <c r="BG66" s="14"/>
      <c r="BH66" s="14"/>
      <c r="BI66" s="14"/>
    </row>
    <row r="67" spans="1:61">
      <c r="A67" s="14" t="s">
        <v>435</v>
      </c>
      <c r="B67" s="14">
        <v>9.4999999999999998E-3</v>
      </c>
      <c r="C67" s="14"/>
      <c r="D67" s="14">
        <v>46295</v>
      </c>
      <c r="E67" s="14" t="s">
        <v>216</v>
      </c>
      <c r="F67" s="14" t="s">
        <v>557</v>
      </c>
      <c r="G67" s="14" t="s">
        <v>1067</v>
      </c>
      <c r="H67" s="14"/>
      <c r="I67" s="14"/>
      <c r="J67" s="14" t="s">
        <v>767</v>
      </c>
      <c r="K67" s="14" t="s">
        <v>768</v>
      </c>
      <c r="L67" s="14">
        <v>2.55616E-3</v>
      </c>
      <c r="M67" s="14">
        <v>46304</v>
      </c>
      <c r="N67" s="14" t="s">
        <v>279</v>
      </c>
      <c r="O67" s="14"/>
      <c r="P67" s="14"/>
      <c r="Q67" s="14"/>
      <c r="R67" s="14"/>
      <c r="S67" s="14"/>
      <c r="T67" s="14"/>
      <c r="U67" s="14"/>
      <c r="V67" s="14"/>
      <c r="W67" s="14"/>
      <c r="X67" s="14"/>
      <c r="Y67" s="14"/>
      <c r="Z67" s="14"/>
      <c r="AA67" s="14"/>
      <c r="AB67" s="14"/>
      <c r="AC67" s="14"/>
      <c r="AD67" s="14"/>
      <c r="AE67" s="14"/>
      <c r="AF67" s="14"/>
      <c r="AG67" s="14"/>
      <c r="AH67" s="14"/>
      <c r="AI67" s="14"/>
      <c r="AJ67" s="167">
        <v>46037</v>
      </c>
      <c r="AK67" s="14">
        <v>692.24</v>
      </c>
      <c r="AL67" s="14" t="s">
        <v>562</v>
      </c>
      <c r="AM67" s="14" t="s">
        <v>154</v>
      </c>
      <c r="AN67" s="14">
        <f>IF('ETF Data'!$H$2,IF(ISNUMBER(AK67),AK67,NA()),NA())</f>
        <v>692.24</v>
      </c>
      <c r="AO67" s="14"/>
      <c r="AP67" s="14"/>
      <c r="AQ67" s="14"/>
      <c r="AR67" s="14"/>
      <c r="AS67" s="14"/>
      <c r="AT67" s="14"/>
      <c r="AU67" s="14"/>
      <c r="AV67" s="14"/>
      <c r="AW67" s="14"/>
      <c r="AX67" s="14"/>
      <c r="AY67" s="14"/>
      <c r="AZ67" s="14"/>
      <c r="BA67" s="14"/>
      <c r="BB67" s="14"/>
      <c r="BC67" s="14"/>
      <c r="BD67" s="14"/>
      <c r="BE67" s="14"/>
      <c r="BF67" s="14"/>
      <c r="BG67" s="14"/>
      <c r="BH67" s="14"/>
      <c r="BI67" s="14"/>
    </row>
    <row r="68" spans="1:61">
      <c r="A68" s="14" t="s">
        <v>442</v>
      </c>
      <c r="B68" s="14" t="s">
        <v>599</v>
      </c>
      <c r="C68" s="14"/>
      <c r="D68" s="14"/>
      <c r="E68" s="14" t="s">
        <v>216</v>
      </c>
      <c r="F68" s="14" t="s">
        <v>851</v>
      </c>
      <c r="G68" s="14"/>
      <c r="H68" s="14"/>
      <c r="I68" s="14"/>
      <c r="J68" s="14" t="s">
        <v>809</v>
      </c>
      <c r="K68" s="14" t="s">
        <v>810</v>
      </c>
      <c r="L68" s="14">
        <v>2.4805600000000001E-3</v>
      </c>
      <c r="M68" s="14">
        <v>46304</v>
      </c>
      <c r="N68" s="14" t="s">
        <v>279</v>
      </c>
      <c r="O68" s="14"/>
      <c r="P68" s="14"/>
      <c r="Q68" s="14"/>
      <c r="R68" s="14"/>
      <c r="S68" s="14"/>
      <c r="T68" s="14"/>
      <c r="U68" s="14"/>
      <c r="V68" s="14"/>
      <c r="W68" s="14"/>
      <c r="X68" s="14"/>
      <c r="Y68" s="14"/>
      <c r="Z68" s="14"/>
      <c r="AA68" s="14"/>
      <c r="AB68" s="14"/>
      <c r="AC68" s="14"/>
      <c r="AD68" s="14"/>
      <c r="AE68" s="14"/>
      <c r="AF68" s="14"/>
      <c r="AG68" s="14"/>
      <c r="AH68" s="14"/>
      <c r="AI68" s="14"/>
      <c r="AJ68" s="167">
        <v>46038</v>
      </c>
      <c r="AK68" s="14">
        <v>691.66</v>
      </c>
      <c r="AL68" s="14" t="s">
        <v>562</v>
      </c>
      <c r="AM68" s="14" t="s">
        <v>154</v>
      </c>
      <c r="AN68" s="14">
        <f>IF('ETF Data'!$H$2,IF(ISNUMBER(AK68),AK68,NA()),NA())</f>
        <v>691.66</v>
      </c>
      <c r="AO68" s="14"/>
      <c r="AP68" s="14"/>
      <c r="AQ68" s="14"/>
      <c r="AR68" s="14"/>
      <c r="AS68" s="14"/>
      <c r="AT68" s="14"/>
      <c r="AU68" s="14"/>
      <c r="AV68" s="14"/>
      <c r="AW68" s="14"/>
      <c r="AX68" s="14"/>
      <c r="AY68" s="14"/>
      <c r="AZ68" s="14"/>
      <c r="BA68" s="14"/>
      <c r="BB68" s="14"/>
      <c r="BC68" s="14"/>
      <c r="BD68" s="14"/>
      <c r="BE68" s="14"/>
      <c r="BF68" s="14"/>
      <c r="BG68" s="14"/>
      <c r="BH68" s="14"/>
      <c r="BI68" s="14"/>
    </row>
    <row r="69" spans="1:61">
      <c r="A69" s="14" t="s">
        <v>446</v>
      </c>
      <c r="B69" s="14" t="s">
        <v>599</v>
      </c>
      <c r="C69" s="14"/>
      <c r="D69" s="14"/>
      <c r="E69" s="14" t="s">
        <v>216</v>
      </c>
      <c r="F69" s="14" t="s">
        <v>851</v>
      </c>
      <c r="G69" s="14"/>
      <c r="H69" s="14"/>
      <c r="I69" s="14"/>
      <c r="J69" s="14" t="s">
        <v>769</v>
      </c>
      <c r="K69" s="14" t="s">
        <v>770</v>
      </c>
      <c r="L69" s="14">
        <v>2.4748299999999999E-3</v>
      </c>
      <c r="M69" s="14">
        <v>46304</v>
      </c>
      <c r="N69" s="14" t="s">
        <v>279</v>
      </c>
      <c r="O69" s="14"/>
      <c r="P69" s="14"/>
      <c r="Q69" s="14"/>
      <c r="R69" s="14"/>
      <c r="S69" s="14"/>
      <c r="T69" s="14"/>
      <c r="U69" s="14"/>
      <c r="V69" s="14"/>
      <c r="W69" s="14"/>
      <c r="X69" s="14"/>
      <c r="Y69" s="14"/>
      <c r="Z69" s="14"/>
      <c r="AA69" s="14"/>
      <c r="AB69" s="14"/>
      <c r="AC69" s="14"/>
      <c r="AD69" s="14"/>
      <c r="AE69" s="14"/>
      <c r="AF69" s="14"/>
      <c r="AG69" s="14"/>
      <c r="AH69" s="14"/>
      <c r="AI69" s="14"/>
      <c r="AJ69" s="167">
        <v>46042</v>
      </c>
      <c r="AK69" s="14">
        <v>677.58</v>
      </c>
      <c r="AL69" s="14" t="s">
        <v>562</v>
      </c>
      <c r="AM69" s="14" t="s">
        <v>154</v>
      </c>
      <c r="AN69" s="14">
        <f>IF('ETF Data'!$H$2,IF(ISNUMBER(AK69),AK69,NA()),NA())</f>
        <v>677.58</v>
      </c>
      <c r="AO69" s="14"/>
      <c r="AP69" s="14"/>
      <c r="AQ69" s="14"/>
      <c r="AR69" s="14"/>
      <c r="AS69" s="14"/>
      <c r="AT69" s="14"/>
      <c r="AU69" s="14"/>
      <c r="AV69" s="14"/>
      <c r="AW69" s="14"/>
      <c r="AX69" s="14"/>
      <c r="AY69" s="14"/>
      <c r="AZ69" s="14"/>
      <c r="BA69" s="14"/>
      <c r="BB69" s="14"/>
      <c r="BC69" s="14"/>
      <c r="BD69" s="14"/>
      <c r="BE69" s="14"/>
      <c r="BF69" s="14"/>
      <c r="BG69" s="14"/>
      <c r="BH69" s="14"/>
      <c r="BI69" s="14"/>
    </row>
    <row r="70" spans="1:61">
      <c r="A70" s="14" t="s">
        <v>450</v>
      </c>
      <c r="B70" s="14">
        <v>0.99995869999999998</v>
      </c>
      <c r="C70" s="14"/>
      <c r="D70" s="14">
        <v>46295</v>
      </c>
      <c r="E70" s="14" t="s">
        <v>216</v>
      </c>
      <c r="F70" s="14" t="s">
        <v>557</v>
      </c>
      <c r="G70" s="14" t="s">
        <v>1069</v>
      </c>
      <c r="H70" s="14"/>
      <c r="I70" s="14"/>
      <c r="J70" s="14" t="s">
        <v>785</v>
      </c>
      <c r="K70" s="14" t="s">
        <v>786</v>
      </c>
      <c r="L70" s="14">
        <v>2.4571200000000001E-3</v>
      </c>
      <c r="M70" s="14">
        <v>46304</v>
      </c>
      <c r="N70" s="14" t="s">
        <v>279</v>
      </c>
      <c r="O70" s="14"/>
      <c r="P70" s="14"/>
      <c r="Q70" s="14"/>
      <c r="R70" s="14"/>
      <c r="S70" s="14"/>
      <c r="T70" s="14"/>
      <c r="U70" s="14"/>
      <c r="V70" s="14"/>
      <c r="W70" s="14"/>
      <c r="X70" s="14"/>
      <c r="Y70" s="14"/>
      <c r="Z70" s="14"/>
      <c r="AA70" s="14"/>
      <c r="AB70" s="14"/>
      <c r="AC70" s="14"/>
      <c r="AD70" s="14"/>
      <c r="AE70" s="14"/>
      <c r="AF70" s="14"/>
      <c r="AG70" s="14"/>
      <c r="AH70" s="14"/>
      <c r="AI70" s="14"/>
      <c r="AJ70" s="167">
        <v>46043</v>
      </c>
      <c r="AK70" s="14">
        <v>685.4</v>
      </c>
      <c r="AL70" s="14" t="s">
        <v>562</v>
      </c>
      <c r="AM70" s="14" t="s">
        <v>154</v>
      </c>
      <c r="AN70" s="14">
        <f>IF('ETF Data'!$H$2,IF(ISNUMBER(AK70),AK70,NA()),NA())</f>
        <v>685.4</v>
      </c>
      <c r="AO70" s="14"/>
      <c r="AP70" s="14"/>
      <c r="AQ70" s="14"/>
      <c r="AR70" s="14"/>
      <c r="AS70" s="14"/>
      <c r="AT70" s="14"/>
      <c r="AU70" s="14"/>
      <c r="AV70" s="14"/>
      <c r="AW70" s="14"/>
      <c r="AX70" s="14"/>
      <c r="AY70" s="14"/>
      <c r="AZ70" s="14"/>
      <c r="BA70" s="14"/>
      <c r="BB70" s="14"/>
      <c r="BC70" s="14"/>
      <c r="BD70" s="14"/>
      <c r="BE70" s="14"/>
      <c r="BF70" s="14"/>
      <c r="BG70" s="14"/>
      <c r="BH70" s="14"/>
      <c r="BI70" s="14"/>
    </row>
    <row r="71" spans="1:61">
      <c r="A71" s="14" t="s">
        <v>458</v>
      </c>
      <c r="B71" s="14">
        <v>0.13748131</v>
      </c>
      <c r="C71" s="14"/>
      <c r="D71" s="14">
        <v>46295</v>
      </c>
      <c r="E71" s="14" t="s">
        <v>216</v>
      </c>
      <c r="F71" s="14" t="s">
        <v>557</v>
      </c>
      <c r="G71" s="14" t="s">
        <v>1071</v>
      </c>
      <c r="H71" s="14"/>
      <c r="I71" s="14"/>
      <c r="J71" s="14" t="s">
        <v>793</v>
      </c>
      <c r="K71" s="14" t="s">
        <v>794</v>
      </c>
      <c r="L71" s="14">
        <v>2.4129400000000001E-3</v>
      </c>
      <c r="M71" s="14">
        <v>46304</v>
      </c>
      <c r="N71" s="14" t="s">
        <v>279</v>
      </c>
      <c r="O71" s="14"/>
      <c r="P71" s="14"/>
      <c r="Q71" s="14"/>
      <c r="R71" s="14"/>
      <c r="S71" s="14"/>
      <c r="T71" s="14"/>
      <c r="U71" s="14"/>
      <c r="V71" s="14"/>
      <c r="W71" s="14"/>
      <c r="X71" s="14"/>
      <c r="Y71" s="14"/>
      <c r="Z71" s="14"/>
      <c r="AA71" s="14"/>
      <c r="AB71" s="14"/>
      <c r="AC71" s="14"/>
      <c r="AD71" s="14"/>
      <c r="AE71" s="14"/>
      <c r="AF71" s="14"/>
      <c r="AG71" s="14"/>
      <c r="AH71" s="14"/>
      <c r="AI71" s="14"/>
      <c r="AJ71" s="167">
        <v>46044</v>
      </c>
      <c r="AK71" s="14">
        <v>688.98</v>
      </c>
      <c r="AL71" s="14" t="s">
        <v>562</v>
      </c>
      <c r="AM71" s="14" t="s">
        <v>154</v>
      </c>
      <c r="AN71" s="14">
        <f>IF('ETF Data'!$H$2,IF(ISNUMBER(AK71),AK71,NA()),NA())</f>
        <v>688.98</v>
      </c>
      <c r="AO71" s="14"/>
      <c r="AP71" s="14"/>
      <c r="AQ71" s="14"/>
      <c r="AR71" s="14"/>
      <c r="AS71" s="14"/>
      <c r="AT71" s="14"/>
      <c r="AU71" s="14"/>
      <c r="AV71" s="14"/>
      <c r="AW71" s="14"/>
      <c r="AX71" s="14"/>
      <c r="AY71" s="14"/>
      <c r="AZ71" s="14"/>
      <c r="BA71" s="14"/>
      <c r="BB71" s="14"/>
      <c r="BC71" s="14"/>
      <c r="BD71" s="14"/>
      <c r="BE71" s="14"/>
      <c r="BF71" s="14"/>
      <c r="BG71" s="14"/>
      <c r="BH71" s="14"/>
      <c r="BI71" s="14"/>
    </row>
    <row r="72" spans="1:61">
      <c r="A72" s="14" t="s">
        <v>462</v>
      </c>
      <c r="B72" s="14">
        <v>0.92324799999999996</v>
      </c>
      <c r="C72" s="14" t="s">
        <v>456</v>
      </c>
      <c r="D72" s="14">
        <v>46295</v>
      </c>
      <c r="E72" s="14" t="s">
        <v>216</v>
      </c>
      <c r="F72" s="14" t="s">
        <v>557</v>
      </c>
      <c r="G72" s="14" t="s">
        <v>1072</v>
      </c>
      <c r="H72" s="14"/>
      <c r="I72" s="14"/>
      <c r="J72" s="14" t="s">
        <v>789</v>
      </c>
      <c r="K72" s="14" t="s">
        <v>790</v>
      </c>
      <c r="L72" s="14">
        <v>2.4101499999999998E-3</v>
      </c>
      <c r="M72" s="14">
        <v>46304</v>
      </c>
      <c r="N72" s="14" t="s">
        <v>279</v>
      </c>
      <c r="O72" s="14"/>
      <c r="P72" s="14"/>
      <c r="Q72" s="14"/>
      <c r="R72" s="14"/>
      <c r="S72" s="14"/>
      <c r="T72" s="14"/>
      <c r="U72" s="14"/>
      <c r="V72" s="14"/>
      <c r="W72" s="14"/>
      <c r="X72" s="14"/>
      <c r="Y72" s="14"/>
      <c r="Z72" s="14"/>
      <c r="AA72" s="14"/>
      <c r="AB72" s="14"/>
      <c r="AC72" s="14"/>
      <c r="AD72" s="14"/>
      <c r="AE72" s="14"/>
      <c r="AF72" s="14"/>
      <c r="AG72" s="14"/>
      <c r="AH72" s="14"/>
      <c r="AI72" s="14"/>
      <c r="AJ72" s="167">
        <v>46045</v>
      </c>
      <c r="AK72" s="14">
        <v>689.23</v>
      </c>
      <c r="AL72" s="14" t="s">
        <v>562</v>
      </c>
      <c r="AM72" s="14" t="s">
        <v>154</v>
      </c>
      <c r="AN72" s="14">
        <f>IF('ETF Data'!$H$2,IF(ISNUMBER(AK72),AK72,NA()),NA())</f>
        <v>689.23</v>
      </c>
      <c r="AO72" s="14"/>
      <c r="AP72" s="14"/>
      <c r="AQ72" s="14"/>
      <c r="AR72" s="14"/>
      <c r="AS72" s="14"/>
      <c r="AT72" s="14"/>
      <c r="AU72" s="14"/>
      <c r="AV72" s="14"/>
      <c r="AW72" s="14"/>
      <c r="AX72" s="14"/>
      <c r="AY72" s="14"/>
      <c r="AZ72" s="14"/>
      <c r="BA72" s="14"/>
      <c r="BB72" s="14"/>
      <c r="BC72" s="14"/>
      <c r="BD72" s="14"/>
      <c r="BE72" s="14"/>
      <c r="BF72" s="14"/>
      <c r="BG72" s="14"/>
      <c r="BH72" s="14"/>
      <c r="BI72" s="14"/>
    </row>
    <row r="73" spans="1:61">
      <c r="A73" s="14" t="s">
        <v>471</v>
      </c>
      <c r="B73" s="14">
        <v>778.44960000000003</v>
      </c>
      <c r="C73" s="14"/>
      <c r="D73" s="14">
        <v>46304</v>
      </c>
      <c r="E73" s="14" t="s">
        <v>267</v>
      </c>
      <c r="F73" s="14" t="s">
        <v>557</v>
      </c>
      <c r="G73" s="14" t="s">
        <v>1082</v>
      </c>
      <c r="H73" s="14"/>
      <c r="I73" s="14"/>
      <c r="J73" s="14" t="s">
        <v>791</v>
      </c>
      <c r="K73" s="14" t="s">
        <v>792</v>
      </c>
      <c r="L73" s="14">
        <v>2.3994099999999998E-3</v>
      </c>
      <c r="M73" s="14">
        <v>46304</v>
      </c>
      <c r="N73" s="14" t="s">
        <v>279</v>
      </c>
      <c r="O73" s="14"/>
      <c r="P73" s="14"/>
      <c r="Q73" s="14"/>
      <c r="R73" s="14"/>
      <c r="S73" s="14"/>
      <c r="T73" s="14"/>
      <c r="U73" s="14"/>
      <c r="V73" s="14"/>
      <c r="W73" s="14"/>
      <c r="X73" s="14"/>
      <c r="Y73" s="14"/>
      <c r="Z73" s="14"/>
      <c r="AA73" s="14"/>
      <c r="AB73" s="14"/>
      <c r="AC73" s="14"/>
      <c r="AD73" s="14"/>
      <c r="AE73" s="14"/>
      <c r="AF73" s="14"/>
      <c r="AG73" s="14"/>
      <c r="AH73" s="14"/>
      <c r="AI73" s="14"/>
      <c r="AJ73" s="167">
        <v>46048</v>
      </c>
      <c r="AK73" s="14">
        <v>692.73</v>
      </c>
      <c r="AL73" s="14" t="s">
        <v>562</v>
      </c>
      <c r="AM73" s="14" t="s">
        <v>154</v>
      </c>
      <c r="AN73" s="14">
        <f>IF('ETF Data'!$H$2,IF(ISNUMBER(AK73),AK73,NA()),NA())</f>
        <v>692.73</v>
      </c>
      <c r="AO73" s="14"/>
      <c r="AP73" s="14"/>
      <c r="AQ73" s="14"/>
      <c r="AR73" s="14"/>
      <c r="AS73" s="14"/>
      <c r="AT73" s="14"/>
      <c r="AU73" s="14"/>
      <c r="AV73" s="14"/>
      <c r="AW73" s="14"/>
      <c r="AX73" s="14"/>
      <c r="AY73" s="14"/>
      <c r="AZ73" s="14"/>
      <c r="BA73" s="14"/>
      <c r="BB73" s="14"/>
      <c r="BC73" s="14"/>
      <c r="BD73" s="14"/>
      <c r="BE73" s="14"/>
      <c r="BF73" s="14"/>
      <c r="BG73" s="14"/>
      <c r="BH73" s="14"/>
      <c r="BI73" s="14"/>
    </row>
    <row r="74" spans="1:61">
      <c r="A74" s="14" t="s">
        <v>481</v>
      </c>
      <c r="B74" s="14" t="s">
        <v>1032</v>
      </c>
      <c r="C74" s="14"/>
      <c r="D74" s="14">
        <v>46307</v>
      </c>
      <c r="E74" s="14" t="s">
        <v>261</v>
      </c>
      <c r="F74" s="14" t="s">
        <v>557</v>
      </c>
      <c r="G74" s="14" t="s">
        <v>1033</v>
      </c>
      <c r="H74" s="14"/>
      <c r="I74" s="14"/>
      <c r="J74" s="14" t="s">
        <v>805</v>
      </c>
      <c r="K74" s="14" t="s">
        <v>806</v>
      </c>
      <c r="L74" s="14">
        <v>2.3954499999999999E-3</v>
      </c>
      <c r="M74" s="14">
        <v>46304</v>
      </c>
      <c r="N74" s="14" t="s">
        <v>279</v>
      </c>
      <c r="O74" s="14"/>
      <c r="P74" s="14"/>
      <c r="Q74" s="14"/>
      <c r="R74" s="14"/>
      <c r="S74" s="14"/>
      <c r="T74" s="14"/>
      <c r="U74" s="14"/>
      <c r="V74" s="14"/>
      <c r="W74" s="14"/>
      <c r="X74" s="14"/>
      <c r="Y74" s="14"/>
      <c r="Z74" s="14"/>
      <c r="AA74" s="14"/>
      <c r="AB74" s="14"/>
      <c r="AC74" s="14"/>
      <c r="AD74" s="14"/>
      <c r="AE74" s="14"/>
      <c r="AF74" s="14"/>
      <c r="AG74" s="14"/>
      <c r="AH74" s="14"/>
      <c r="AI74" s="14"/>
      <c r="AJ74" s="167">
        <v>46049</v>
      </c>
      <c r="AK74" s="14">
        <v>695.49</v>
      </c>
      <c r="AL74" s="14" t="s">
        <v>562</v>
      </c>
      <c r="AM74" s="14" t="s">
        <v>154</v>
      </c>
      <c r="AN74" s="14">
        <f>IF('ETF Data'!$H$2,IF(ISNUMBER(AK74),AK74,NA()),NA())</f>
        <v>695.49</v>
      </c>
      <c r="AO74" s="14"/>
      <c r="AP74" s="14"/>
      <c r="AQ74" s="14"/>
      <c r="AR74" s="14"/>
      <c r="AS74" s="14"/>
      <c r="AT74" s="14"/>
      <c r="AU74" s="14"/>
      <c r="AV74" s="14"/>
      <c r="AW74" s="14"/>
      <c r="AX74" s="14"/>
      <c r="AY74" s="14"/>
      <c r="AZ74" s="14"/>
      <c r="BA74" s="14"/>
      <c r="BB74" s="14"/>
      <c r="BC74" s="14"/>
      <c r="BD74" s="14"/>
      <c r="BE74" s="14"/>
      <c r="BF74" s="14"/>
      <c r="BG74" s="14"/>
      <c r="BH74" s="14"/>
      <c r="BI74" s="14"/>
    </row>
    <row r="75" spans="1:61">
      <c r="A75" s="14" t="s">
        <v>486</v>
      </c>
      <c r="B75" s="14" t="s">
        <v>797</v>
      </c>
      <c r="C75" s="14"/>
      <c r="D75" s="14">
        <v>46307</v>
      </c>
      <c r="E75" s="14" t="s">
        <v>261</v>
      </c>
      <c r="F75" s="14" t="s">
        <v>557</v>
      </c>
      <c r="G75" s="14" t="s">
        <v>798</v>
      </c>
      <c r="H75" s="14"/>
      <c r="I75" s="14"/>
      <c r="J75" s="14" t="s">
        <v>807</v>
      </c>
      <c r="K75" s="14" t="s">
        <v>808</v>
      </c>
      <c r="L75" s="14">
        <v>2.3919800000000001E-3</v>
      </c>
      <c r="M75" s="14">
        <v>46304</v>
      </c>
      <c r="N75" s="14" t="s">
        <v>279</v>
      </c>
      <c r="O75" s="14"/>
      <c r="P75" s="14"/>
      <c r="Q75" s="14"/>
      <c r="R75" s="14"/>
      <c r="S75" s="14"/>
      <c r="T75" s="14"/>
      <c r="U75" s="14"/>
      <c r="V75" s="14"/>
      <c r="W75" s="14"/>
      <c r="X75" s="14"/>
      <c r="Y75" s="14"/>
      <c r="Z75" s="14"/>
      <c r="AA75" s="14"/>
      <c r="AB75" s="14"/>
      <c r="AC75" s="14"/>
      <c r="AD75" s="14"/>
      <c r="AE75" s="14"/>
      <c r="AF75" s="14"/>
      <c r="AG75" s="14"/>
      <c r="AH75" s="14"/>
      <c r="AI75" s="14"/>
      <c r="AJ75" s="167">
        <v>46050</v>
      </c>
      <c r="AK75" s="14">
        <v>695.42</v>
      </c>
      <c r="AL75" s="14" t="s">
        <v>562</v>
      </c>
      <c r="AM75" s="14" t="s">
        <v>154</v>
      </c>
      <c r="AN75" s="14">
        <f>IF('ETF Data'!$H$2,IF(ISNUMBER(AK75),AK75,NA()),NA())</f>
        <v>695.42</v>
      </c>
      <c r="AO75" s="14"/>
      <c r="AP75" s="14"/>
      <c r="AQ75" s="14"/>
      <c r="AR75" s="14"/>
      <c r="AS75" s="14"/>
      <c r="AT75" s="14"/>
      <c r="AU75" s="14"/>
      <c r="AV75" s="14"/>
      <c r="AW75" s="14"/>
      <c r="AX75" s="14"/>
      <c r="AY75" s="14"/>
      <c r="AZ75" s="14"/>
      <c r="BA75" s="14"/>
      <c r="BB75" s="14"/>
      <c r="BC75" s="14"/>
      <c r="BD75" s="14"/>
      <c r="BE75" s="14"/>
      <c r="BF75" s="14"/>
      <c r="BG75" s="14"/>
      <c r="BH75" s="14"/>
      <c r="BI75" s="14"/>
    </row>
    <row r="76" spans="1:61">
      <c r="A76" s="14" t="s">
        <v>491</v>
      </c>
      <c r="B76" s="14" t="s">
        <v>801</v>
      </c>
      <c r="C76" s="14"/>
      <c r="D76" s="14">
        <v>46307</v>
      </c>
      <c r="E76" s="14" t="s">
        <v>261</v>
      </c>
      <c r="F76" s="14" t="s">
        <v>557</v>
      </c>
      <c r="G76" s="14" t="s">
        <v>802</v>
      </c>
      <c r="H76" s="14"/>
      <c r="I76" s="14"/>
      <c r="J76" s="14" t="s">
        <v>783</v>
      </c>
      <c r="K76" s="14" t="s">
        <v>784</v>
      </c>
      <c r="L76" s="14">
        <v>2.3322400000000002E-3</v>
      </c>
      <c r="M76" s="14">
        <v>46304</v>
      </c>
      <c r="N76" s="14" t="s">
        <v>279</v>
      </c>
      <c r="O76" s="14"/>
      <c r="P76" s="14"/>
      <c r="Q76" s="14"/>
      <c r="R76" s="14"/>
      <c r="S76" s="14"/>
      <c r="T76" s="14"/>
      <c r="U76" s="14"/>
      <c r="V76" s="14"/>
      <c r="W76" s="14"/>
      <c r="X76" s="14"/>
      <c r="Y76" s="14"/>
      <c r="Z76" s="14"/>
      <c r="AA76" s="14"/>
      <c r="AB76" s="14"/>
      <c r="AC76" s="14"/>
      <c r="AD76" s="14"/>
      <c r="AE76" s="14"/>
      <c r="AF76" s="14"/>
      <c r="AG76" s="14"/>
      <c r="AH76" s="14"/>
      <c r="AI76" s="14"/>
      <c r="AJ76" s="167">
        <v>46051</v>
      </c>
      <c r="AK76" s="14">
        <v>694.04</v>
      </c>
      <c r="AL76" s="14" t="s">
        <v>562</v>
      </c>
      <c r="AM76" s="14" t="s">
        <v>154</v>
      </c>
      <c r="AN76" s="14">
        <f>IF('ETF Data'!$H$2,IF(ISNUMBER(AK76),AK76,NA()),NA())</f>
        <v>694.04</v>
      </c>
      <c r="AO76" s="14"/>
      <c r="AP76" s="14"/>
      <c r="AQ76" s="14"/>
      <c r="AR76" s="14"/>
      <c r="AS76" s="14"/>
      <c r="AT76" s="14"/>
      <c r="AU76" s="14"/>
      <c r="AV76" s="14"/>
      <c r="AW76" s="14"/>
      <c r="AX76" s="14"/>
      <c r="AY76" s="14"/>
      <c r="AZ76" s="14"/>
      <c r="BA76" s="14"/>
      <c r="BB76" s="14"/>
      <c r="BC76" s="14"/>
      <c r="BD76" s="14"/>
      <c r="BE76" s="14"/>
      <c r="BF76" s="14"/>
      <c r="BG76" s="14"/>
      <c r="BH76" s="14"/>
      <c r="BI76" s="14"/>
    </row>
    <row r="77" spans="1:61">
      <c r="A77" s="14" t="s">
        <v>494</v>
      </c>
      <c r="B77" s="14" t="s">
        <v>599</v>
      </c>
      <c r="C77" s="14"/>
      <c r="D77" s="14"/>
      <c r="E77" s="14"/>
      <c r="F77" s="14" t="s">
        <v>600</v>
      </c>
      <c r="G77" s="14"/>
      <c r="H77" s="14"/>
      <c r="I77" s="14"/>
      <c r="J77" s="14" t="s">
        <v>799</v>
      </c>
      <c r="K77" s="14" t="s">
        <v>800</v>
      </c>
      <c r="L77" s="14">
        <v>2.31744E-3</v>
      </c>
      <c r="M77" s="14">
        <v>46304</v>
      </c>
      <c r="N77" s="14" t="s">
        <v>279</v>
      </c>
      <c r="O77" s="14"/>
      <c r="P77" s="14"/>
      <c r="Q77" s="14"/>
      <c r="R77" s="14"/>
      <c r="S77" s="14"/>
      <c r="T77" s="14"/>
      <c r="U77" s="14"/>
      <c r="V77" s="14"/>
      <c r="W77" s="14"/>
      <c r="X77" s="14"/>
      <c r="Y77" s="14"/>
      <c r="Z77" s="14"/>
      <c r="AA77" s="14"/>
      <c r="AB77" s="14"/>
      <c r="AC77" s="14"/>
      <c r="AD77" s="14"/>
      <c r="AE77" s="14"/>
      <c r="AF77" s="14"/>
      <c r="AG77" s="14"/>
      <c r="AH77" s="14"/>
      <c r="AI77" s="14"/>
      <c r="AJ77" s="167">
        <v>46052</v>
      </c>
      <c r="AK77" s="14">
        <v>691.97</v>
      </c>
      <c r="AL77" s="14" t="s">
        <v>562</v>
      </c>
      <c r="AM77" s="14" t="s">
        <v>154</v>
      </c>
      <c r="AN77" s="14">
        <f>IF('ETF Data'!$H$2,IF(ISNUMBER(AK77),AK77,NA()),NA())</f>
        <v>691.97</v>
      </c>
      <c r="AO77" s="14"/>
      <c r="AP77" s="14"/>
      <c r="AQ77" s="14"/>
      <c r="AR77" s="14"/>
      <c r="AS77" s="14"/>
      <c r="AT77" s="14"/>
      <c r="AU77" s="14"/>
      <c r="AV77" s="14"/>
      <c r="AW77" s="14"/>
      <c r="AX77" s="14"/>
      <c r="AY77" s="14"/>
      <c r="AZ77" s="14"/>
      <c r="BA77" s="14"/>
      <c r="BB77" s="14"/>
      <c r="BC77" s="14"/>
      <c r="BD77" s="14"/>
      <c r="BE77" s="14"/>
      <c r="BF77" s="14"/>
      <c r="BG77" s="14"/>
      <c r="BH77" s="14"/>
      <c r="BI77" s="14"/>
    </row>
    <row r="78" spans="1:61">
      <c r="A78" s="14" t="s">
        <v>497</v>
      </c>
      <c r="B78" s="14" t="s">
        <v>1080</v>
      </c>
      <c r="C78" s="14"/>
      <c r="D78" s="14">
        <v>46307</v>
      </c>
      <c r="E78" s="14" t="s">
        <v>261</v>
      </c>
      <c r="F78" s="14" t="s">
        <v>557</v>
      </c>
      <c r="G78" s="14" t="s">
        <v>1081</v>
      </c>
      <c r="H78" s="14"/>
      <c r="I78" s="14"/>
      <c r="J78" s="14" t="s">
        <v>795</v>
      </c>
      <c r="K78" s="14" t="s">
        <v>796</v>
      </c>
      <c r="L78" s="14">
        <v>2.31453E-3</v>
      </c>
      <c r="M78" s="14">
        <v>46304</v>
      </c>
      <c r="N78" s="14" t="s">
        <v>279</v>
      </c>
      <c r="O78" s="14"/>
      <c r="P78" s="14"/>
      <c r="Q78" s="14"/>
      <c r="R78" s="14"/>
      <c r="S78" s="14"/>
      <c r="T78" s="14"/>
      <c r="U78" s="14"/>
      <c r="V78" s="14"/>
      <c r="W78" s="14"/>
      <c r="X78" s="14"/>
      <c r="Y78" s="14"/>
      <c r="Z78" s="14"/>
      <c r="AA78" s="14"/>
      <c r="AB78" s="14"/>
      <c r="AC78" s="14"/>
      <c r="AD78" s="14"/>
      <c r="AE78" s="14"/>
      <c r="AF78" s="14"/>
      <c r="AG78" s="14"/>
      <c r="AH78" s="14"/>
      <c r="AI78" s="14"/>
      <c r="AJ78" s="167">
        <v>46055</v>
      </c>
      <c r="AK78" s="14">
        <v>695.41</v>
      </c>
      <c r="AL78" s="14" t="s">
        <v>562</v>
      </c>
      <c r="AM78" s="14" t="s">
        <v>154</v>
      </c>
      <c r="AN78" s="14">
        <f>IF('ETF Data'!$H$2,IF(ISNUMBER(AK78),AK78,NA()),NA())</f>
        <v>695.41</v>
      </c>
      <c r="AO78" s="14"/>
      <c r="AP78" s="14"/>
      <c r="AQ78" s="14"/>
      <c r="AR78" s="14"/>
      <c r="AS78" s="14"/>
      <c r="AT78" s="14"/>
      <c r="AU78" s="14"/>
      <c r="AV78" s="14"/>
      <c r="AW78" s="14"/>
      <c r="AX78" s="14"/>
      <c r="AY78" s="14"/>
      <c r="AZ78" s="14"/>
      <c r="BA78" s="14"/>
      <c r="BB78" s="14"/>
      <c r="BC78" s="14"/>
      <c r="BD78" s="14"/>
      <c r="BE78" s="14"/>
      <c r="BF78" s="14"/>
      <c r="BG78" s="14"/>
      <c r="BH78" s="14"/>
      <c r="BI78" s="14"/>
    </row>
    <row r="79" spans="1:61">
      <c r="A79" s="14" t="s">
        <v>505</v>
      </c>
      <c r="B79" s="14" t="s">
        <v>599</v>
      </c>
      <c r="C79" s="14"/>
      <c r="D79" s="14"/>
      <c r="E79" s="14"/>
      <c r="F79" s="14" t="s">
        <v>600</v>
      </c>
      <c r="G79" s="14"/>
      <c r="H79" s="14"/>
      <c r="I79" s="14"/>
      <c r="J79" s="14" t="s">
        <v>819</v>
      </c>
      <c r="K79" s="14" t="s">
        <v>820</v>
      </c>
      <c r="L79" s="14">
        <v>2.2759899999999999E-3</v>
      </c>
      <c r="M79" s="14">
        <v>46304</v>
      </c>
      <c r="N79" s="14" t="s">
        <v>279</v>
      </c>
      <c r="O79" s="14"/>
      <c r="P79" s="14"/>
      <c r="Q79" s="14"/>
      <c r="R79" s="14"/>
      <c r="S79" s="14"/>
      <c r="T79" s="14"/>
      <c r="U79" s="14"/>
      <c r="V79" s="14"/>
      <c r="W79" s="14"/>
      <c r="X79" s="14"/>
      <c r="Y79" s="14"/>
      <c r="Z79" s="14"/>
      <c r="AA79" s="14"/>
      <c r="AB79" s="14"/>
      <c r="AC79" s="14"/>
      <c r="AD79" s="14"/>
      <c r="AE79" s="14"/>
      <c r="AF79" s="14"/>
      <c r="AG79" s="14"/>
      <c r="AH79" s="14"/>
      <c r="AI79" s="14"/>
      <c r="AJ79" s="167">
        <v>46056</v>
      </c>
      <c r="AK79" s="14">
        <v>689.53</v>
      </c>
      <c r="AL79" s="14" t="s">
        <v>562</v>
      </c>
      <c r="AM79" s="14" t="s">
        <v>154</v>
      </c>
      <c r="AN79" s="14">
        <f>IF('ETF Data'!$H$2,IF(ISNUMBER(AK79),AK79,NA()),NA())</f>
        <v>689.53</v>
      </c>
      <c r="AO79" s="14"/>
      <c r="AP79" s="14"/>
      <c r="AQ79" s="14"/>
      <c r="AR79" s="14"/>
      <c r="AS79" s="14"/>
      <c r="AT79" s="14"/>
      <c r="AU79" s="14"/>
      <c r="AV79" s="14"/>
      <c r="AW79" s="14"/>
      <c r="AX79" s="14"/>
      <c r="AY79" s="14"/>
      <c r="AZ79" s="14"/>
      <c r="BA79" s="14"/>
      <c r="BB79" s="14"/>
      <c r="BC79" s="14"/>
      <c r="BD79" s="14"/>
      <c r="BE79" s="14"/>
      <c r="BF79" s="14"/>
      <c r="BG79" s="14"/>
      <c r="BH79" s="14"/>
      <c r="BI79" s="14"/>
    </row>
    <row r="80" spans="1:61">
      <c r="A80" s="14" t="s">
        <v>507</v>
      </c>
      <c r="B80" s="14" t="s">
        <v>599</v>
      </c>
      <c r="C80" s="14"/>
      <c r="D80" s="14"/>
      <c r="E80" s="14"/>
      <c r="F80" s="14" t="s">
        <v>600</v>
      </c>
      <c r="G80" s="14"/>
      <c r="H80" s="14"/>
      <c r="I80" s="14"/>
      <c r="J80" s="14" t="s">
        <v>779</v>
      </c>
      <c r="K80" s="14" t="s">
        <v>780</v>
      </c>
      <c r="L80" s="14">
        <v>2.2596299999999999E-3</v>
      </c>
      <c r="M80" s="14">
        <v>46304</v>
      </c>
      <c r="N80" s="14" t="s">
        <v>279</v>
      </c>
      <c r="O80" s="14"/>
      <c r="P80" s="14"/>
      <c r="Q80" s="14"/>
      <c r="R80" s="14"/>
      <c r="S80" s="14"/>
      <c r="T80" s="14"/>
      <c r="U80" s="14"/>
      <c r="V80" s="14"/>
      <c r="W80" s="14"/>
      <c r="X80" s="14"/>
      <c r="Y80" s="14"/>
      <c r="Z80" s="14"/>
      <c r="AA80" s="14"/>
      <c r="AB80" s="14"/>
      <c r="AC80" s="14"/>
      <c r="AD80" s="14"/>
      <c r="AE80" s="14"/>
      <c r="AF80" s="14"/>
      <c r="AG80" s="14"/>
      <c r="AH80" s="14"/>
      <c r="AI80" s="14"/>
      <c r="AJ80" s="167">
        <v>46057</v>
      </c>
      <c r="AK80" s="14">
        <v>686.19</v>
      </c>
      <c r="AL80" s="14" t="s">
        <v>562</v>
      </c>
      <c r="AM80" s="14" t="s">
        <v>154</v>
      </c>
      <c r="AN80" s="14">
        <f>IF('ETF Data'!$H$2,IF(ISNUMBER(AK80),AK80,NA()),NA())</f>
        <v>686.19</v>
      </c>
      <c r="AO80" s="14"/>
      <c r="AP80" s="14"/>
      <c r="AQ80" s="14"/>
      <c r="AR80" s="14"/>
      <c r="AS80" s="14"/>
      <c r="AT80" s="14"/>
      <c r="AU80" s="14"/>
      <c r="AV80" s="14"/>
      <c r="AW80" s="14"/>
      <c r="AX80" s="14"/>
      <c r="AY80" s="14"/>
      <c r="AZ80" s="14"/>
      <c r="BA80" s="14"/>
      <c r="BB80" s="14"/>
      <c r="BC80" s="14"/>
      <c r="BD80" s="14"/>
      <c r="BE80" s="14"/>
      <c r="BF80" s="14"/>
      <c r="BG80" s="14"/>
      <c r="BH80" s="14"/>
      <c r="BI80" s="14"/>
    </row>
    <row r="81" spans="1:61">
      <c r="A81" s="14" t="s">
        <v>509</v>
      </c>
      <c r="B81" s="14" t="s">
        <v>599</v>
      </c>
      <c r="C81" s="14"/>
      <c r="D81" s="14"/>
      <c r="E81" s="14"/>
      <c r="F81" s="14" t="s">
        <v>600</v>
      </c>
      <c r="G81" s="14"/>
      <c r="H81" s="14"/>
      <c r="I81" s="14"/>
      <c r="J81" s="14" t="s">
        <v>803</v>
      </c>
      <c r="K81" s="14" t="s">
        <v>804</v>
      </c>
      <c r="L81" s="14">
        <v>2.2340799999999998E-3</v>
      </c>
      <c r="M81" s="14">
        <v>46304</v>
      </c>
      <c r="N81" s="14" t="s">
        <v>279</v>
      </c>
      <c r="O81" s="14"/>
      <c r="P81" s="14"/>
      <c r="Q81" s="14"/>
      <c r="R81" s="14"/>
      <c r="S81" s="14"/>
      <c r="T81" s="14"/>
      <c r="U81" s="14"/>
      <c r="V81" s="14"/>
      <c r="W81" s="14"/>
      <c r="X81" s="14"/>
      <c r="Y81" s="14"/>
      <c r="Z81" s="14"/>
      <c r="AA81" s="14"/>
      <c r="AB81" s="14"/>
      <c r="AC81" s="14"/>
      <c r="AD81" s="14"/>
      <c r="AE81" s="14"/>
      <c r="AF81" s="14"/>
      <c r="AG81" s="14"/>
      <c r="AH81" s="14"/>
      <c r="AI81" s="14"/>
      <c r="AJ81" s="167">
        <v>46058</v>
      </c>
      <c r="AK81" s="14">
        <v>677.62</v>
      </c>
      <c r="AL81" s="14" t="s">
        <v>562</v>
      </c>
      <c r="AM81" s="14" t="s">
        <v>154</v>
      </c>
      <c r="AN81" s="14">
        <f>IF('ETF Data'!$H$2,IF(ISNUMBER(AK81),AK81,NA()),NA())</f>
        <v>677.62</v>
      </c>
      <c r="AO81" s="14"/>
      <c r="AP81" s="14"/>
      <c r="AQ81" s="14"/>
      <c r="AR81" s="14"/>
      <c r="AS81" s="14"/>
      <c r="AT81" s="14"/>
      <c r="AU81" s="14"/>
      <c r="AV81" s="14"/>
      <c r="AW81" s="14"/>
      <c r="AX81" s="14"/>
      <c r="AY81" s="14"/>
      <c r="AZ81" s="14"/>
      <c r="BA81" s="14"/>
      <c r="BB81" s="14"/>
      <c r="BC81" s="14"/>
      <c r="BD81" s="14"/>
      <c r="BE81" s="14"/>
      <c r="BF81" s="14"/>
      <c r="BG81" s="14"/>
      <c r="BH81" s="14"/>
      <c r="BI81" s="14"/>
    </row>
    <row r="82" spans="1:61">
      <c r="A82" s="14" t="s">
        <v>511</v>
      </c>
      <c r="B82" s="14" t="s">
        <v>599</v>
      </c>
      <c r="C82" s="14"/>
      <c r="D82" s="14"/>
      <c r="E82" s="14"/>
      <c r="F82" s="14" t="s">
        <v>600</v>
      </c>
      <c r="G82" s="14"/>
      <c r="H82" s="14"/>
      <c r="I82" s="14"/>
      <c r="J82" s="14" t="s">
        <v>831</v>
      </c>
      <c r="K82" s="14" t="s">
        <v>832</v>
      </c>
      <c r="L82" s="14">
        <v>2.2238000000000002E-3</v>
      </c>
      <c r="M82" s="14">
        <v>46304</v>
      </c>
      <c r="N82" s="14" t="s">
        <v>279</v>
      </c>
      <c r="O82" s="14"/>
      <c r="P82" s="14"/>
      <c r="Q82" s="14"/>
      <c r="R82" s="14"/>
      <c r="S82" s="14"/>
      <c r="T82" s="14"/>
      <c r="U82" s="14"/>
      <c r="V82" s="14"/>
      <c r="W82" s="14"/>
      <c r="X82" s="14"/>
      <c r="Y82" s="14"/>
      <c r="Z82" s="14"/>
      <c r="AA82" s="14"/>
      <c r="AB82" s="14"/>
      <c r="AC82" s="14"/>
      <c r="AD82" s="14"/>
      <c r="AE82" s="14"/>
      <c r="AF82" s="14"/>
      <c r="AG82" s="14"/>
      <c r="AH82" s="14"/>
      <c r="AI82" s="14"/>
      <c r="AJ82" s="167">
        <v>46059</v>
      </c>
      <c r="AK82" s="14">
        <v>690.62</v>
      </c>
      <c r="AL82" s="14" t="s">
        <v>562</v>
      </c>
      <c r="AM82" s="14" t="s">
        <v>154</v>
      </c>
      <c r="AN82" s="14">
        <f>IF('ETF Data'!$H$2,IF(ISNUMBER(AK82),AK82,NA()),NA())</f>
        <v>690.62</v>
      </c>
      <c r="AO82" s="14"/>
      <c r="AP82" s="14"/>
      <c r="AQ82" s="14"/>
      <c r="AR82" s="14"/>
      <c r="AS82" s="14"/>
      <c r="AT82" s="14"/>
      <c r="AU82" s="14"/>
      <c r="AV82" s="14"/>
      <c r="AW82" s="14"/>
      <c r="AX82" s="14"/>
      <c r="AY82" s="14"/>
      <c r="AZ82" s="14"/>
      <c r="BA82" s="14"/>
      <c r="BB82" s="14"/>
      <c r="BC82" s="14"/>
      <c r="BD82" s="14"/>
      <c r="BE82" s="14"/>
      <c r="BF82" s="14"/>
      <c r="BG82" s="14"/>
      <c r="BH82" s="14"/>
      <c r="BI82" s="14"/>
    </row>
    <row r="83" spans="1:61">
      <c r="A83" s="14" t="s">
        <v>513</v>
      </c>
      <c r="B83" s="14" t="s">
        <v>599</v>
      </c>
      <c r="C83" s="14"/>
      <c r="D83" s="14"/>
      <c r="E83" s="14"/>
      <c r="F83" s="14" t="s">
        <v>600</v>
      </c>
      <c r="G83" s="14"/>
      <c r="H83" s="14"/>
      <c r="I83" s="14"/>
      <c r="J83" s="14" t="s">
        <v>815</v>
      </c>
      <c r="K83" s="14" t="s">
        <v>816</v>
      </c>
      <c r="L83" s="14">
        <v>2.1687400000000002E-3</v>
      </c>
      <c r="M83" s="14">
        <v>46304</v>
      </c>
      <c r="N83" s="14" t="s">
        <v>279</v>
      </c>
      <c r="O83" s="14"/>
      <c r="P83" s="14"/>
      <c r="Q83" s="14"/>
      <c r="R83" s="14"/>
      <c r="S83" s="14"/>
      <c r="T83" s="14"/>
      <c r="U83" s="14"/>
      <c r="V83" s="14"/>
      <c r="W83" s="14"/>
      <c r="X83" s="14"/>
      <c r="Y83" s="14"/>
      <c r="Z83" s="14"/>
      <c r="AA83" s="14"/>
      <c r="AB83" s="14"/>
      <c r="AC83" s="14"/>
      <c r="AD83" s="14"/>
      <c r="AE83" s="14"/>
      <c r="AF83" s="14"/>
      <c r="AG83" s="14"/>
      <c r="AH83" s="14"/>
      <c r="AI83" s="14"/>
      <c r="AJ83" s="167">
        <v>46062</v>
      </c>
      <c r="AK83" s="14">
        <v>693.95</v>
      </c>
      <c r="AL83" s="14" t="s">
        <v>562</v>
      </c>
      <c r="AM83" s="14" t="s">
        <v>154</v>
      </c>
      <c r="AN83" s="14">
        <f>IF('ETF Data'!$H$2,IF(ISNUMBER(AK83),AK83,NA()),NA())</f>
        <v>693.95</v>
      </c>
      <c r="AO83" s="14"/>
      <c r="AP83" s="14"/>
      <c r="AQ83" s="14"/>
      <c r="AR83" s="14"/>
      <c r="AS83" s="14"/>
      <c r="AT83" s="14"/>
      <c r="AU83" s="14"/>
      <c r="AV83" s="14"/>
      <c r="AW83" s="14"/>
      <c r="AX83" s="14"/>
      <c r="AY83" s="14"/>
      <c r="AZ83" s="14"/>
      <c r="BA83" s="14"/>
      <c r="BB83" s="14"/>
      <c r="BC83" s="14"/>
      <c r="BD83" s="14"/>
      <c r="BE83" s="14"/>
      <c r="BF83" s="14"/>
      <c r="BG83" s="14"/>
      <c r="BH83" s="14"/>
      <c r="BI83" s="14"/>
    </row>
    <row r="84" spans="1:61">
      <c r="A84" s="14" t="s">
        <v>516</v>
      </c>
      <c r="B84" s="14" t="s">
        <v>599</v>
      </c>
      <c r="C84" s="14"/>
      <c r="D84" s="14"/>
      <c r="E84" s="14"/>
      <c r="F84" s="14" t="s">
        <v>600</v>
      </c>
      <c r="G84" s="14"/>
      <c r="H84" s="14"/>
      <c r="I84" s="14"/>
      <c r="J84" s="14" t="s">
        <v>817</v>
      </c>
      <c r="K84" s="14" t="s">
        <v>818</v>
      </c>
      <c r="L84" s="14">
        <v>2.1623100000000002E-3</v>
      </c>
      <c r="M84" s="14">
        <v>46304</v>
      </c>
      <c r="N84" s="14" t="s">
        <v>279</v>
      </c>
      <c r="O84" s="14"/>
      <c r="P84" s="14"/>
      <c r="Q84" s="14"/>
      <c r="R84" s="14"/>
      <c r="S84" s="14"/>
      <c r="T84" s="14"/>
      <c r="U84" s="14"/>
      <c r="V84" s="14"/>
      <c r="W84" s="14"/>
      <c r="X84" s="14"/>
      <c r="Y84" s="14"/>
      <c r="Z84" s="14"/>
      <c r="AA84" s="14"/>
      <c r="AB84" s="14"/>
      <c r="AC84" s="14"/>
      <c r="AD84" s="14"/>
      <c r="AE84" s="14"/>
      <c r="AF84" s="14"/>
      <c r="AG84" s="14"/>
      <c r="AH84" s="14"/>
      <c r="AI84" s="14"/>
      <c r="AJ84" s="167">
        <v>46063</v>
      </c>
      <c r="AK84" s="14">
        <v>692.12</v>
      </c>
      <c r="AL84" s="14" t="s">
        <v>562</v>
      </c>
      <c r="AM84" s="14" t="s">
        <v>154</v>
      </c>
      <c r="AN84" s="14">
        <f>IF('ETF Data'!$H$2,IF(ISNUMBER(AK84),AK84,NA()),NA())</f>
        <v>692.12</v>
      </c>
      <c r="AO84" s="14"/>
      <c r="AP84" s="14"/>
      <c r="AQ84" s="14"/>
      <c r="AR84" s="14"/>
      <c r="AS84" s="14"/>
      <c r="AT84" s="14"/>
      <c r="AU84" s="14"/>
      <c r="AV84" s="14"/>
      <c r="AW84" s="14"/>
      <c r="AX84" s="14"/>
      <c r="AY84" s="14"/>
      <c r="AZ84" s="14"/>
      <c r="BA84" s="14"/>
      <c r="BB84" s="14"/>
      <c r="BC84" s="14"/>
      <c r="BD84" s="14"/>
      <c r="BE84" s="14"/>
      <c r="BF84" s="14"/>
      <c r="BG84" s="14"/>
      <c r="BH84" s="14"/>
      <c r="BI84" s="14"/>
    </row>
    <row r="85" spans="1:61">
      <c r="A85" s="14" t="s">
        <v>518</v>
      </c>
      <c r="B85" s="14" t="s">
        <v>599</v>
      </c>
      <c r="C85" s="14"/>
      <c r="D85" s="14"/>
      <c r="E85" s="14"/>
      <c r="F85" s="14" t="s">
        <v>600</v>
      </c>
      <c r="G85" s="14"/>
      <c r="H85" s="14"/>
      <c r="I85" s="14"/>
      <c r="J85" s="14" t="s">
        <v>811</v>
      </c>
      <c r="K85" s="14" t="s">
        <v>812</v>
      </c>
      <c r="L85" s="14">
        <v>2.1266700000000002E-3</v>
      </c>
      <c r="M85" s="14">
        <v>46304</v>
      </c>
      <c r="N85" s="14" t="s">
        <v>279</v>
      </c>
      <c r="O85" s="14"/>
      <c r="P85" s="14"/>
      <c r="Q85" s="14"/>
      <c r="R85" s="14"/>
      <c r="S85" s="14"/>
      <c r="T85" s="14"/>
      <c r="U85" s="14"/>
      <c r="V85" s="14"/>
      <c r="W85" s="14"/>
      <c r="X85" s="14"/>
      <c r="Y85" s="14"/>
      <c r="Z85" s="14"/>
      <c r="AA85" s="14"/>
      <c r="AB85" s="14"/>
      <c r="AC85" s="14"/>
      <c r="AD85" s="14"/>
      <c r="AE85" s="14"/>
      <c r="AF85" s="14"/>
      <c r="AG85" s="14"/>
      <c r="AH85" s="14"/>
      <c r="AI85" s="14"/>
      <c r="AJ85" s="167">
        <v>46064</v>
      </c>
      <c r="AK85" s="14">
        <v>691.96</v>
      </c>
      <c r="AL85" s="14" t="s">
        <v>562</v>
      </c>
      <c r="AM85" s="14" t="s">
        <v>154</v>
      </c>
      <c r="AN85" s="14">
        <f>IF('ETF Data'!$H$2,IF(ISNUMBER(AK85),AK85,NA()),NA())</f>
        <v>691.96</v>
      </c>
      <c r="AO85" s="14"/>
      <c r="AP85" s="14"/>
      <c r="AQ85" s="14"/>
      <c r="AR85" s="14"/>
      <c r="AS85" s="14"/>
      <c r="AT85" s="14"/>
      <c r="AU85" s="14"/>
      <c r="AV85" s="14"/>
      <c r="AW85" s="14"/>
      <c r="AX85" s="14"/>
      <c r="AY85" s="14"/>
      <c r="AZ85" s="14"/>
      <c r="BA85" s="14"/>
      <c r="BB85" s="14"/>
      <c r="BC85" s="14"/>
      <c r="BD85" s="14"/>
      <c r="BE85" s="14"/>
      <c r="BF85" s="14"/>
      <c r="BG85" s="14"/>
      <c r="BH85" s="14"/>
      <c r="BI85" s="14"/>
    </row>
    <row r="86" spans="1:61">
      <c r="A86" s="14" t="s">
        <v>520</v>
      </c>
      <c r="B86" s="14" t="s">
        <v>599</v>
      </c>
      <c r="C86" s="14"/>
      <c r="D86" s="14"/>
      <c r="E86" s="14"/>
      <c r="F86" s="14" t="s">
        <v>600</v>
      </c>
      <c r="G86" s="14"/>
      <c r="H86" s="14"/>
      <c r="I86" s="14"/>
      <c r="J86" s="14" t="s">
        <v>827</v>
      </c>
      <c r="K86" s="14" t="s">
        <v>828</v>
      </c>
      <c r="L86" s="14">
        <v>2.0420199999999999E-3</v>
      </c>
      <c r="M86" s="14">
        <v>46304</v>
      </c>
      <c r="N86" s="14" t="s">
        <v>279</v>
      </c>
      <c r="O86" s="14"/>
      <c r="P86" s="14"/>
      <c r="Q86" s="14"/>
      <c r="R86" s="14"/>
      <c r="S86" s="14"/>
      <c r="T86" s="14"/>
      <c r="U86" s="14"/>
      <c r="V86" s="14"/>
      <c r="W86" s="14"/>
      <c r="X86" s="14"/>
      <c r="Y86" s="14"/>
      <c r="Z86" s="14"/>
      <c r="AA86" s="14"/>
      <c r="AB86" s="14"/>
      <c r="AC86" s="14"/>
      <c r="AD86" s="14"/>
      <c r="AE86" s="14"/>
      <c r="AF86" s="14"/>
      <c r="AG86" s="14"/>
      <c r="AH86" s="14"/>
      <c r="AI86" s="14"/>
      <c r="AJ86" s="167">
        <v>46065</v>
      </c>
      <c r="AK86" s="14">
        <v>681.27</v>
      </c>
      <c r="AL86" s="14" t="s">
        <v>562</v>
      </c>
      <c r="AM86" s="14" t="s">
        <v>154</v>
      </c>
      <c r="AN86" s="14">
        <f>IF('ETF Data'!$H$2,IF(ISNUMBER(AK86),AK86,NA()),NA())</f>
        <v>681.27</v>
      </c>
      <c r="AO86" s="14"/>
      <c r="AP86" s="14"/>
      <c r="AQ86" s="14"/>
      <c r="AR86" s="14"/>
      <c r="AS86" s="14"/>
      <c r="AT86" s="14"/>
      <c r="AU86" s="14"/>
      <c r="AV86" s="14"/>
      <c r="AW86" s="14"/>
      <c r="AX86" s="14"/>
      <c r="AY86" s="14"/>
      <c r="AZ86" s="14"/>
      <c r="BA86" s="14"/>
      <c r="BB86" s="14"/>
      <c r="BC86" s="14"/>
      <c r="BD86" s="14"/>
      <c r="BE86" s="14"/>
      <c r="BF86" s="14"/>
      <c r="BG86" s="14"/>
      <c r="BH86" s="14"/>
      <c r="BI86" s="14"/>
    </row>
    <row r="87" spans="1:61">
      <c r="A87" s="14" t="s">
        <v>522</v>
      </c>
      <c r="B87" s="14" t="s">
        <v>599</v>
      </c>
      <c r="C87" s="14"/>
      <c r="D87" s="14"/>
      <c r="E87" s="14"/>
      <c r="F87" s="14" t="s">
        <v>600</v>
      </c>
      <c r="G87" s="14"/>
      <c r="H87" s="14"/>
      <c r="I87" s="14"/>
      <c r="J87" s="14" t="s">
        <v>821</v>
      </c>
      <c r="K87" s="14" t="s">
        <v>822</v>
      </c>
      <c r="L87" s="14">
        <v>1.9195200000000001E-3</v>
      </c>
      <c r="M87" s="14">
        <v>46304</v>
      </c>
      <c r="N87" s="14" t="s">
        <v>279</v>
      </c>
      <c r="O87" s="14"/>
      <c r="P87" s="14"/>
      <c r="Q87" s="14"/>
      <c r="R87" s="14"/>
      <c r="S87" s="14"/>
      <c r="T87" s="14"/>
      <c r="U87" s="14"/>
      <c r="V87" s="14"/>
      <c r="W87" s="14"/>
      <c r="X87" s="14"/>
      <c r="Y87" s="14"/>
      <c r="Z87" s="14"/>
      <c r="AA87" s="14"/>
      <c r="AB87" s="14"/>
      <c r="AC87" s="14"/>
      <c r="AD87" s="14"/>
      <c r="AE87" s="14"/>
      <c r="AF87" s="14"/>
      <c r="AG87" s="14"/>
      <c r="AH87" s="14"/>
      <c r="AI87" s="14"/>
      <c r="AJ87" s="167">
        <v>46066</v>
      </c>
      <c r="AK87" s="14">
        <v>681.75</v>
      </c>
      <c r="AL87" s="14" t="s">
        <v>562</v>
      </c>
      <c r="AM87" s="14" t="s">
        <v>154</v>
      </c>
      <c r="AN87" s="14">
        <f>IF('ETF Data'!$H$2,IF(ISNUMBER(AK87),AK87,NA()),NA())</f>
        <v>681.75</v>
      </c>
      <c r="AO87" s="14"/>
      <c r="AP87" s="14"/>
      <c r="AQ87" s="14"/>
      <c r="AR87" s="14"/>
      <c r="AS87" s="14"/>
      <c r="AT87" s="14"/>
      <c r="AU87" s="14"/>
      <c r="AV87" s="14"/>
      <c r="AW87" s="14"/>
      <c r="AX87" s="14"/>
      <c r="AY87" s="14"/>
      <c r="AZ87" s="14"/>
      <c r="BA87" s="14"/>
      <c r="BB87" s="14"/>
      <c r="BC87" s="14"/>
      <c r="BD87" s="14"/>
      <c r="BE87" s="14"/>
      <c r="BF87" s="14"/>
      <c r="BG87" s="14"/>
      <c r="BH87" s="14"/>
      <c r="BI87" s="14"/>
    </row>
    <row r="88" spans="1:61">
      <c r="A88" s="14" t="s">
        <v>86</v>
      </c>
      <c r="B88" s="14" t="s">
        <v>1036</v>
      </c>
      <c r="C88" s="14"/>
      <c r="D88" s="14"/>
      <c r="E88" s="14" t="s">
        <v>878</v>
      </c>
      <c r="F88" s="14" t="s">
        <v>608</v>
      </c>
      <c r="G88" s="14"/>
      <c r="H88" s="14"/>
      <c r="I88" s="14"/>
      <c r="J88" s="14" t="s">
        <v>843</v>
      </c>
      <c r="K88" s="14" t="s">
        <v>844</v>
      </c>
      <c r="L88" s="14">
        <v>1.89748E-3</v>
      </c>
      <c r="M88" s="14">
        <v>46304</v>
      </c>
      <c r="N88" s="14" t="s">
        <v>279</v>
      </c>
      <c r="O88" s="14"/>
      <c r="P88" s="14"/>
      <c r="Q88" s="14"/>
      <c r="R88" s="14"/>
      <c r="S88" s="14"/>
      <c r="T88" s="14"/>
      <c r="U88" s="14"/>
      <c r="V88" s="14"/>
      <c r="W88" s="14"/>
      <c r="X88" s="14"/>
      <c r="Y88" s="14"/>
      <c r="Z88" s="14"/>
      <c r="AA88" s="14"/>
      <c r="AB88" s="14"/>
      <c r="AC88" s="14"/>
      <c r="AD88" s="14"/>
      <c r="AE88" s="14"/>
      <c r="AF88" s="14"/>
      <c r="AG88" s="14"/>
      <c r="AH88" s="14"/>
      <c r="AI88" s="14"/>
      <c r="AJ88" s="167">
        <v>46070</v>
      </c>
      <c r="AK88" s="14">
        <v>682.85</v>
      </c>
      <c r="AL88" s="14" t="s">
        <v>562</v>
      </c>
      <c r="AM88" s="14" t="s">
        <v>154</v>
      </c>
      <c r="AN88" s="14">
        <f>IF('ETF Data'!$H$2,IF(ISNUMBER(AK88),AK88,NA()),NA())</f>
        <v>682.85</v>
      </c>
      <c r="AO88" s="14"/>
      <c r="AP88" s="14"/>
      <c r="AQ88" s="14"/>
      <c r="AR88" s="14"/>
      <c r="AS88" s="14"/>
      <c r="AT88" s="14"/>
      <c r="AU88" s="14"/>
      <c r="AV88" s="14"/>
      <c r="AW88" s="14"/>
      <c r="AX88" s="14"/>
      <c r="AY88" s="14"/>
      <c r="AZ88" s="14"/>
      <c r="BA88" s="14"/>
      <c r="BB88" s="14"/>
      <c r="BC88" s="14"/>
      <c r="BD88" s="14"/>
      <c r="BE88" s="14"/>
      <c r="BF88" s="14"/>
      <c r="BG88" s="14"/>
      <c r="BH88" s="14"/>
      <c r="BI88" s="14"/>
    </row>
    <row r="89" spans="1:61">
      <c r="A89" s="14" t="s">
        <v>609</v>
      </c>
      <c r="B89" s="14" t="s">
        <v>258</v>
      </c>
      <c r="C89" s="14"/>
      <c r="D89" s="14"/>
      <c r="E89" s="14" t="s">
        <v>878</v>
      </c>
      <c r="F89" s="14" t="s">
        <v>608</v>
      </c>
      <c r="G89" s="14"/>
      <c r="H89" s="14"/>
      <c r="I89" s="14"/>
      <c r="J89" s="14" t="s">
        <v>1085</v>
      </c>
      <c r="K89" s="14" t="s">
        <v>1086</v>
      </c>
      <c r="L89" s="14">
        <v>1.8952000000000001E-3</v>
      </c>
      <c r="M89" s="14">
        <v>46304</v>
      </c>
      <c r="N89" s="14" t="s">
        <v>279</v>
      </c>
      <c r="O89" s="14"/>
      <c r="P89" s="14"/>
      <c r="Q89" s="14"/>
      <c r="R89" s="14"/>
      <c r="S89" s="14"/>
      <c r="T89" s="14"/>
      <c r="U89" s="14"/>
      <c r="V89" s="14"/>
      <c r="W89" s="14"/>
      <c r="X89" s="14"/>
      <c r="Y89" s="14"/>
      <c r="Z89" s="14"/>
      <c r="AA89" s="14"/>
      <c r="AB89" s="14"/>
      <c r="AC89" s="14"/>
      <c r="AD89" s="14"/>
      <c r="AE89" s="14"/>
      <c r="AF89" s="14"/>
      <c r="AG89" s="14"/>
      <c r="AH89" s="14"/>
      <c r="AI89" s="14"/>
      <c r="AJ89" s="167">
        <v>46071</v>
      </c>
      <c r="AK89" s="14">
        <v>686.29</v>
      </c>
      <c r="AL89" s="14" t="s">
        <v>562</v>
      </c>
      <c r="AM89" s="14" t="s">
        <v>154</v>
      </c>
      <c r="AN89" s="14">
        <f>IF('ETF Data'!$H$2,IF(ISNUMBER(AK89),AK89,NA()),NA())</f>
        <v>686.29</v>
      </c>
      <c r="AO89" s="14"/>
      <c r="AP89" s="14"/>
      <c r="AQ89" s="14"/>
      <c r="AR89" s="14"/>
      <c r="AS89" s="14"/>
      <c r="AT89" s="14"/>
      <c r="AU89" s="14"/>
      <c r="AV89" s="14"/>
      <c r="AW89" s="14"/>
      <c r="AX89" s="14"/>
      <c r="AY89" s="14"/>
      <c r="AZ89" s="14"/>
      <c r="BA89" s="14"/>
      <c r="BB89" s="14"/>
      <c r="BC89" s="14"/>
      <c r="BD89" s="14"/>
      <c r="BE89" s="14"/>
      <c r="BF89" s="14"/>
      <c r="BG89" s="14"/>
      <c r="BH89" s="14"/>
      <c r="BI89" s="14"/>
    </row>
    <row r="90" spans="1:61">
      <c r="A90" s="14" t="s">
        <v>556</v>
      </c>
      <c r="B90" s="14">
        <v>46307.767951388887</v>
      </c>
      <c r="C90" s="14" t="s">
        <v>892</v>
      </c>
      <c r="D90" s="14"/>
      <c r="E90" s="14" t="s">
        <v>893</v>
      </c>
      <c r="F90" s="14" t="s">
        <v>611</v>
      </c>
      <c r="G90" s="14"/>
      <c r="H90" s="14"/>
      <c r="I90" s="14"/>
      <c r="J90" s="14" t="s">
        <v>839</v>
      </c>
      <c r="K90" s="14" t="s">
        <v>840</v>
      </c>
      <c r="L90" s="14">
        <v>1.87689E-3</v>
      </c>
      <c r="M90" s="14">
        <v>46304</v>
      </c>
      <c r="N90" s="14" t="s">
        <v>279</v>
      </c>
      <c r="O90" s="14"/>
      <c r="P90" s="14"/>
      <c r="Q90" s="14"/>
      <c r="R90" s="14"/>
      <c r="S90" s="14"/>
      <c r="T90" s="14"/>
      <c r="U90" s="14"/>
      <c r="V90" s="14"/>
      <c r="W90" s="14"/>
      <c r="X90" s="14"/>
      <c r="Y90" s="14"/>
      <c r="Z90" s="14"/>
      <c r="AA90" s="14"/>
      <c r="AB90" s="14"/>
      <c r="AC90" s="14"/>
      <c r="AD90" s="14"/>
      <c r="AE90" s="14"/>
      <c r="AF90" s="14"/>
      <c r="AG90" s="14"/>
      <c r="AH90" s="14"/>
      <c r="AI90" s="14"/>
      <c r="AJ90" s="167">
        <v>46072</v>
      </c>
      <c r="AK90" s="14">
        <v>684.48</v>
      </c>
      <c r="AL90" s="14" t="s">
        <v>562</v>
      </c>
      <c r="AM90" s="14" t="s">
        <v>154</v>
      </c>
      <c r="AN90" s="14">
        <f>IF('ETF Data'!$H$2,IF(ISNUMBER(AK90),AK90,NA()),NA())</f>
        <v>684.48</v>
      </c>
      <c r="AO90" s="14"/>
      <c r="AP90" s="14"/>
      <c r="AQ90" s="14"/>
      <c r="AR90" s="14"/>
      <c r="AS90" s="14"/>
      <c r="AT90" s="14"/>
      <c r="AU90" s="14"/>
      <c r="AV90" s="14"/>
      <c r="AW90" s="14"/>
      <c r="AX90" s="14"/>
      <c r="AY90" s="14"/>
      <c r="AZ90" s="14"/>
      <c r="BA90" s="14"/>
      <c r="BB90" s="14"/>
      <c r="BC90" s="14"/>
      <c r="BD90" s="14"/>
      <c r="BE90" s="14"/>
      <c r="BF90" s="14"/>
      <c r="BG90" s="14"/>
      <c r="BH90" s="14"/>
      <c r="BI90" s="14"/>
    </row>
    <row r="91" spans="1:61">
      <c r="A91" s="14" t="s">
        <v>612</v>
      </c>
      <c r="B91" s="14">
        <v>46304</v>
      </c>
      <c r="C91" s="14"/>
      <c r="D91" s="14">
        <v>46304</v>
      </c>
      <c r="E91" s="14" t="s">
        <v>279</v>
      </c>
      <c r="F91" s="14" t="s">
        <v>557</v>
      </c>
      <c r="G91" s="14"/>
      <c r="H91" s="14"/>
      <c r="I91" s="14"/>
      <c r="J91" s="14" t="s">
        <v>1087</v>
      </c>
      <c r="K91" s="14" t="s">
        <v>1088</v>
      </c>
      <c r="L91" s="14">
        <v>1.8542000000000001E-3</v>
      </c>
      <c r="M91" s="14">
        <v>46304</v>
      </c>
      <c r="N91" s="14" t="s">
        <v>279</v>
      </c>
      <c r="O91" s="14"/>
      <c r="P91" s="14"/>
      <c r="Q91" s="14"/>
      <c r="R91" s="14"/>
      <c r="S91" s="14"/>
      <c r="T91" s="14"/>
      <c r="U91" s="14"/>
      <c r="V91" s="14"/>
      <c r="W91" s="14"/>
      <c r="X91" s="14"/>
      <c r="Y91" s="14"/>
      <c r="Z91" s="14"/>
      <c r="AA91" s="14"/>
      <c r="AB91" s="14"/>
      <c r="AC91" s="14"/>
      <c r="AD91" s="14"/>
      <c r="AE91" s="14"/>
      <c r="AF91" s="14"/>
      <c r="AG91" s="14"/>
      <c r="AH91" s="14"/>
      <c r="AI91" s="14"/>
      <c r="AJ91" s="167">
        <v>46073</v>
      </c>
      <c r="AK91" s="14">
        <v>689.43</v>
      </c>
      <c r="AL91" s="14" t="s">
        <v>562</v>
      </c>
      <c r="AM91" s="14" t="s">
        <v>154</v>
      </c>
      <c r="AN91" s="14">
        <f>IF('ETF Data'!$H$2,IF(ISNUMBER(AK91),AK91,NA()),NA())</f>
        <v>689.43</v>
      </c>
      <c r="AO91" s="14"/>
      <c r="AP91" s="14"/>
      <c r="AQ91" s="14"/>
      <c r="AR91" s="14"/>
      <c r="AS91" s="14"/>
      <c r="AT91" s="14"/>
      <c r="AU91" s="14"/>
      <c r="AV91" s="14"/>
      <c r="AW91" s="14"/>
      <c r="AX91" s="14"/>
      <c r="AY91" s="14"/>
      <c r="AZ91" s="14"/>
      <c r="BA91" s="14"/>
      <c r="BB91" s="14"/>
      <c r="BC91" s="14"/>
      <c r="BD91" s="14"/>
      <c r="BE91" s="14"/>
      <c r="BF91" s="14"/>
      <c r="BG91" s="14"/>
      <c r="BH91" s="14"/>
      <c r="BI91" s="14"/>
    </row>
    <row r="92" spans="1:61">
      <c r="A92" s="14" t="s">
        <v>613</v>
      </c>
      <c r="B92" s="14">
        <v>46304</v>
      </c>
      <c r="C92" s="14"/>
      <c r="D92" s="14">
        <v>46304</v>
      </c>
      <c r="E92" s="14" t="s">
        <v>273</v>
      </c>
      <c r="F92" s="14" t="s">
        <v>557</v>
      </c>
      <c r="G92" s="14"/>
      <c r="H92" s="14"/>
      <c r="I92" s="14"/>
      <c r="J92" s="14" t="s">
        <v>845</v>
      </c>
      <c r="K92" s="14" t="s">
        <v>846</v>
      </c>
      <c r="L92" s="14">
        <v>1.8435999999999999E-3</v>
      </c>
      <c r="M92" s="14">
        <v>46304</v>
      </c>
      <c r="N92" s="14" t="s">
        <v>279</v>
      </c>
      <c r="O92" s="14"/>
      <c r="P92" s="14"/>
      <c r="Q92" s="14"/>
      <c r="R92" s="14"/>
      <c r="S92" s="14"/>
      <c r="T92" s="14"/>
      <c r="U92" s="14"/>
      <c r="V92" s="14"/>
      <c r="W92" s="14"/>
      <c r="X92" s="14"/>
      <c r="Y92" s="14"/>
      <c r="Z92" s="14"/>
      <c r="AA92" s="14"/>
      <c r="AB92" s="14"/>
      <c r="AC92" s="14"/>
      <c r="AD92" s="14"/>
      <c r="AE92" s="14"/>
      <c r="AF92" s="14"/>
      <c r="AG92" s="14"/>
      <c r="AH92" s="14"/>
      <c r="AI92" s="14"/>
      <c r="AJ92" s="167">
        <v>46076</v>
      </c>
      <c r="AK92" s="14">
        <v>682.39</v>
      </c>
      <c r="AL92" s="14" t="s">
        <v>562</v>
      </c>
      <c r="AM92" s="14" t="s">
        <v>154</v>
      </c>
      <c r="AN92" s="14">
        <f>IF('ETF Data'!$H$2,IF(ISNUMBER(AK92),AK92,NA()),NA())</f>
        <v>682.39</v>
      </c>
      <c r="AO92" s="14"/>
      <c r="AP92" s="14"/>
      <c r="AQ92" s="14"/>
      <c r="AR92" s="14"/>
      <c r="AS92" s="14"/>
      <c r="AT92" s="14"/>
      <c r="AU92" s="14"/>
      <c r="AV92" s="14"/>
      <c r="AW92" s="14"/>
      <c r="AX92" s="14"/>
      <c r="AY92" s="14"/>
      <c r="AZ92" s="14"/>
      <c r="BA92" s="14"/>
      <c r="BB92" s="14"/>
      <c r="BC92" s="14"/>
      <c r="BD92" s="14"/>
      <c r="BE92" s="14"/>
      <c r="BF92" s="14"/>
      <c r="BG92" s="14"/>
      <c r="BH92" s="14"/>
      <c r="BI92" s="14"/>
    </row>
    <row r="93" spans="1:61">
      <c r="A93" s="14" t="s">
        <v>614</v>
      </c>
      <c r="B93" s="14" t="s">
        <v>599</v>
      </c>
      <c r="C93" s="14"/>
      <c r="D93" s="14"/>
      <c r="E93" s="14"/>
      <c r="F93" s="14" t="s">
        <v>600</v>
      </c>
      <c r="G93" s="14"/>
      <c r="H93" s="14"/>
      <c r="I93" s="14"/>
      <c r="J93" s="14" t="s">
        <v>825</v>
      </c>
      <c r="K93" s="14" t="s">
        <v>826</v>
      </c>
      <c r="L93" s="14">
        <v>1.8418200000000001E-3</v>
      </c>
      <c r="M93" s="14">
        <v>46304</v>
      </c>
      <c r="N93" s="14" t="s">
        <v>279</v>
      </c>
      <c r="O93" s="14"/>
      <c r="P93" s="14"/>
      <c r="Q93" s="14"/>
      <c r="R93" s="14"/>
      <c r="S93" s="14"/>
      <c r="T93" s="14"/>
      <c r="U93" s="14"/>
      <c r="V93" s="14"/>
      <c r="W93" s="14"/>
      <c r="X93" s="14"/>
      <c r="Y93" s="14"/>
      <c r="Z93" s="14"/>
      <c r="AA93" s="14"/>
      <c r="AB93" s="14"/>
      <c r="AC93" s="14"/>
      <c r="AD93" s="14"/>
      <c r="AE93" s="14"/>
      <c r="AF93" s="14"/>
      <c r="AG93" s="14"/>
      <c r="AH93" s="14"/>
      <c r="AI93" s="14"/>
      <c r="AJ93" s="167">
        <v>46077</v>
      </c>
      <c r="AK93" s="14">
        <v>687.35</v>
      </c>
      <c r="AL93" s="14" t="s">
        <v>562</v>
      </c>
      <c r="AM93" s="14" t="s">
        <v>154</v>
      </c>
      <c r="AN93" s="14">
        <f>IF('ETF Data'!$H$2,IF(ISNUMBER(AK93),AK93,NA()),NA())</f>
        <v>687.35</v>
      </c>
      <c r="AO93" s="14"/>
      <c r="AP93" s="14"/>
      <c r="AQ93" s="14"/>
      <c r="AR93" s="14"/>
      <c r="AS93" s="14"/>
      <c r="AT93" s="14"/>
      <c r="AU93" s="14"/>
      <c r="AV93" s="14"/>
      <c r="AW93" s="14"/>
      <c r="AX93" s="14"/>
      <c r="AY93" s="14"/>
      <c r="AZ93" s="14"/>
      <c r="BA93" s="14"/>
      <c r="BB93" s="14"/>
      <c r="BC93" s="14"/>
      <c r="BD93" s="14"/>
      <c r="BE93" s="14"/>
      <c r="BF93" s="14"/>
      <c r="BG93" s="14"/>
      <c r="BH93" s="14"/>
      <c r="BI93" s="14"/>
    </row>
    <row r="94" spans="1:61">
      <c r="A94" s="14" t="s">
        <v>615</v>
      </c>
      <c r="B94" s="14">
        <v>46295</v>
      </c>
      <c r="C94" s="14"/>
      <c r="D94" s="14">
        <v>46295</v>
      </c>
      <c r="E94" s="14" t="s">
        <v>221</v>
      </c>
      <c r="F94" s="14" t="s">
        <v>557</v>
      </c>
      <c r="G94" s="14"/>
      <c r="H94" s="14"/>
      <c r="I94" s="14"/>
      <c r="J94" s="14" t="s">
        <v>835</v>
      </c>
      <c r="K94" s="14" t="s">
        <v>836</v>
      </c>
      <c r="L94" s="14">
        <v>1.8288E-3</v>
      </c>
      <c r="M94" s="14">
        <v>46304</v>
      </c>
      <c r="N94" s="14" t="s">
        <v>279</v>
      </c>
      <c r="O94" s="14"/>
      <c r="P94" s="14"/>
      <c r="Q94" s="14"/>
      <c r="R94" s="14"/>
      <c r="S94" s="14"/>
      <c r="T94" s="14"/>
      <c r="U94" s="14"/>
      <c r="V94" s="14"/>
      <c r="W94" s="14"/>
      <c r="X94" s="14"/>
      <c r="Y94" s="14"/>
      <c r="Z94" s="14"/>
      <c r="AA94" s="14"/>
      <c r="AB94" s="14"/>
      <c r="AC94" s="14"/>
      <c r="AD94" s="14"/>
      <c r="AE94" s="14"/>
      <c r="AF94" s="14"/>
      <c r="AG94" s="14"/>
      <c r="AH94" s="14"/>
      <c r="AI94" s="14"/>
      <c r="AJ94" s="167">
        <v>46078</v>
      </c>
      <c r="AK94" s="14">
        <v>693.15</v>
      </c>
      <c r="AL94" s="14" t="s">
        <v>562</v>
      </c>
      <c r="AM94" s="14" t="s">
        <v>154</v>
      </c>
      <c r="AN94" s="14">
        <f>IF('ETF Data'!$H$2,IF(ISNUMBER(AK94),AK94,NA()),NA())</f>
        <v>693.15</v>
      </c>
      <c r="AO94" s="14"/>
      <c r="AP94" s="14"/>
      <c r="AQ94" s="14"/>
      <c r="AR94" s="14"/>
      <c r="AS94" s="14"/>
      <c r="AT94" s="14"/>
      <c r="AU94" s="14"/>
      <c r="AV94" s="14"/>
      <c r="AW94" s="14"/>
      <c r="AX94" s="14"/>
      <c r="AY94" s="14"/>
      <c r="AZ94" s="14"/>
      <c r="BA94" s="14"/>
      <c r="BB94" s="14"/>
      <c r="BC94" s="14"/>
      <c r="BD94" s="14"/>
      <c r="BE94" s="14"/>
      <c r="BF94" s="14"/>
      <c r="BG94" s="14"/>
      <c r="BH94" s="14"/>
      <c r="BI94" s="14"/>
    </row>
    <row r="95" spans="1:61">
      <c r="A95" s="14" t="s">
        <v>616</v>
      </c>
      <c r="B95" s="14" t="s">
        <v>1089</v>
      </c>
      <c r="C95" s="14"/>
      <c r="D95" s="14"/>
      <c r="E95" s="14" t="s">
        <v>889</v>
      </c>
      <c r="F95" s="14" t="s">
        <v>618</v>
      </c>
      <c r="G95" s="14"/>
      <c r="H95" s="14"/>
      <c r="I95" s="14"/>
      <c r="J95" s="14" t="s">
        <v>833</v>
      </c>
      <c r="K95" s="14" t="s">
        <v>834</v>
      </c>
      <c r="L95" s="14">
        <v>1.82715E-3</v>
      </c>
      <c r="M95" s="14">
        <v>46304</v>
      </c>
      <c r="N95" s="14" t="s">
        <v>279</v>
      </c>
      <c r="O95" s="14"/>
      <c r="P95" s="14"/>
      <c r="Q95" s="14"/>
      <c r="R95" s="14"/>
      <c r="S95" s="14"/>
      <c r="T95" s="14"/>
      <c r="U95" s="14"/>
      <c r="V95" s="14"/>
      <c r="W95" s="14"/>
      <c r="X95" s="14"/>
      <c r="Y95" s="14"/>
      <c r="Z95" s="14"/>
      <c r="AA95" s="14"/>
      <c r="AB95" s="14"/>
      <c r="AC95" s="14"/>
      <c r="AD95" s="14"/>
      <c r="AE95" s="14"/>
      <c r="AF95" s="14"/>
      <c r="AG95" s="14"/>
      <c r="AH95" s="14"/>
      <c r="AI95" s="14"/>
      <c r="AJ95" s="167">
        <v>46079</v>
      </c>
      <c r="AK95" s="14">
        <v>689.3</v>
      </c>
      <c r="AL95" s="14" t="s">
        <v>562</v>
      </c>
      <c r="AM95" s="14" t="s">
        <v>154</v>
      </c>
      <c r="AN95" s="14">
        <f>IF('ETF Data'!$H$2,IF(ISNUMBER(AK95),AK95,NA()),NA())</f>
        <v>689.3</v>
      </c>
      <c r="AO95" s="14"/>
      <c r="AP95" s="14"/>
      <c r="AQ95" s="14"/>
      <c r="AR95" s="14"/>
      <c r="AS95" s="14"/>
      <c r="AT95" s="14"/>
      <c r="AU95" s="14"/>
      <c r="AV95" s="14"/>
      <c r="AW95" s="14"/>
      <c r="AX95" s="14"/>
      <c r="AY95" s="14"/>
      <c r="AZ95" s="14"/>
      <c r="BA95" s="14"/>
      <c r="BB95" s="14"/>
      <c r="BC95" s="14"/>
      <c r="BD95" s="14"/>
      <c r="BE95" s="14"/>
      <c r="BF95" s="14"/>
      <c r="BG95" s="14"/>
      <c r="BH95" s="14"/>
      <c r="BI95" s="14"/>
    </row>
    <row r="96" spans="1:61">
      <c r="A96" s="14" t="s">
        <v>619</v>
      </c>
      <c r="B96" s="14" t="s">
        <v>620</v>
      </c>
      <c r="C96" s="14"/>
      <c r="D96" s="14"/>
      <c r="E96" s="14" t="s">
        <v>890</v>
      </c>
      <c r="F96" s="14" t="s">
        <v>621</v>
      </c>
      <c r="G96" s="14"/>
      <c r="H96" s="14"/>
      <c r="I96" s="14"/>
      <c r="J96" s="14" t="s">
        <v>829</v>
      </c>
      <c r="K96" s="14" t="s">
        <v>830</v>
      </c>
      <c r="L96" s="14">
        <v>1.8132300000000001E-3</v>
      </c>
      <c r="M96" s="14">
        <v>46304</v>
      </c>
      <c r="N96" s="14" t="s">
        <v>279</v>
      </c>
      <c r="O96" s="14"/>
      <c r="P96" s="14"/>
      <c r="Q96" s="14"/>
      <c r="R96" s="14"/>
      <c r="S96" s="14"/>
      <c r="T96" s="14"/>
      <c r="U96" s="14"/>
      <c r="V96" s="14"/>
      <c r="W96" s="14"/>
      <c r="X96" s="14"/>
      <c r="Y96" s="14"/>
      <c r="Z96" s="14"/>
      <c r="AA96" s="14"/>
      <c r="AB96" s="14"/>
      <c r="AC96" s="14"/>
      <c r="AD96" s="14"/>
      <c r="AE96" s="14"/>
      <c r="AF96" s="14"/>
      <c r="AG96" s="14"/>
      <c r="AH96" s="14"/>
      <c r="AI96" s="14"/>
      <c r="AJ96" s="167">
        <v>46080</v>
      </c>
      <c r="AK96" s="14">
        <v>685.99</v>
      </c>
      <c r="AL96" s="14" t="s">
        <v>562</v>
      </c>
      <c r="AM96" s="14" t="s">
        <v>154</v>
      </c>
      <c r="AN96" s="14">
        <f>IF('ETF Data'!$H$2,IF(ISNUMBER(AK96),AK96,NA()),NA())</f>
        <v>685.99</v>
      </c>
      <c r="AO96" s="14"/>
      <c r="AP96" s="14"/>
      <c r="AQ96" s="14"/>
      <c r="AR96" s="14"/>
      <c r="AS96" s="14"/>
      <c r="AT96" s="14"/>
      <c r="AU96" s="14"/>
      <c r="AV96" s="14"/>
      <c r="AW96" s="14"/>
      <c r="AX96" s="14"/>
      <c r="AY96" s="14"/>
      <c r="AZ96" s="14"/>
      <c r="BA96" s="14"/>
      <c r="BB96" s="14"/>
      <c r="BC96" s="14"/>
      <c r="BD96" s="14"/>
      <c r="BE96" s="14"/>
      <c r="BF96" s="14"/>
      <c r="BG96" s="14"/>
      <c r="BH96" s="14"/>
      <c r="BI96" s="14"/>
    </row>
    <row r="97" spans="1:61">
      <c r="A97" s="14" t="s">
        <v>622</v>
      </c>
      <c r="B97" s="14" t="s">
        <v>623</v>
      </c>
      <c r="C97" s="14"/>
      <c r="D97" s="14"/>
      <c r="E97" s="14" t="s">
        <v>891</v>
      </c>
      <c r="F97" s="14" t="s">
        <v>617</v>
      </c>
      <c r="G97" s="14"/>
      <c r="H97" s="14"/>
      <c r="I97" s="14"/>
      <c r="J97" s="14" t="s">
        <v>841</v>
      </c>
      <c r="K97" s="14" t="s">
        <v>842</v>
      </c>
      <c r="L97" s="14">
        <v>1.8035499999999999E-3</v>
      </c>
      <c r="M97" s="14">
        <v>46304</v>
      </c>
      <c r="N97" s="14" t="s">
        <v>279</v>
      </c>
      <c r="O97" s="14"/>
      <c r="P97" s="14"/>
      <c r="Q97" s="14"/>
      <c r="R97" s="14"/>
      <c r="S97" s="14"/>
      <c r="T97" s="14"/>
      <c r="U97" s="14"/>
      <c r="V97" s="14"/>
      <c r="W97" s="14"/>
      <c r="X97" s="14"/>
      <c r="Y97" s="14"/>
      <c r="Z97" s="14"/>
      <c r="AA97" s="14"/>
      <c r="AB97" s="14"/>
      <c r="AC97" s="14"/>
      <c r="AD97" s="14"/>
      <c r="AE97" s="14"/>
      <c r="AF97" s="14"/>
      <c r="AG97" s="14"/>
      <c r="AH97" s="14"/>
      <c r="AI97" s="14"/>
      <c r="AJ97" s="167">
        <v>46083</v>
      </c>
      <c r="AK97" s="14">
        <v>686.38</v>
      </c>
      <c r="AL97" s="14" t="s">
        <v>562</v>
      </c>
      <c r="AM97" s="14" t="s">
        <v>154</v>
      </c>
      <c r="AN97" s="14">
        <f>IF('ETF Data'!$H$2,IF(ISNUMBER(AK97),AK97,NA()),NA())</f>
        <v>686.38</v>
      </c>
      <c r="AO97" s="14"/>
      <c r="AP97" s="14"/>
      <c r="AQ97" s="14"/>
      <c r="AR97" s="14"/>
      <c r="AS97" s="14"/>
      <c r="AT97" s="14"/>
      <c r="AU97" s="14"/>
      <c r="AV97" s="14"/>
      <c r="AW97" s="14"/>
      <c r="AX97" s="14"/>
      <c r="AY97" s="14"/>
      <c r="AZ97" s="14"/>
      <c r="BA97" s="14"/>
      <c r="BB97" s="14"/>
      <c r="BC97" s="14"/>
      <c r="BD97" s="14"/>
      <c r="BE97" s="14"/>
      <c r="BF97" s="14"/>
      <c r="BG97" s="14"/>
      <c r="BH97" s="14"/>
      <c r="BI97" s="14"/>
    </row>
    <row r="98" spans="1:61">
      <c r="A98" s="14" t="s">
        <v>624</v>
      </c>
      <c r="B98" s="14" t="s">
        <v>599</v>
      </c>
      <c r="C98" s="14"/>
      <c r="D98" s="14"/>
      <c r="E98" s="14"/>
      <c r="F98" s="14" t="s">
        <v>600</v>
      </c>
      <c r="G98" s="14"/>
      <c r="H98" s="14"/>
      <c r="I98" s="14"/>
      <c r="J98" s="14" t="s">
        <v>823</v>
      </c>
      <c r="K98" s="14" t="s">
        <v>824</v>
      </c>
      <c r="L98" s="14">
        <v>1.7940199999999999E-3</v>
      </c>
      <c r="M98" s="14">
        <v>46304</v>
      </c>
      <c r="N98" s="14" t="s">
        <v>279</v>
      </c>
      <c r="O98" s="14"/>
      <c r="P98" s="14"/>
      <c r="Q98" s="14"/>
      <c r="R98" s="14"/>
      <c r="S98" s="14"/>
      <c r="T98" s="14"/>
      <c r="U98" s="14"/>
      <c r="V98" s="14"/>
      <c r="W98" s="14"/>
      <c r="X98" s="14"/>
      <c r="Y98" s="14"/>
      <c r="Z98" s="14"/>
      <c r="AA98" s="14"/>
      <c r="AB98" s="14"/>
      <c r="AC98" s="14"/>
      <c r="AD98" s="14"/>
      <c r="AE98" s="14"/>
      <c r="AF98" s="14"/>
      <c r="AG98" s="14"/>
      <c r="AH98" s="14"/>
      <c r="AI98" s="14"/>
      <c r="AJ98" s="167">
        <v>46084</v>
      </c>
      <c r="AK98" s="14">
        <v>680.33</v>
      </c>
      <c r="AL98" s="14" t="s">
        <v>562</v>
      </c>
      <c r="AM98" s="14" t="s">
        <v>154</v>
      </c>
      <c r="AN98" s="14">
        <f>IF('ETF Data'!$H$2,IF(ISNUMBER(AK98),AK98,NA()),NA())</f>
        <v>680.33</v>
      </c>
      <c r="AO98" s="14"/>
      <c r="AP98" s="14"/>
      <c r="AQ98" s="14"/>
      <c r="AR98" s="14"/>
      <c r="AS98" s="14"/>
      <c r="AT98" s="14"/>
      <c r="AU98" s="14"/>
      <c r="AV98" s="14"/>
      <c r="AW98" s="14"/>
      <c r="AX98" s="14"/>
      <c r="AY98" s="14"/>
      <c r="AZ98" s="14"/>
      <c r="BA98" s="14"/>
      <c r="BB98" s="14"/>
      <c r="BC98" s="14"/>
      <c r="BD98" s="14"/>
      <c r="BE98" s="14"/>
      <c r="BF98" s="14"/>
      <c r="BG98" s="14"/>
      <c r="BH98" s="14"/>
      <c r="BI98" s="14"/>
    </row>
    <row r="99" spans="1:61">
      <c r="A99" s="14" t="s">
        <v>625</v>
      </c>
      <c r="B99" s="14" t="s">
        <v>599</v>
      </c>
      <c r="C99" s="14"/>
      <c r="D99" s="14"/>
      <c r="E99" s="14"/>
      <c r="F99" s="14" t="s">
        <v>600</v>
      </c>
      <c r="G99" s="14"/>
      <c r="H99" s="14"/>
      <c r="I99" s="14"/>
      <c r="J99" s="14" t="s">
        <v>813</v>
      </c>
      <c r="K99" s="14" t="s">
        <v>814</v>
      </c>
      <c r="L99" s="14">
        <v>1.787E-3</v>
      </c>
      <c r="M99" s="14">
        <v>46304</v>
      </c>
      <c r="N99" s="14" t="s">
        <v>279</v>
      </c>
      <c r="O99" s="14"/>
      <c r="P99" s="14"/>
      <c r="Q99" s="14"/>
      <c r="R99" s="14"/>
      <c r="S99" s="14"/>
      <c r="T99" s="14"/>
      <c r="U99" s="14"/>
      <c r="V99" s="14"/>
      <c r="W99" s="14"/>
      <c r="X99" s="14"/>
      <c r="Y99" s="14"/>
      <c r="Z99" s="14"/>
      <c r="AA99" s="14"/>
      <c r="AB99" s="14"/>
      <c r="AC99" s="14"/>
      <c r="AD99" s="14"/>
      <c r="AE99" s="14"/>
      <c r="AF99" s="14"/>
      <c r="AG99" s="14"/>
      <c r="AH99" s="14"/>
      <c r="AI99" s="14"/>
      <c r="AJ99" s="167">
        <v>46085</v>
      </c>
      <c r="AK99" s="14">
        <v>685.13</v>
      </c>
      <c r="AL99" s="14" t="s">
        <v>562</v>
      </c>
      <c r="AM99" s="14" t="s">
        <v>154</v>
      </c>
      <c r="AN99" s="14">
        <f>IF('ETF Data'!$H$2,IF(ISNUMBER(AK99),AK99,NA()),NA())</f>
        <v>685.13</v>
      </c>
      <c r="AO99" s="14"/>
      <c r="AP99" s="14"/>
      <c r="AQ99" s="14"/>
      <c r="AR99" s="14"/>
      <c r="AS99" s="14"/>
      <c r="AT99" s="14"/>
      <c r="AU99" s="14"/>
      <c r="AV99" s="14"/>
      <c r="AW99" s="14"/>
      <c r="AX99" s="14"/>
      <c r="AY99" s="14"/>
      <c r="AZ99" s="14"/>
      <c r="BA99" s="14"/>
      <c r="BB99" s="14"/>
      <c r="BC99" s="14"/>
      <c r="BD99" s="14"/>
      <c r="BE99" s="14"/>
      <c r="BF99" s="14"/>
      <c r="BG99" s="14"/>
      <c r="BH99" s="14"/>
      <c r="BI99" s="14"/>
    </row>
    <row r="100" spans="1:61">
      <c r="A100" s="14" t="s">
        <v>626</v>
      </c>
      <c r="B100" s="14" t="s">
        <v>599</v>
      </c>
      <c r="C100" s="14"/>
      <c r="D100" s="14"/>
      <c r="E100" s="14"/>
      <c r="F100" s="14" t="s">
        <v>600</v>
      </c>
      <c r="G100" s="14"/>
      <c r="H100" s="14"/>
      <c r="I100" s="14"/>
      <c r="J100" s="14" t="s">
        <v>1034</v>
      </c>
      <c r="K100" s="14" t="s">
        <v>1035</v>
      </c>
      <c r="L100" s="14">
        <v>1.78214E-3</v>
      </c>
      <c r="M100" s="14">
        <v>46304</v>
      </c>
      <c r="N100" s="14" t="s">
        <v>279</v>
      </c>
      <c r="O100" s="14"/>
      <c r="P100" s="14"/>
      <c r="Q100" s="14"/>
      <c r="R100" s="14"/>
      <c r="S100" s="14"/>
      <c r="T100" s="14"/>
      <c r="U100" s="14"/>
      <c r="V100" s="14"/>
      <c r="W100" s="14"/>
      <c r="X100" s="14"/>
      <c r="Y100" s="14"/>
      <c r="Z100" s="14"/>
      <c r="AA100" s="14"/>
      <c r="AB100" s="14"/>
      <c r="AC100" s="14"/>
      <c r="AD100" s="14"/>
      <c r="AE100" s="14"/>
      <c r="AF100" s="14"/>
      <c r="AG100" s="14"/>
      <c r="AH100" s="14"/>
      <c r="AI100" s="14"/>
      <c r="AJ100" s="167">
        <v>46086</v>
      </c>
      <c r="AK100" s="14">
        <v>681.31</v>
      </c>
      <c r="AL100" s="14" t="s">
        <v>562</v>
      </c>
      <c r="AM100" s="14" t="s">
        <v>154</v>
      </c>
      <c r="AN100" s="14">
        <f>IF('ETF Data'!$H$2,IF(ISNUMBER(AK100),AK100,NA()),NA())</f>
        <v>681.31</v>
      </c>
      <c r="AO100" s="14"/>
      <c r="AP100" s="14"/>
      <c r="AQ100" s="14"/>
      <c r="AR100" s="14"/>
      <c r="AS100" s="14"/>
      <c r="AT100" s="14"/>
      <c r="AU100" s="14"/>
      <c r="AV100" s="14"/>
      <c r="AW100" s="14"/>
      <c r="AX100" s="14"/>
      <c r="AY100" s="14"/>
      <c r="AZ100" s="14"/>
      <c r="BA100" s="14"/>
      <c r="BB100" s="14"/>
      <c r="BC100" s="14"/>
      <c r="BD100" s="14"/>
      <c r="BE100" s="14"/>
      <c r="BF100" s="14"/>
      <c r="BG100" s="14"/>
      <c r="BH100" s="14"/>
      <c r="BI100" s="14"/>
    </row>
    <row r="101" spans="1:61">
      <c r="A101" s="14" t="s">
        <v>627</v>
      </c>
      <c r="B101" s="14" t="s">
        <v>628</v>
      </c>
      <c r="C101" s="14"/>
      <c r="D101" s="14"/>
      <c r="E101" s="14" t="s">
        <v>629</v>
      </c>
      <c r="F101" s="14" t="s">
        <v>630</v>
      </c>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67">
        <v>46087</v>
      </c>
      <c r="AK101" s="14">
        <v>672.38</v>
      </c>
      <c r="AL101" s="14" t="s">
        <v>562</v>
      </c>
      <c r="AM101" s="14" t="s">
        <v>154</v>
      </c>
      <c r="AN101" s="14">
        <f>IF('ETF Data'!$H$2,IF(ISNUMBER(AK101),AK101,NA()),NA())</f>
        <v>672.38</v>
      </c>
      <c r="AO101" s="14"/>
      <c r="AP101" s="14"/>
      <c r="AQ101" s="14"/>
      <c r="AR101" s="14"/>
      <c r="AS101" s="14"/>
      <c r="AT101" s="14"/>
      <c r="AU101" s="14"/>
      <c r="AV101" s="14"/>
      <c r="AW101" s="14"/>
      <c r="AX101" s="14"/>
      <c r="AY101" s="14"/>
      <c r="AZ101" s="14"/>
      <c r="BA101" s="14"/>
      <c r="BB101" s="14"/>
      <c r="BC101" s="14"/>
      <c r="BD101" s="14"/>
      <c r="BE101" s="14"/>
      <c r="BF101" s="14"/>
      <c r="BG101" s="14"/>
      <c r="BH101" s="14"/>
      <c r="BI101" s="14"/>
    </row>
    <row r="102" spans="1:61">
      <c r="A102" s="14" t="s">
        <v>631</v>
      </c>
      <c r="B102" s="14" t="s">
        <v>628</v>
      </c>
      <c r="C102" s="14"/>
      <c r="D102" s="14"/>
      <c r="E102" s="14" t="s">
        <v>629</v>
      </c>
      <c r="F102" s="14" t="s">
        <v>630</v>
      </c>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67">
        <v>46090</v>
      </c>
      <c r="AK102" s="14">
        <v>678.27</v>
      </c>
      <c r="AL102" s="14" t="s">
        <v>562</v>
      </c>
      <c r="AM102" s="14" t="s">
        <v>154</v>
      </c>
      <c r="AN102" s="14">
        <f>IF('ETF Data'!$H$2,IF(ISNUMBER(AK102),AK102,NA()),NA())</f>
        <v>678.27</v>
      </c>
      <c r="AO102" s="14"/>
      <c r="AP102" s="14"/>
      <c r="AQ102" s="14"/>
      <c r="AR102" s="14"/>
      <c r="AS102" s="14"/>
      <c r="AT102" s="14"/>
      <c r="AU102" s="14"/>
      <c r="AV102" s="14"/>
      <c r="AW102" s="14"/>
      <c r="AX102" s="14"/>
      <c r="AY102" s="14"/>
      <c r="AZ102" s="14"/>
      <c r="BA102" s="14"/>
      <c r="BB102" s="14"/>
      <c r="BC102" s="14"/>
      <c r="BD102" s="14"/>
      <c r="BE102" s="14"/>
      <c r="BF102" s="14"/>
      <c r="BG102" s="14"/>
      <c r="BH102" s="14"/>
      <c r="BI102" s="14"/>
    </row>
    <row r="103" spans="1:61">
      <c r="A103" s="14" t="s">
        <v>632</v>
      </c>
      <c r="B103" s="14" t="s">
        <v>557</v>
      </c>
      <c r="C103" s="14" t="s">
        <v>880</v>
      </c>
      <c r="D103" s="14">
        <v>46146.628437500003</v>
      </c>
      <c r="E103" s="14" t="s">
        <v>589</v>
      </c>
      <c r="F103" s="14" t="s">
        <v>566</v>
      </c>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67">
        <v>46091</v>
      </c>
      <c r="AK103" s="14">
        <v>677.18</v>
      </c>
      <c r="AL103" s="14" t="s">
        <v>562</v>
      </c>
      <c r="AM103" s="14" t="s">
        <v>154</v>
      </c>
      <c r="AN103" s="14">
        <f>IF('ETF Data'!$H$2,IF(ISNUMBER(AK103),AK103,NA()),NA())</f>
        <v>677.18</v>
      </c>
      <c r="AO103" s="14"/>
      <c r="AP103" s="14"/>
      <c r="AQ103" s="14"/>
      <c r="AR103" s="14"/>
      <c r="AS103" s="14"/>
      <c r="AT103" s="14"/>
      <c r="AU103" s="14"/>
      <c r="AV103" s="14"/>
      <c r="AW103" s="14"/>
      <c r="AX103" s="14"/>
      <c r="AY103" s="14"/>
      <c r="AZ103" s="14"/>
      <c r="BA103" s="14"/>
      <c r="BB103" s="14"/>
      <c r="BC103" s="14"/>
      <c r="BD103" s="14"/>
      <c r="BE103" s="14"/>
      <c r="BF103" s="14"/>
      <c r="BG103" s="14"/>
      <c r="BH103" s="14"/>
      <c r="BI103" s="14"/>
    </row>
    <row r="104" spans="1:61">
      <c r="A104" s="14" t="s">
        <v>633</v>
      </c>
      <c r="B104" s="14" t="s">
        <v>1036</v>
      </c>
      <c r="C104" s="14"/>
      <c r="D104" s="14"/>
      <c r="E104" s="14" t="s">
        <v>589</v>
      </c>
      <c r="F104" s="14" t="s">
        <v>879</v>
      </c>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67">
        <v>46092</v>
      </c>
      <c r="AK104" s="14">
        <v>676.33</v>
      </c>
      <c r="AL104" s="14" t="s">
        <v>562</v>
      </c>
      <c r="AM104" s="14" t="s">
        <v>154</v>
      </c>
      <c r="AN104" s="14">
        <f>IF('ETF Data'!$H$2,IF(ISNUMBER(AK104),AK104,NA()),NA())</f>
        <v>676.33</v>
      </c>
      <c r="AO104" s="14"/>
      <c r="AP104" s="14"/>
      <c r="AQ104" s="14"/>
      <c r="AR104" s="14"/>
      <c r="AS104" s="14"/>
      <c r="AT104" s="14"/>
      <c r="AU104" s="14"/>
      <c r="AV104" s="14"/>
      <c r="AW104" s="14"/>
      <c r="AX104" s="14"/>
      <c r="AY104" s="14"/>
      <c r="AZ104" s="14"/>
      <c r="BA104" s="14"/>
      <c r="BB104" s="14"/>
      <c r="BC104" s="14"/>
      <c r="BD104" s="14"/>
      <c r="BE104" s="14"/>
      <c r="BF104" s="14"/>
      <c r="BG104" s="14"/>
      <c r="BH104" s="14"/>
      <c r="BI104" s="14"/>
    </row>
    <row r="105" spans="1:61">
      <c r="A105" s="14" t="s">
        <v>634</v>
      </c>
      <c r="B105" s="14" t="s">
        <v>847</v>
      </c>
      <c r="C105" s="14" t="s">
        <v>880</v>
      </c>
      <c r="D105" s="14"/>
      <c r="E105" s="14" t="s">
        <v>589</v>
      </c>
      <c r="F105" s="14" t="s">
        <v>557</v>
      </c>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67">
        <v>46093</v>
      </c>
      <c r="AK105" s="14">
        <v>666.06</v>
      </c>
      <c r="AL105" s="14" t="s">
        <v>562</v>
      </c>
      <c r="AM105" s="14" t="s">
        <v>154</v>
      </c>
      <c r="AN105" s="14">
        <f>IF('ETF Data'!$H$2,IF(ISNUMBER(AK105),AK105,NA()),NA())</f>
        <v>666.06</v>
      </c>
      <c r="AO105" s="14"/>
      <c r="AP105" s="14"/>
      <c r="AQ105" s="14"/>
      <c r="AR105" s="14"/>
      <c r="AS105" s="14"/>
      <c r="AT105" s="14"/>
      <c r="AU105" s="14"/>
      <c r="AV105" s="14"/>
      <c r="AW105" s="14"/>
      <c r="AX105" s="14"/>
      <c r="AY105" s="14"/>
      <c r="AZ105" s="14"/>
      <c r="BA105" s="14"/>
      <c r="BB105" s="14"/>
      <c r="BC105" s="14"/>
      <c r="BD105" s="14"/>
      <c r="BE105" s="14"/>
      <c r="BF105" s="14"/>
      <c r="BG105" s="14"/>
      <c r="BH105" s="14"/>
      <c r="BI105" s="14"/>
    </row>
    <row r="106" spans="1:61">
      <c r="A106" s="14" t="s">
        <v>636</v>
      </c>
      <c r="B106" s="14">
        <v>46146.628437500003</v>
      </c>
      <c r="C106" s="14" t="s">
        <v>610</v>
      </c>
      <c r="D106" s="14">
        <v>46146.628437500003</v>
      </c>
      <c r="E106" s="14" t="s">
        <v>589</v>
      </c>
      <c r="F106" s="14" t="s">
        <v>557</v>
      </c>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67">
        <v>46094</v>
      </c>
      <c r="AK106" s="14">
        <v>662.29</v>
      </c>
      <c r="AL106" s="14" t="s">
        <v>562</v>
      </c>
      <c r="AM106" s="14" t="s">
        <v>154</v>
      </c>
      <c r="AN106" s="14">
        <f>IF('ETF Data'!$H$2,IF(ISNUMBER(AK106),AK106,NA()),NA())</f>
        <v>662.29</v>
      </c>
      <c r="AO106" s="14"/>
      <c r="AP106" s="14"/>
      <c r="AQ106" s="14"/>
      <c r="AR106" s="14"/>
      <c r="AS106" s="14"/>
      <c r="AT106" s="14"/>
      <c r="AU106" s="14"/>
      <c r="AV106" s="14"/>
      <c r="AW106" s="14"/>
      <c r="AX106" s="14"/>
      <c r="AY106" s="14"/>
      <c r="AZ106" s="14"/>
      <c r="BA106" s="14"/>
      <c r="BB106" s="14"/>
      <c r="BC106" s="14"/>
      <c r="BD106" s="14"/>
      <c r="BE106" s="14"/>
      <c r="BF106" s="14"/>
      <c r="BG106" s="14"/>
      <c r="BH106" s="14"/>
      <c r="BI106" s="14"/>
    </row>
    <row r="107" spans="1:61">
      <c r="A107" s="14" t="s">
        <v>637</v>
      </c>
      <c r="B107" s="14" t="s">
        <v>589</v>
      </c>
      <c r="C107" s="14"/>
      <c r="D107" s="14"/>
      <c r="E107" s="14" t="s">
        <v>638</v>
      </c>
      <c r="F107" s="14" t="s">
        <v>611</v>
      </c>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67">
        <v>46097</v>
      </c>
      <c r="AK107" s="14">
        <v>669.03</v>
      </c>
      <c r="AL107" s="14" t="s">
        <v>562</v>
      </c>
      <c r="AM107" s="14" t="s">
        <v>154</v>
      </c>
      <c r="AN107" s="14">
        <f>IF('ETF Data'!$H$2,IF(ISNUMBER(AK107),AK107,NA()),NA())</f>
        <v>669.03</v>
      </c>
      <c r="AO107" s="14"/>
      <c r="AP107" s="14"/>
      <c r="AQ107" s="14"/>
      <c r="AR107" s="14"/>
      <c r="AS107" s="14"/>
      <c r="AT107" s="14"/>
      <c r="AU107" s="14"/>
      <c r="AV107" s="14"/>
      <c r="AW107" s="14"/>
      <c r="AX107" s="14"/>
      <c r="AY107" s="14"/>
      <c r="AZ107" s="14"/>
      <c r="BA107" s="14"/>
      <c r="BB107" s="14"/>
      <c r="BC107" s="14"/>
      <c r="BD107" s="14"/>
      <c r="BE107" s="14"/>
      <c r="BF107" s="14"/>
      <c r="BG107" s="14"/>
      <c r="BH107" s="14"/>
      <c r="BI107" s="14"/>
    </row>
    <row r="108" spans="1:61">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67">
        <v>46098</v>
      </c>
      <c r="AK108" s="14">
        <v>670.79</v>
      </c>
      <c r="AL108" s="14" t="s">
        <v>562</v>
      </c>
      <c r="AM108" s="14" t="s">
        <v>154</v>
      </c>
      <c r="AN108" s="14">
        <f>IF('ETF Data'!$H$2,IF(ISNUMBER(AK108),AK108,NA()),NA())</f>
        <v>670.79</v>
      </c>
      <c r="AO108" s="14"/>
      <c r="AP108" s="14"/>
      <c r="AQ108" s="14"/>
      <c r="AR108" s="14"/>
      <c r="AS108" s="14"/>
      <c r="AT108" s="14"/>
      <c r="AU108" s="14"/>
      <c r="AV108" s="14"/>
      <c r="AW108" s="14"/>
      <c r="AX108" s="14"/>
      <c r="AY108" s="14"/>
      <c r="AZ108" s="14"/>
      <c r="BA108" s="14"/>
      <c r="BB108" s="14"/>
      <c r="BC108" s="14"/>
      <c r="BD108" s="14"/>
      <c r="BE108" s="14"/>
      <c r="BF108" s="14"/>
      <c r="BG108" s="14"/>
      <c r="BH108" s="14"/>
      <c r="BI108" s="14"/>
    </row>
    <row r="109" spans="1:61">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67">
        <v>46099</v>
      </c>
      <c r="AK109" s="14">
        <v>661.43</v>
      </c>
      <c r="AL109" s="14" t="s">
        <v>562</v>
      </c>
      <c r="AM109" s="14" t="s">
        <v>154</v>
      </c>
      <c r="AN109" s="14">
        <f>IF('ETF Data'!$H$2,IF(ISNUMBER(AK109),AK109,NA()),NA())</f>
        <v>661.43</v>
      </c>
      <c r="AO109" s="14"/>
      <c r="AP109" s="14"/>
      <c r="AQ109" s="14"/>
      <c r="AR109" s="14"/>
      <c r="AS109" s="14"/>
      <c r="AT109" s="14"/>
      <c r="AU109" s="14"/>
      <c r="AV109" s="14"/>
      <c r="AW109" s="14"/>
      <c r="AX109" s="14"/>
      <c r="AY109" s="14"/>
      <c r="AZ109" s="14"/>
      <c r="BA109" s="14"/>
      <c r="BB109" s="14"/>
      <c r="BC109" s="14"/>
      <c r="BD109" s="14"/>
      <c r="BE109" s="14"/>
      <c r="BF109" s="14"/>
      <c r="BG109" s="14"/>
      <c r="BH109" s="14"/>
      <c r="BI109" s="14"/>
    </row>
    <row r="110" spans="1:61">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67">
        <v>46100</v>
      </c>
      <c r="AK110" s="14">
        <v>659.8</v>
      </c>
      <c r="AL110" s="14" t="s">
        <v>562</v>
      </c>
      <c r="AM110" s="14" t="s">
        <v>154</v>
      </c>
      <c r="AN110" s="14">
        <f>IF('ETF Data'!$H$2,IF(ISNUMBER(AK110),AK110,NA()),NA())</f>
        <v>659.8</v>
      </c>
      <c r="AO110" s="14"/>
      <c r="AP110" s="14"/>
      <c r="AQ110" s="14"/>
      <c r="AR110" s="14"/>
      <c r="AS110" s="14"/>
      <c r="AT110" s="14"/>
      <c r="AU110" s="14"/>
      <c r="AV110" s="14"/>
      <c r="AW110" s="14"/>
      <c r="AX110" s="14"/>
      <c r="AY110" s="14"/>
      <c r="AZ110" s="14"/>
      <c r="BA110" s="14"/>
      <c r="BB110" s="14"/>
      <c r="BC110" s="14"/>
      <c r="BD110" s="14"/>
      <c r="BE110" s="14"/>
      <c r="BF110" s="14"/>
      <c r="BG110" s="14"/>
      <c r="BH110" s="14"/>
      <c r="BI110" s="14"/>
    </row>
    <row r="111" spans="1:6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67">
        <v>46101</v>
      </c>
      <c r="AK111" s="14">
        <v>648.57000000000005</v>
      </c>
      <c r="AL111" s="14" t="s">
        <v>562</v>
      </c>
      <c r="AM111" s="14" t="s">
        <v>154</v>
      </c>
      <c r="AN111" s="14">
        <f>IF('ETF Data'!$H$2,IF(ISNUMBER(AK111),AK111,NA()),NA())</f>
        <v>648.57000000000005</v>
      </c>
      <c r="AO111" s="14"/>
      <c r="AP111" s="14"/>
      <c r="AQ111" s="14"/>
      <c r="AR111" s="14"/>
      <c r="AS111" s="14"/>
      <c r="AT111" s="14"/>
      <c r="AU111" s="14"/>
      <c r="AV111" s="14"/>
      <c r="AW111" s="14"/>
      <c r="AX111" s="14"/>
      <c r="AY111" s="14"/>
      <c r="AZ111" s="14"/>
      <c r="BA111" s="14"/>
      <c r="BB111" s="14"/>
      <c r="BC111" s="14"/>
      <c r="BD111" s="14"/>
      <c r="BE111" s="14"/>
      <c r="BF111" s="14"/>
      <c r="BG111" s="14"/>
      <c r="BH111" s="14"/>
      <c r="BI111" s="14"/>
    </row>
    <row r="112" spans="1:61">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67">
        <v>46104</v>
      </c>
      <c r="AK112" s="14">
        <v>655.38</v>
      </c>
      <c r="AL112" s="14" t="s">
        <v>562</v>
      </c>
      <c r="AM112" s="14" t="s">
        <v>154</v>
      </c>
      <c r="AN112" s="14">
        <f>IF('ETF Data'!$H$2,IF(ISNUMBER(AK112),AK112,NA()),NA())</f>
        <v>655.38</v>
      </c>
      <c r="AO112" s="14"/>
      <c r="AP112" s="14"/>
      <c r="AQ112" s="14"/>
      <c r="AR112" s="14"/>
      <c r="AS112" s="14"/>
      <c r="AT112" s="14"/>
      <c r="AU112" s="14"/>
      <c r="AV112" s="14"/>
      <c r="AW112" s="14"/>
      <c r="AX112" s="14"/>
      <c r="AY112" s="14"/>
      <c r="AZ112" s="14"/>
      <c r="BA112" s="14"/>
      <c r="BB112" s="14"/>
      <c r="BC112" s="14"/>
      <c r="BD112" s="14"/>
      <c r="BE112" s="14"/>
      <c r="BF112" s="14"/>
      <c r="BG112" s="14"/>
      <c r="BH112" s="14"/>
      <c r="BI112" s="14"/>
    </row>
    <row r="113" spans="1:61">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67">
        <v>46105</v>
      </c>
      <c r="AK113" s="14">
        <v>653.17999999999995</v>
      </c>
      <c r="AL113" s="14" t="s">
        <v>562</v>
      </c>
      <c r="AM113" s="14" t="s">
        <v>154</v>
      </c>
      <c r="AN113" s="14">
        <f>IF('ETF Data'!$H$2,IF(ISNUMBER(AK113),AK113,NA()),NA())</f>
        <v>653.17999999999995</v>
      </c>
      <c r="AO113" s="14"/>
      <c r="AP113" s="14"/>
      <c r="AQ113" s="14"/>
      <c r="AR113" s="14"/>
      <c r="AS113" s="14"/>
      <c r="AT113" s="14"/>
      <c r="AU113" s="14"/>
      <c r="AV113" s="14"/>
      <c r="AW113" s="14"/>
      <c r="AX113" s="14"/>
      <c r="AY113" s="14"/>
      <c r="AZ113" s="14"/>
      <c r="BA113" s="14"/>
      <c r="BB113" s="14"/>
      <c r="BC113" s="14"/>
      <c r="BD113" s="14"/>
      <c r="BE113" s="14"/>
      <c r="BF113" s="14"/>
      <c r="BG113" s="14"/>
      <c r="BH113" s="14"/>
      <c r="BI113" s="14"/>
    </row>
    <row r="114" spans="1:6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67">
        <v>46106</v>
      </c>
      <c r="AK114" s="14">
        <v>656.82</v>
      </c>
      <c r="AL114" s="14" t="s">
        <v>562</v>
      </c>
      <c r="AM114" s="14" t="s">
        <v>154</v>
      </c>
      <c r="AN114" s="14">
        <f>IF('ETF Data'!$H$2,IF(ISNUMBER(AK114),AK114,NA()),NA())</f>
        <v>656.82</v>
      </c>
      <c r="AO114" s="14"/>
      <c r="AP114" s="14"/>
      <c r="AQ114" s="14"/>
      <c r="AR114" s="14"/>
      <c r="AS114" s="14"/>
      <c r="AT114" s="14"/>
      <c r="AU114" s="14"/>
      <c r="AV114" s="14"/>
      <c r="AW114" s="14"/>
      <c r="AX114" s="14"/>
      <c r="AY114" s="14"/>
      <c r="AZ114" s="14"/>
      <c r="BA114" s="14"/>
      <c r="BB114" s="14"/>
      <c r="BC114" s="14"/>
      <c r="BD114" s="14"/>
      <c r="BE114" s="14"/>
      <c r="BF114" s="14"/>
      <c r="BG114" s="14"/>
      <c r="BH114" s="14"/>
      <c r="BI114" s="14"/>
    </row>
    <row r="115" spans="1:61">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67">
        <v>46107</v>
      </c>
      <c r="AK115" s="14">
        <v>645.09</v>
      </c>
      <c r="AL115" s="14" t="s">
        <v>562</v>
      </c>
      <c r="AM115" s="14" t="s">
        <v>154</v>
      </c>
      <c r="AN115" s="14">
        <f>IF('ETF Data'!$H$2,IF(ISNUMBER(AK115),AK115,NA()),NA())</f>
        <v>645.09</v>
      </c>
      <c r="AO115" s="14"/>
      <c r="AP115" s="14"/>
      <c r="AQ115" s="14"/>
      <c r="AR115" s="14"/>
      <c r="AS115" s="14"/>
      <c r="AT115" s="14"/>
      <c r="AU115" s="14"/>
      <c r="AV115" s="14"/>
      <c r="AW115" s="14"/>
      <c r="AX115" s="14"/>
      <c r="AY115" s="14"/>
      <c r="AZ115" s="14"/>
      <c r="BA115" s="14"/>
      <c r="BB115" s="14"/>
      <c r="BC115" s="14"/>
      <c r="BD115" s="14"/>
      <c r="BE115" s="14"/>
      <c r="BF115" s="14"/>
      <c r="BG115" s="14"/>
      <c r="BH115" s="14"/>
      <c r="BI115" s="14"/>
    </row>
    <row r="116" spans="1:61">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67">
        <v>46108</v>
      </c>
      <c r="AK116" s="14">
        <v>634.09</v>
      </c>
      <c r="AL116" s="14" t="s">
        <v>562</v>
      </c>
      <c r="AM116" s="14" t="s">
        <v>154</v>
      </c>
      <c r="AN116" s="14">
        <f>IF('ETF Data'!$H$2,IF(ISNUMBER(AK116),AK116,NA()),NA())</f>
        <v>634.09</v>
      </c>
      <c r="AO116" s="14"/>
      <c r="AP116" s="14"/>
      <c r="AQ116" s="14"/>
      <c r="AR116" s="14"/>
      <c r="AS116" s="14"/>
      <c r="AT116" s="14"/>
      <c r="AU116" s="14"/>
      <c r="AV116" s="14"/>
      <c r="AW116" s="14"/>
      <c r="AX116" s="14"/>
      <c r="AY116" s="14"/>
      <c r="AZ116" s="14"/>
      <c r="BA116" s="14"/>
      <c r="BB116" s="14"/>
      <c r="BC116" s="14"/>
      <c r="BD116" s="14"/>
      <c r="BE116" s="14"/>
      <c r="BF116" s="14"/>
      <c r="BG116" s="14"/>
      <c r="BH116" s="14"/>
      <c r="BI116" s="14"/>
    </row>
    <row r="117" spans="1:61">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67">
        <v>46111</v>
      </c>
      <c r="AK117" s="14">
        <v>631.97</v>
      </c>
      <c r="AL117" s="14" t="s">
        <v>562</v>
      </c>
      <c r="AM117" s="14" t="s">
        <v>154</v>
      </c>
      <c r="AN117" s="14">
        <f>IF('ETF Data'!$H$2,IF(ISNUMBER(AK117),AK117,NA()),NA())</f>
        <v>631.97</v>
      </c>
      <c r="AO117" s="14"/>
      <c r="AP117" s="14"/>
      <c r="AQ117" s="14"/>
      <c r="AR117" s="14"/>
      <c r="AS117" s="14"/>
      <c r="AT117" s="14"/>
      <c r="AU117" s="14"/>
      <c r="AV117" s="14"/>
      <c r="AW117" s="14"/>
      <c r="AX117" s="14"/>
      <c r="AY117" s="14"/>
      <c r="AZ117" s="14"/>
      <c r="BA117" s="14"/>
      <c r="BB117" s="14"/>
      <c r="BC117" s="14"/>
      <c r="BD117" s="14"/>
      <c r="BE117" s="14"/>
      <c r="BF117" s="14"/>
      <c r="BG117" s="14"/>
      <c r="BH117" s="14"/>
      <c r="BI117" s="14"/>
    </row>
    <row r="118" spans="1:61">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67">
        <v>46112</v>
      </c>
      <c r="AK118" s="14">
        <v>650.34</v>
      </c>
      <c r="AL118" s="14" t="s">
        <v>562</v>
      </c>
      <c r="AM118" s="14" t="s">
        <v>154</v>
      </c>
      <c r="AN118" s="14">
        <f>IF('ETF Data'!$H$2,IF(ISNUMBER(AK118),AK118,NA()),NA())</f>
        <v>650.34</v>
      </c>
      <c r="AO118" s="14"/>
      <c r="AP118" s="14"/>
      <c r="AQ118" s="14"/>
      <c r="AR118" s="14"/>
      <c r="AS118" s="14"/>
      <c r="AT118" s="14"/>
      <c r="AU118" s="14"/>
      <c r="AV118" s="14"/>
      <c r="AW118" s="14"/>
      <c r="AX118" s="14"/>
      <c r="AY118" s="14"/>
      <c r="AZ118" s="14"/>
      <c r="BA118" s="14"/>
      <c r="BB118" s="14"/>
      <c r="BC118" s="14"/>
      <c r="BD118" s="14"/>
      <c r="BE118" s="14"/>
      <c r="BF118" s="14"/>
      <c r="BG118" s="14"/>
      <c r="BH118" s="14"/>
      <c r="BI118" s="14"/>
    </row>
    <row r="119" spans="1:61">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67">
        <v>46113</v>
      </c>
      <c r="AK119" s="14">
        <v>655.24</v>
      </c>
      <c r="AL119" s="14" t="s">
        <v>562</v>
      </c>
      <c r="AM119" s="14" t="s">
        <v>154</v>
      </c>
      <c r="AN119" s="14">
        <f>IF('ETF Data'!$H$2,IF(ISNUMBER(AK119),AK119,NA()),NA())</f>
        <v>655.24</v>
      </c>
      <c r="AO119" s="14"/>
      <c r="AP119" s="14"/>
      <c r="AQ119" s="14"/>
      <c r="AR119" s="14"/>
      <c r="AS119" s="14"/>
      <c r="AT119" s="14"/>
      <c r="AU119" s="14"/>
      <c r="AV119" s="14"/>
      <c r="AW119" s="14"/>
      <c r="AX119" s="14"/>
      <c r="AY119" s="14"/>
      <c r="AZ119" s="14"/>
      <c r="BA119" s="14"/>
      <c r="BB119" s="14"/>
      <c r="BC119" s="14"/>
      <c r="BD119" s="14"/>
      <c r="BE119" s="14"/>
      <c r="BF119" s="14"/>
      <c r="BG119" s="14"/>
      <c r="BH119" s="14"/>
      <c r="BI119" s="14"/>
    </row>
    <row r="120" spans="1:61">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67">
        <v>46114</v>
      </c>
      <c r="AK120" s="14">
        <v>655.83</v>
      </c>
      <c r="AL120" s="14" t="s">
        <v>562</v>
      </c>
      <c r="AM120" s="14" t="s">
        <v>154</v>
      </c>
      <c r="AN120" s="14">
        <f>IF('ETF Data'!$H$2,IF(ISNUMBER(AK120),AK120,NA()),NA())</f>
        <v>655.83</v>
      </c>
      <c r="AO120" s="14"/>
      <c r="AP120" s="14"/>
      <c r="AQ120" s="14"/>
      <c r="AR120" s="14"/>
      <c r="AS120" s="14"/>
      <c r="AT120" s="14"/>
      <c r="AU120" s="14"/>
      <c r="AV120" s="14"/>
      <c r="AW120" s="14"/>
      <c r="AX120" s="14"/>
      <c r="AY120" s="14"/>
      <c r="AZ120" s="14"/>
      <c r="BA120" s="14"/>
      <c r="BB120" s="14"/>
      <c r="BC120" s="14"/>
      <c r="BD120" s="14"/>
      <c r="BE120" s="14"/>
      <c r="BF120" s="14"/>
      <c r="BG120" s="14"/>
      <c r="BH120" s="14"/>
      <c r="BI120" s="14"/>
    </row>
    <row r="121" spans="1:61">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67">
        <v>46118</v>
      </c>
      <c r="AK121" s="14">
        <v>658.93</v>
      </c>
      <c r="AL121" s="14" t="s">
        <v>562</v>
      </c>
      <c r="AM121" s="14" t="s">
        <v>154</v>
      </c>
      <c r="AN121" s="14">
        <f>IF('ETF Data'!$H$2,IF(ISNUMBER(AK121),AK121,NA()),NA())</f>
        <v>658.93</v>
      </c>
      <c r="AO121" s="14"/>
      <c r="AP121" s="14"/>
      <c r="AQ121" s="14"/>
      <c r="AR121" s="14"/>
      <c r="AS121" s="14"/>
      <c r="AT121" s="14"/>
      <c r="AU121" s="14"/>
      <c r="AV121" s="14"/>
      <c r="AW121" s="14"/>
      <c r="AX121" s="14"/>
      <c r="AY121" s="14"/>
      <c r="AZ121" s="14"/>
      <c r="BA121" s="14"/>
      <c r="BB121" s="14"/>
      <c r="BC121" s="14"/>
      <c r="BD121" s="14"/>
      <c r="BE121" s="14"/>
      <c r="BF121" s="14"/>
      <c r="BG121" s="14"/>
      <c r="BH121" s="14"/>
      <c r="BI121" s="14"/>
    </row>
    <row r="122" spans="1:6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67">
        <v>46119</v>
      </c>
      <c r="AK122" s="14">
        <v>659.22</v>
      </c>
      <c r="AL122" s="14" t="s">
        <v>562</v>
      </c>
      <c r="AM122" s="14" t="s">
        <v>154</v>
      </c>
      <c r="AN122" s="14">
        <f>IF('ETF Data'!$H$2,IF(ISNUMBER(AK122),AK122,NA()),NA())</f>
        <v>659.22</v>
      </c>
      <c r="AO122" s="14"/>
      <c r="AP122" s="14"/>
      <c r="AQ122" s="14"/>
      <c r="AR122" s="14"/>
      <c r="AS122" s="14"/>
      <c r="AT122" s="14"/>
      <c r="AU122" s="14"/>
      <c r="AV122" s="14"/>
      <c r="AW122" s="14"/>
      <c r="AX122" s="14"/>
      <c r="AY122" s="14"/>
      <c r="AZ122" s="14"/>
      <c r="BA122" s="14"/>
      <c r="BB122" s="14"/>
      <c r="BC122" s="14"/>
      <c r="BD122" s="14"/>
      <c r="BE122" s="14"/>
      <c r="BF122" s="14"/>
      <c r="BG122" s="14"/>
      <c r="BH122" s="14"/>
      <c r="BI122" s="14"/>
    </row>
    <row r="123" spans="1:6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67">
        <v>46120</v>
      </c>
      <c r="AK123" s="14">
        <v>676.01</v>
      </c>
      <c r="AL123" s="14" t="s">
        <v>562</v>
      </c>
      <c r="AM123" s="14" t="s">
        <v>154</v>
      </c>
      <c r="AN123" s="14">
        <f>IF('ETF Data'!$H$2,IF(ISNUMBER(AK123),AK123,NA()),NA())</f>
        <v>676.01</v>
      </c>
      <c r="AO123" s="14"/>
      <c r="AP123" s="14"/>
      <c r="AQ123" s="14"/>
      <c r="AR123" s="14"/>
      <c r="AS123" s="14"/>
      <c r="AT123" s="14"/>
      <c r="AU123" s="14"/>
      <c r="AV123" s="14"/>
      <c r="AW123" s="14"/>
      <c r="AX123" s="14"/>
      <c r="AY123" s="14"/>
      <c r="AZ123" s="14"/>
      <c r="BA123" s="14"/>
      <c r="BB123" s="14"/>
      <c r="BC123" s="14"/>
      <c r="BD123" s="14"/>
      <c r="BE123" s="14"/>
      <c r="BF123" s="14"/>
      <c r="BG123" s="14"/>
      <c r="BH123" s="14"/>
      <c r="BI123" s="14"/>
    </row>
    <row r="124" spans="1:6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67">
        <v>46121</v>
      </c>
      <c r="AK124" s="14">
        <v>679.91</v>
      </c>
      <c r="AL124" s="14" t="s">
        <v>562</v>
      </c>
      <c r="AM124" s="14" t="s">
        <v>154</v>
      </c>
      <c r="AN124" s="14">
        <f>IF('ETF Data'!$H$2,IF(ISNUMBER(AK124),AK124,NA()),NA())</f>
        <v>679.91</v>
      </c>
      <c r="AO124" s="14"/>
      <c r="AP124" s="14"/>
      <c r="AQ124" s="14"/>
      <c r="AR124" s="14"/>
      <c r="AS124" s="14"/>
      <c r="AT124" s="14"/>
      <c r="AU124" s="14"/>
      <c r="AV124" s="14"/>
      <c r="AW124" s="14"/>
      <c r="AX124" s="14"/>
      <c r="AY124" s="14"/>
      <c r="AZ124" s="14"/>
      <c r="BA124" s="14"/>
      <c r="BB124" s="14"/>
      <c r="BC124" s="14"/>
      <c r="BD124" s="14"/>
      <c r="BE124" s="14"/>
      <c r="BF124" s="14"/>
      <c r="BG124" s="14"/>
      <c r="BH124" s="14"/>
      <c r="BI124" s="14"/>
    </row>
    <row r="125" spans="1:6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67">
        <v>46122</v>
      </c>
      <c r="AK125" s="14">
        <v>679.46</v>
      </c>
      <c r="AL125" s="14" t="s">
        <v>562</v>
      </c>
      <c r="AM125" s="14" t="s">
        <v>154</v>
      </c>
      <c r="AN125" s="14">
        <f>IF('ETF Data'!$H$2,IF(ISNUMBER(AK125),AK125,NA()),NA())</f>
        <v>679.46</v>
      </c>
      <c r="AO125" s="14"/>
      <c r="AP125" s="14"/>
      <c r="AQ125" s="14"/>
      <c r="AR125" s="14"/>
      <c r="AS125" s="14"/>
      <c r="AT125" s="14"/>
      <c r="AU125" s="14"/>
      <c r="AV125" s="14"/>
      <c r="AW125" s="14"/>
      <c r="AX125" s="14"/>
      <c r="AY125" s="14"/>
      <c r="AZ125" s="14"/>
      <c r="BA125" s="14"/>
      <c r="BB125" s="14"/>
      <c r="BC125" s="14"/>
      <c r="BD125" s="14"/>
      <c r="BE125" s="14"/>
      <c r="BF125" s="14"/>
      <c r="BG125" s="14"/>
      <c r="BH125" s="14"/>
      <c r="BI125" s="14"/>
    </row>
    <row r="126" spans="1:6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67">
        <v>46125</v>
      </c>
      <c r="AK126" s="14">
        <v>686.1</v>
      </c>
      <c r="AL126" s="14" t="s">
        <v>562</v>
      </c>
      <c r="AM126" s="14" t="s">
        <v>154</v>
      </c>
      <c r="AN126" s="14">
        <f>IF('ETF Data'!$H$2,IF(ISNUMBER(AK126),AK126,NA()),NA())</f>
        <v>686.1</v>
      </c>
      <c r="AO126" s="14"/>
      <c r="AP126" s="14"/>
      <c r="AQ126" s="14"/>
      <c r="AR126" s="14"/>
      <c r="AS126" s="14"/>
      <c r="AT126" s="14"/>
      <c r="AU126" s="14"/>
      <c r="AV126" s="14"/>
      <c r="AW126" s="14"/>
      <c r="AX126" s="14"/>
      <c r="AY126" s="14"/>
      <c r="AZ126" s="14"/>
      <c r="BA126" s="14"/>
      <c r="BB126" s="14"/>
      <c r="BC126" s="14"/>
      <c r="BD126" s="14"/>
      <c r="BE126" s="14"/>
      <c r="BF126" s="14"/>
      <c r="BG126" s="14"/>
      <c r="BH126" s="14"/>
      <c r="BI126" s="14"/>
    </row>
    <row r="127" spans="1:6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67">
        <v>46126</v>
      </c>
      <c r="AK127" s="14">
        <v>694.46</v>
      </c>
      <c r="AL127" s="14" t="s">
        <v>562</v>
      </c>
      <c r="AM127" s="14" t="s">
        <v>154</v>
      </c>
      <c r="AN127" s="14">
        <f>IF('ETF Data'!$H$2,IF(ISNUMBER(AK127),AK127,NA()),NA())</f>
        <v>694.46</v>
      </c>
      <c r="AO127" s="14"/>
      <c r="AP127" s="14"/>
      <c r="AQ127" s="14"/>
      <c r="AR127" s="14"/>
      <c r="AS127" s="14"/>
      <c r="AT127" s="14"/>
      <c r="AU127" s="14"/>
      <c r="AV127" s="14"/>
      <c r="AW127" s="14"/>
      <c r="AX127" s="14"/>
      <c r="AY127" s="14"/>
      <c r="AZ127" s="14"/>
      <c r="BA127" s="14"/>
      <c r="BB127" s="14"/>
      <c r="BC127" s="14"/>
      <c r="BD127" s="14"/>
      <c r="BE127" s="14"/>
      <c r="BF127" s="14"/>
      <c r="BG127" s="14"/>
      <c r="BH127" s="14"/>
      <c r="BI127" s="14"/>
    </row>
    <row r="128" spans="1:61">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67">
        <v>46127</v>
      </c>
      <c r="AK128" s="14">
        <v>699.94</v>
      </c>
      <c r="AL128" s="14" t="s">
        <v>562</v>
      </c>
      <c r="AM128" s="14" t="s">
        <v>154</v>
      </c>
      <c r="AN128" s="14">
        <f>IF('ETF Data'!$H$2,IF(ISNUMBER(AK128),AK128,NA()),NA())</f>
        <v>699.94</v>
      </c>
      <c r="AO128" s="14"/>
      <c r="AP128" s="14"/>
      <c r="AQ128" s="14"/>
      <c r="AR128" s="14"/>
      <c r="AS128" s="14"/>
      <c r="AT128" s="14"/>
      <c r="AU128" s="14"/>
      <c r="AV128" s="14"/>
      <c r="AW128" s="14"/>
      <c r="AX128" s="14"/>
      <c r="AY128" s="14"/>
      <c r="AZ128" s="14"/>
      <c r="BA128" s="14"/>
      <c r="BB128" s="14"/>
      <c r="BC128" s="14"/>
      <c r="BD128" s="14"/>
      <c r="BE128" s="14"/>
      <c r="BF128" s="14"/>
      <c r="BG128" s="14"/>
      <c r="BH128" s="14"/>
      <c r="BI128" s="14"/>
    </row>
    <row r="129" spans="1:6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67">
        <v>46128</v>
      </c>
      <c r="AK129" s="14">
        <v>701.66</v>
      </c>
      <c r="AL129" s="14" t="s">
        <v>562</v>
      </c>
      <c r="AM129" s="14" t="s">
        <v>154</v>
      </c>
      <c r="AN129" s="14">
        <f>IF('ETF Data'!$H$2,IF(ISNUMBER(AK129),AK129,NA()),NA())</f>
        <v>701.66</v>
      </c>
      <c r="AO129" s="14"/>
      <c r="AP129" s="14"/>
      <c r="AQ129" s="14"/>
      <c r="AR129" s="14"/>
      <c r="AS129" s="14"/>
      <c r="AT129" s="14"/>
      <c r="AU129" s="14"/>
      <c r="AV129" s="14"/>
      <c r="AW129" s="14"/>
      <c r="AX129" s="14"/>
      <c r="AY129" s="14"/>
      <c r="AZ129" s="14"/>
      <c r="BA129" s="14"/>
      <c r="BB129" s="14"/>
      <c r="BC129" s="14"/>
      <c r="BD129" s="14"/>
      <c r="BE129" s="14"/>
      <c r="BF129" s="14"/>
      <c r="BG129" s="14"/>
      <c r="BH129" s="14"/>
      <c r="BI129" s="14"/>
    </row>
    <row r="130" spans="1:6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67">
        <v>46129</v>
      </c>
      <c r="AK130" s="14">
        <v>710.14</v>
      </c>
      <c r="AL130" s="14" t="s">
        <v>562</v>
      </c>
      <c r="AM130" s="14" t="s">
        <v>154</v>
      </c>
      <c r="AN130" s="14">
        <f>IF('ETF Data'!$H$2,IF(ISNUMBER(AK130),AK130,NA()),NA())</f>
        <v>710.14</v>
      </c>
      <c r="AO130" s="14"/>
      <c r="AP130" s="14"/>
      <c r="AQ130" s="14"/>
      <c r="AR130" s="14"/>
      <c r="AS130" s="14"/>
      <c r="AT130" s="14"/>
      <c r="AU130" s="14"/>
      <c r="AV130" s="14"/>
      <c r="AW130" s="14"/>
      <c r="AX130" s="14"/>
      <c r="AY130" s="14"/>
      <c r="AZ130" s="14"/>
      <c r="BA130" s="14"/>
      <c r="BB130" s="14"/>
      <c r="BC130" s="14"/>
      <c r="BD130" s="14"/>
      <c r="BE130" s="14"/>
      <c r="BF130" s="14"/>
      <c r="BG130" s="14"/>
      <c r="BH130" s="14"/>
      <c r="BI130" s="14"/>
    </row>
    <row r="131" spans="1:61">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67">
        <v>46132</v>
      </c>
      <c r="AK131" s="14">
        <v>708.72</v>
      </c>
      <c r="AL131" s="14" t="s">
        <v>562</v>
      </c>
      <c r="AM131" s="14" t="s">
        <v>154</v>
      </c>
      <c r="AN131" s="14">
        <f>IF('ETF Data'!$H$2,IF(ISNUMBER(AK131),AK131,NA()),NA())</f>
        <v>708.72</v>
      </c>
      <c r="AO131" s="14"/>
      <c r="AP131" s="14"/>
      <c r="AQ131" s="14"/>
      <c r="AR131" s="14"/>
      <c r="AS131" s="14"/>
      <c r="AT131" s="14"/>
      <c r="AU131" s="14"/>
      <c r="AV131" s="14"/>
      <c r="AW131" s="14"/>
      <c r="AX131" s="14"/>
      <c r="AY131" s="14"/>
      <c r="AZ131" s="14"/>
      <c r="BA131" s="14"/>
      <c r="BB131" s="14"/>
      <c r="BC131" s="14"/>
      <c r="BD131" s="14"/>
      <c r="BE131" s="14"/>
      <c r="BF131" s="14"/>
      <c r="BG131" s="14"/>
      <c r="BH131" s="14"/>
      <c r="BI131" s="14"/>
    </row>
    <row r="132" spans="1:6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67">
        <v>46133</v>
      </c>
      <c r="AK132" s="14">
        <v>704.08</v>
      </c>
      <c r="AL132" s="14" t="s">
        <v>562</v>
      </c>
      <c r="AM132" s="14" t="s">
        <v>154</v>
      </c>
      <c r="AN132" s="14">
        <f>IF('ETF Data'!$H$2,IF(ISNUMBER(AK132),AK132,NA()),NA())</f>
        <v>704.08</v>
      </c>
      <c r="AO132" s="14"/>
      <c r="AP132" s="14"/>
      <c r="AQ132" s="14"/>
      <c r="AR132" s="14"/>
      <c r="AS132" s="14"/>
      <c r="AT132" s="14"/>
      <c r="AU132" s="14"/>
      <c r="AV132" s="14"/>
      <c r="AW132" s="14"/>
      <c r="AX132" s="14"/>
      <c r="AY132" s="14"/>
      <c r="AZ132" s="14"/>
      <c r="BA132" s="14"/>
      <c r="BB132" s="14"/>
      <c r="BC132" s="14"/>
      <c r="BD132" s="14"/>
      <c r="BE132" s="14"/>
      <c r="BF132" s="14"/>
      <c r="BG132" s="14"/>
      <c r="BH132" s="14"/>
      <c r="BI132" s="14"/>
    </row>
    <row r="133" spans="1:6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67">
        <v>46134</v>
      </c>
      <c r="AK133" s="14">
        <v>711.21</v>
      </c>
      <c r="AL133" s="14" t="s">
        <v>562</v>
      </c>
      <c r="AM133" s="14" t="s">
        <v>154</v>
      </c>
      <c r="AN133" s="14">
        <f>IF('ETF Data'!$H$2,IF(ISNUMBER(AK133),AK133,NA()),NA())</f>
        <v>711.21</v>
      </c>
      <c r="AO133" s="14"/>
      <c r="AP133" s="14"/>
      <c r="AQ133" s="14"/>
      <c r="AR133" s="14"/>
      <c r="AS133" s="14"/>
      <c r="AT133" s="14"/>
      <c r="AU133" s="14"/>
      <c r="AV133" s="14"/>
      <c r="AW133" s="14"/>
      <c r="AX133" s="14"/>
      <c r="AY133" s="14"/>
      <c r="AZ133" s="14"/>
      <c r="BA133" s="14"/>
      <c r="BB133" s="14"/>
      <c r="BC133" s="14"/>
      <c r="BD133" s="14"/>
      <c r="BE133" s="14"/>
      <c r="BF133" s="14"/>
      <c r="BG133" s="14"/>
      <c r="BH133" s="14"/>
      <c r="BI133" s="14"/>
    </row>
    <row r="134" spans="1:6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67">
        <v>46135</v>
      </c>
      <c r="AK134" s="14">
        <v>708.45</v>
      </c>
      <c r="AL134" s="14" t="s">
        <v>562</v>
      </c>
      <c r="AM134" s="14" t="s">
        <v>154</v>
      </c>
      <c r="AN134" s="14">
        <f>IF('ETF Data'!$H$2,IF(ISNUMBER(AK134),AK134,NA()),NA())</f>
        <v>708.45</v>
      </c>
      <c r="AO134" s="14"/>
      <c r="AP134" s="14"/>
      <c r="AQ134" s="14"/>
      <c r="AR134" s="14"/>
      <c r="AS134" s="14"/>
      <c r="AT134" s="14"/>
      <c r="AU134" s="14"/>
      <c r="AV134" s="14"/>
      <c r="AW134" s="14"/>
      <c r="AX134" s="14"/>
      <c r="AY134" s="14"/>
      <c r="AZ134" s="14"/>
      <c r="BA134" s="14"/>
      <c r="BB134" s="14"/>
      <c r="BC134" s="14"/>
      <c r="BD134" s="14"/>
      <c r="BE134" s="14"/>
      <c r="BF134" s="14"/>
      <c r="BG134" s="14"/>
      <c r="BH134" s="14"/>
      <c r="BI134" s="14"/>
    </row>
    <row r="135" spans="1:61">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67">
        <v>46136</v>
      </c>
      <c r="AK135" s="14">
        <v>713.94</v>
      </c>
      <c r="AL135" s="14" t="s">
        <v>562</v>
      </c>
      <c r="AM135" s="14" t="s">
        <v>154</v>
      </c>
      <c r="AN135" s="14">
        <f>IF('ETF Data'!$H$2,IF(ISNUMBER(AK135),AK135,NA()),NA())</f>
        <v>713.94</v>
      </c>
      <c r="AO135" s="14"/>
      <c r="AP135" s="14"/>
      <c r="AQ135" s="14"/>
      <c r="AR135" s="14"/>
      <c r="AS135" s="14"/>
      <c r="AT135" s="14"/>
      <c r="AU135" s="14"/>
      <c r="AV135" s="14"/>
      <c r="AW135" s="14"/>
      <c r="AX135" s="14"/>
      <c r="AY135" s="14"/>
      <c r="AZ135" s="14"/>
      <c r="BA135" s="14"/>
      <c r="BB135" s="14"/>
      <c r="BC135" s="14"/>
      <c r="BD135" s="14"/>
      <c r="BE135" s="14"/>
      <c r="BF135" s="14"/>
      <c r="BG135" s="14"/>
      <c r="BH135" s="14"/>
      <c r="BI135" s="14"/>
    </row>
    <row r="136" spans="1:61">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67">
        <v>46139</v>
      </c>
      <c r="AK136" s="14">
        <v>715.17</v>
      </c>
      <c r="AL136" s="14" t="s">
        <v>562</v>
      </c>
      <c r="AM136" s="14" t="s">
        <v>154</v>
      </c>
      <c r="AN136" s="14">
        <f>IF('ETF Data'!$H$2,IF(ISNUMBER(AK136),AK136,NA()),NA())</f>
        <v>715.17</v>
      </c>
      <c r="AO136" s="14"/>
      <c r="AP136" s="14"/>
      <c r="AQ136" s="14"/>
      <c r="AR136" s="14"/>
      <c r="AS136" s="14"/>
      <c r="AT136" s="14"/>
      <c r="AU136" s="14"/>
      <c r="AV136" s="14"/>
      <c r="AW136" s="14"/>
      <c r="AX136" s="14"/>
      <c r="AY136" s="14"/>
      <c r="AZ136" s="14"/>
      <c r="BA136" s="14"/>
      <c r="BB136" s="14"/>
      <c r="BC136" s="14"/>
      <c r="BD136" s="14"/>
      <c r="BE136" s="14"/>
      <c r="BF136" s="14"/>
      <c r="BG136" s="14"/>
      <c r="BH136" s="14"/>
      <c r="BI136" s="14"/>
    </row>
    <row r="137" spans="1:6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67">
        <v>46140</v>
      </c>
      <c r="AK137" s="14">
        <v>711.69</v>
      </c>
      <c r="AL137" s="14" t="s">
        <v>562</v>
      </c>
      <c r="AM137" s="14" t="s">
        <v>154</v>
      </c>
      <c r="AN137" s="14">
        <f>IF('ETF Data'!$H$2,IF(ISNUMBER(AK137),AK137,NA()),NA())</f>
        <v>711.69</v>
      </c>
      <c r="AO137" s="14"/>
      <c r="AP137" s="14"/>
      <c r="AQ137" s="14"/>
      <c r="AR137" s="14"/>
      <c r="AS137" s="14"/>
      <c r="AT137" s="14"/>
      <c r="AU137" s="14"/>
      <c r="AV137" s="14"/>
      <c r="AW137" s="14"/>
      <c r="AX137" s="14"/>
      <c r="AY137" s="14"/>
      <c r="AZ137" s="14"/>
      <c r="BA137" s="14"/>
      <c r="BB137" s="14"/>
      <c r="BC137" s="14"/>
      <c r="BD137" s="14"/>
      <c r="BE137" s="14"/>
      <c r="BF137" s="14"/>
      <c r="BG137" s="14"/>
      <c r="BH137" s="14"/>
      <c r="BI137" s="14"/>
    </row>
    <row r="138" spans="1:61">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67">
        <v>46141</v>
      </c>
      <c r="AK138" s="14">
        <v>711.58</v>
      </c>
      <c r="AL138" s="14" t="s">
        <v>562</v>
      </c>
      <c r="AM138" s="14" t="s">
        <v>154</v>
      </c>
      <c r="AN138" s="14">
        <f>IF('ETF Data'!$H$2,IF(ISNUMBER(AK138),AK138,NA()),NA())</f>
        <v>711.58</v>
      </c>
      <c r="AO138" s="14"/>
      <c r="AP138" s="14"/>
      <c r="AQ138" s="14"/>
      <c r="AR138" s="14"/>
      <c r="AS138" s="14"/>
      <c r="AT138" s="14"/>
      <c r="AU138" s="14"/>
      <c r="AV138" s="14"/>
      <c r="AW138" s="14"/>
      <c r="AX138" s="14"/>
      <c r="AY138" s="14"/>
      <c r="AZ138" s="14"/>
      <c r="BA138" s="14"/>
      <c r="BB138" s="14"/>
      <c r="BC138" s="14"/>
      <c r="BD138" s="14"/>
      <c r="BE138" s="14"/>
      <c r="BF138" s="14"/>
      <c r="BG138" s="14"/>
      <c r="BH138" s="14"/>
      <c r="BI138" s="14"/>
    </row>
    <row r="139" spans="1:6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67">
        <v>46142</v>
      </c>
      <c r="AK139" s="14">
        <v>718.66</v>
      </c>
      <c r="AL139" s="14" t="s">
        <v>562</v>
      </c>
      <c r="AM139" s="14" t="s">
        <v>154</v>
      </c>
      <c r="AN139" s="14">
        <f>IF('ETF Data'!$H$2,IF(ISNUMBER(AK139),AK139,NA()),NA())</f>
        <v>718.66</v>
      </c>
      <c r="AO139" s="14"/>
      <c r="AP139" s="14"/>
      <c r="AQ139" s="14"/>
      <c r="AR139" s="14"/>
      <c r="AS139" s="14"/>
      <c r="AT139" s="14"/>
      <c r="AU139" s="14"/>
      <c r="AV139" s="14"/>
      <c r="AW139" s="14"/>
      <c r="AX139" s="14"/>
      <c r="AY139" s="14"/>
      <c r="AZ139" s="14"/>
      <c r="BA139" s="14"/>
      <c r="BB139" s="14"/>
      <c r="BC139" s="14"/>
      <c r="BD139" s="14"/>
      <c r="BE139" s="14"/>
      <c r="BF139" s="14"/>
      <c r="BG139" s="14"/>
      <c r="BH139" s="14"/>
      <c r="BI139" s="14"/>
    </row>
    <row r="140" spans="1:6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67">
        <v>46143</v>
      </c>
      <c r="AK140" s="14">
        <v>720.65</v>
      </c>
      <c r="AL140" s="14" t="s">
        <v>562</v>
      </c>
      <c r="AM140" s="14" t="s">
        <v>154</v>
      </c>
      <c r="AN140" s="14">
        <f>IF('ETF Data'!$H$2,IF(ISNUMBER(AK140),AK140,NA()),NA())</f>
        <v>720.65</v>
      </c>
      <c r="AO140" s="14"/>
      <c r="AP140" s="14"/>
      <c r="AQ140" s="14"/>
      <c r="AR140" s="14"/>
      <c r="AS140" s="14"/>
      <c r="AT140" s="14"/>
      <c r="AU140" s="14"/>
      <c r="AV140" s="14"/>
      <c r="AW140" s="14"/>
      <c r="AX140" s="14"/>
      <c r="AY140" s="14"/>
      <c r="AZ140" s="14"/>
      <c r="BA140" s="14"/>
      <c r="BB140" s="14"/>
      <c r="BC140" s="14"/>
      <c r="BD140" s="14"/>
      <c r="BE140" s="14"/>
      <c r="BF140" s="14"/>
      <c r="BG140" s="14"/>
      <c r="BH140" s="14"/>
      <c r="BI140" s="14"/>
    </row>
    <row r="141" spans="1:6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67">
        <v>46146</v>
      </c>
      <c r="AK141" s="14">
        <v>718.01</v>
      </c>
      <c r="AL141" s="14" t="s">
        <v>562</v>
      </c>
      <c r="AM141" s="14" t="s">
        <v>154</v>
      </c>
      <c r="AN141" s="14">
        <f>IF('ETF Data'!$H$2,IF(ISNUMBER(AK141),AK141,NA()),NA())</f>
        <v>718.01</v>
      </c>
      <c r="AO141" s="14"/>
      <c r="AP141" s="14"/>
      <c r="AQ141" s="14"/>
      <c r="AR141" s="14"/>
      <c r="AS141" s="14"/>
      <c r="AT141" s="14"/>
      <c r="AU141" s="14"/>
      <c r="AV141" s="14"/>
      <c r="AW141" s="14"/>
      <c r="AX141" s="14"/>
      <c r="AY141" s="14"/>
      <c r="AZ141" s="14"/>
      <c r="BA141" s="14"/>
      <c r="BB141" s="14"/>
      <c r="BC141" s="14"/>
      <c r="BD141" s="14"/>
      <c r="BE141" s="14"/>
      <c r="BF141" s="14"/>
      <c r="BG141" s="14"/>
      <c r="BH141" s="14"/>
      <c r="BI141" s="14"/>
    </row>
    <row r="142" spans="1:6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67">
        <v>46147</v>
      </c>
      <c r="AK142" s="14">
        <v>723.77</v>
      </c>
      <c r="AL142" s="14" t="s">
        <v>562</v>
      </c>
      <c r="AM142" s="14" t="s">
        <v>154</v>
      </c>
      <c r="AN142" s="14">
        <f>IF('ETF Data'!$H$2,IF(ISNUMBER(AK142),AK142,NA()),NA())</f>
        <v>723.77</v>
      </c>
      <c r="AO142" s="14"/>
      <c r="AP142" s="14"/>
      <c r="AQ142" s="14"/>
      <c r="AR142" s="14"/>
      <c r="AS142" s="14"/>
      <c r="AT142" s="14"/>
      <c r="AU142" s="14"/>
      <c r="AV142" s="14"/>
      <c r="AW142" s="14"/>
      <c r="AX142" s="14"/>
      <c r="AY142" s="14"/>
      <c r="AZ142" s="14"/>
      <c r="BA142" s="14"/>
      <c r="BB142" s="14"/>
      <c r="BC142" s="14"/>
      <c r="BD142" s="14"/>
      <c r="BE142" s="14"/>
      <c r="BF142" s="14"/>
      <c r="BG142" s="14"/>
      <c r="BH142" s="14"/>
      <c r="BI142" s="14"/>
    </row>
    <row r="143" spans="1:6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67">
        <v>46148</v>
      </c>
      <c r="AK143" s="14">
        <v>733.83</v>
      </c>
      <c r="AL143" s="14" t="s">
        <v>562</v>
      </c>
      <c r="AM143" s="14" t="s">
        <v>154</v>
      </c>
      <c r="AN143" s="14">
        <f>IF('ETF Data'!$H$2,IF(ISNUMBER(AK143),AK143,NA()),NA())</f>
        <v>733.83</v>
      </c>
      <c r="AO143" s="14"/>
      <c r="AP143" s="14"/>
      <c r="AQ143" s="14"/>
      <c r="AR143" s="14"/>
      <c r="AS143" s="14"/>
      <c r="AT143" s="14"/>
      <c r="AU143" s="14"/>
      <c r="AV143" s="14"/>
      <c r="AW143" s="14"/>
      <c r="AX143" s="14"/>
      <c r="AY143" s="14"/>
      <c r="AZ143" s="14"/>
      <c r="BA143" s="14"/>
      <c r="BB143" s="14"/>
      <c r="BC143" s="14"/>
      <c r="BD143" s="14"/>
      <c r="BE143" s="14"/>
      <c r="BF143" s="14"/>
      <c r="BG143" s="14"/>
      <c r="BH143" s="14"/>
      <c r="BI143" s="14"/>
    </row>
    <row r="144" spans="1:6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67">
        <v>46149</v>
      </c>
      <c r="AK144" s="14">
        <v>731.58</v>
      </c>
      <c r="AL144" s="14" t="s">
        <v>562</v>
      </c>
      <c r="AM144" s="14" t="s">
        <v>154</v>
      </c>
      <c r="AN144" s="14">
        <f>IF('ETF Data'!$H$2,IF(ISNUMBER(AK144),AK144,NA()),NA())</f>
        <v>731.58</v>
      </c>
      <c r="AO144" s="14"/>
      <c r="AP144" s="14"/>
      <c r="AQ144" s="14"/>
      <c r="AR144" s="14"/>
      <c r="AS144" s="14"/>
      <c r="AT144" s="14"/>
      <c r="AU144" s="14"/>
      <c r="AV144" s="14"/>
      <c r="AW144" s="14"/>
      <c r="AX144" s="14"/>
      <c r="AY144" s="14"/>
      <c r="AZ144" s="14"/>
      <c r="BA144" s="14"/>
      <c r="BB144" s="14"/>
      <c r="BC144" s="14"/>
      <c r="BD144" s="14"/>
      <c r="BE144" s="14"/>
      <c r="BF144" s="14"/>
      <c r="BG144" s="14"/>
      <c r="BH144" s="14"/>
      <c r="BI144" s="14"/>
    </row>
    <row r="145" spans="1:6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67">
        <v>46150</v>
      </c>
      <c r="AK145" s="14">
        <v>737.62</v>
      </c>
      <c r="AL145" s="14" t="s">
        <v>562</v>
      </c>
      <c r="AM145" s="14" t="s">
        <v>154</v>
      </c>
      <c r="AN145" s="14">
        <f>IF('ETF Data'!$H$2,IF(ISNUMBER(AK145),AK145,NA()),NA())</f>
        <v>737.62</v>
      </c>
      <c r="AO145" s="14"/>
      <c r="AP145" s="14"/>
      <c r="AQ145" s="14"/>
      <c r="AR145" s="14"/>
      <c r="AS145" s="14"/>
      <c r="AT145" s="14"/>
      <c r="AU145" s="14"/>
      <c r="AV145" s="14"/>
      <c r="AW145" s="14"/>
      <c r="AX145" s="14"/>
      <c r="AY145" s="14"/>
      <c r="AZ145" s="14"/>
      <c r="BA145" s="14"/>
      <c r="BB145" s="14"/>
      <c r="BC145" s="14"/>
      <c r="BD145" s="14"/>
      <c r="BE145" s="14"/>
      <c r="BF145" s="14"/>
      <c r="BG145" s="14"/>
      <c r="BH145" s="14"/>
      <c r="BI145" s="14"/>
    </row>
    <row r="146" spans="1:6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67">
        <v>46153</v>
      </c>
      <c r="AK146" s="14">
        <v>739.3</v>
      </c>
      <c r="AL146" s="14" t="s">
        <v>562</v>
      </c>
      <c r="AM146" s="14" t="s">
        <v>154</v>
      </c>
      <c r="AN146" s="14">
        <f>IF('ETF Data'!$H$2,IF(ISNUMBER(AK146),AK146,NA()),NA())</f>
        <v>739.3</v>
      </c>
      <c r="AO146" s="14"/>
      <c r="AP146" s="14"/>
      <c r="AQ146" s="14"/>
      <c r="AR146" s="14"/>
      <c r="AS146" s="14"/>
      <c r="AT146" s="14"/>
      <c r="AU146" s="14"/>
      <c r="AV146" s="14"/>
      <c r="AW146" s="14"/>
      <c r="AX146" s="14"/>
      <c r="AY146" s="14"/>
      <c r="AZ146" s="14"/>
      <c r="BA146" s="14"/>
      <c r="BB146" s="14"/>
      <c r="BC146" s="14"/>
      <c r="BD146" s="14"/>
      <c r="BE146" s="14"/>
      <c r="BF146" s="14"/>
      <c r="BG146" s="14"/>
      <c r="BH146" s="14"/>
      <c r="BI146" s="14"/>
    </row>
    <row r="147" spans="1:6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67">
        <v>46154</v>
      </c>
      <c r="AK147" s="14">
        <v>738.18</v>
      </c>
      <c r="AL147" s="14" t="s">
        <v>562</v>
      </c>
      <c r="AM147" s="14" t="s">
        <v>154</v>
      </c>
      <c r="AN147" s="14">
        <f>IF('ETF Data'!$H$2,IF(ISNUMBER(AK147),AK147,NA()),NA())</f>
        <v>738.18</v>
      </c>
      <c r="AO147" s="14"/>
      <c r="AP147" s="14"/>
      <c r="AQ147" s="14"/>
      <c r="AR147" s="14"/>
      <c r="AS147" s="14"/>
      <c r="AT147" s="14"/>
      <c r="AU147" s="14"/>
      <c r="AV147" s="14"/>
      <c r="AW147" s="14"/>
      <c r="AX147" s="14"/>
      <c r="AY147" s="14"/>
      <c r="AZ147" s="14"/>
      <c r="BA147" s="14"/>
      <c r="BB147" s="14"/>
      <c r="BC147" s="14"/>
      <c r="BD147" s="14"/>
      <c r="BE147" s="14"/>
      <c r="BF147" s="14"/>
      <c r="BG147" s="14"/>
      <c r="BH147" s="14"/>
      <c r="BI147" s="14"/>
    </row>
    <row r="148" spans="1:6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67">
        <v>46155</v>
      </c>
      <c r="AK148" s="14">
        <v>742.31</v>
      </c>
      <c r="AL148" s="14" t="s">
        <v>562</v>
      </c>
      <c r="AM148" s="14" t="s">
        <v>154</v>
      </c>
      <c r="AN148" s="14">
        <f>IF('ETF Data'!$H$2,IF(ISNUMBER(AK148),AK148,NA()),NA())</f>
        <v>742.31</v>
      </c>
      <c r="AO148" s="14"/>
      <c r="AP148" s="14"/>
      <c r="AQ148" s="14"/>
      <c r="AR148" s="14"/>
      <c r="AS148" s="14"/>
      <c r="AT148" s="14"/>
      <c r="AU148" s="14"/>
      <c r="AV148" s="14"/>
      <c r="AW148" s="14"/>
      <c r="AX148" s="14"/>
      <c r="AY148" s="14"/>
      <c r="AZ148" s="14"/>
      <c r="BA148" s="14"/>
      <c r="BB148" s="14"/>
      <c r="BC148" s="14"/>
      <c r="BD148" s="14"/>
      <c r="BE148" s="14"/>
      <c r="BF148" s="14"/>
      <c r="BG148" s="14"/>
      <c r="BH148" s="14"/>
      <c r="BI148" s="14"/>
    </row>
    <row r="149" spans="1:6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67">
        <v>46156</v>
      </c>
      <c r="AK149" s="14">
        <v>748.17</v>
      </c>
      <c r="AL149" s="14" t="s">
        <v>562</v>
      </c>
      <c r="AM149" s="14" t="s">
        <v>154</v>
      </c>
      <c r="AN149" s="14">
        <f>IF('ETF Data'!$H$2,IF(ISNUMBER(AK149),AK149,NA()),NA())</f>
        <v>748.17</v>
      </c>
      <c r="AO149" s="14"/>
      <c r="AP149" s="14"/>
      <c r="AQ149" s="14"/>
      <c r="AR149" s="14"/>
      <c r="AS149" s="14"/>
      <c r="AT149" s="14"/>
      <c r="AU149" s="14"/>
      <c r="AV149" s="14"/>
      <c r="AW149" s="14"/>
      <c r="AX149" s="14"/>
      <c r="AY149" s="14"/>
      <c r="AZ149" s="14"/>
      <c r="BA149" s="14"/>
      <c r="BB149" s="14"/>
      <c r="BC149" s="14"/>
      <c r="BD149" s="14"/>
      <c r="BE149" s="14"/>
      <c r="BF149" s="14"/>
      <c r="BG149" s="14"/>
      <c r="BH149" s="14"/>
      <c r="BI149" s="14"/>
    </row>
    <row r="150" spans="1:6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67">
        <v>46157</v>
      </c>
      <c r="AK150" s="14">
        <v>739.17</v>
      </c>
      <c r="AL150" s="14" t="s">
        <v>562</v>
      </c>
      <c r="AM150" s="14" t="s">
        <v>154</v>
      </c>
      <c r="AN150" s="14">
        <f>IF('ETF Data'!$H$2,IF(ISNUMBER(AK150),AK150,NA()),NA())</f>
        <v>739.17</v>
      </c>
      <c r="AO150" s="14"/>
      <c r="AP150" s="14"/>
      <c r="AQ150" s="14"/>
      <c r="AR150" s="14"/>
      <c r="AS150" s="14"/>
      <c r="AT150" s="14"/>
      <c r="AU150" s="14"/>
      <c r="AV150" s="14"/>
      <c r="AW150" s="14"/>
      <c r="AX150" s="14"/>
      <c r="AY150" s="14"/>
      <c r="AZ150" s="14"/>
      <c r="BA150" s="14"/>
      <c r="BB150" s="14"/>
      <c r="BC150" s="14"/>
      <c r="BD150" s="14"/>
      <c r="BE150" s="14"/>
      <c r="BF150" s="14"/>
      <c r="BG150" s="14"/>
      <c r="BH150" s="14"/>
      <c r="BI150" s="14"/>
    </row>
    <row r="151" spans="1:6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67">
        <v>46160</v>
      </c>
      <c r="AK151" s="14">
        <v>738.65</v>
      </c>
      <c r="AL151" s="14" t="s">
        <v>562</v>
      </c>
      <c r="AM151" s="14" t="s">
        <v>154</v>
      </c>
      <c r="AN151" s="14">
        <f>IF('ETF Data'!$H$2,IF(ISNUMBER(AK151),AK151,NA()),NA())</f>
        <v>738.65</v>
      </c>
      <c r="AO151" s="14"/>
      <c r="AP151" s="14"/>
      <c r="AQ151" s="14"/>
      <c r="AR151" s="14"/>
      <c r="AS151" s="14"/>
      <c r="AT151" s="14"/>
      <c r="AU151" s="14"/>
      <c r="AV151" s="14"/>
      <c r="AW151" s="14"/>
      <c r="AX151" s="14"/>
      <c r="AY151" s="14"/>
      <c r="AZ151" s="14"/>
      <c r="BA151" s="14"/>
      <c r="BB151" s="14"/>
      <c r="BC151" s="14"/>
      <c r="BD151" s="14"/>
      <c r="BE151" s="14"/>
      <c r="BF151" s="14"/>
      <c r="BG151" s="14"/>
      <c r="BH151" s="14"/>
      <c r="BI151" s="14"/>
    </row>
    <row r="152" spans="1:6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67">
        <v>46161</v>
      </c>
      <c r="AK152" s="14">
        <v>733.73</v>
      </c>
      <c r="AL152" s="14" t="s">
        <v>562</v>
      </c>
      <c r="AM152" s="14" t="s">
        <v>154</v>
      </c>
      <c r="AN152" s="14">
        <f>IF('ETF Data'!$H$2,IF(ISNUMBER(AK152),AK152,NA()),NA())</f>
        <v>733.73</v>
      </c>
      <c r="AO152" s="14"/>
      <c r="AP152" s="14"/>
      <c r="AQ152" s="14"/>
      <c r="AR152" s="14"/>
      <c r="AS152" s="14"/>
      <c r="AT152" s="14"/>
      <c r="AU152" s="14"/>
      <c r="AV152" s="14"/>
      <c r="AW152" s="14"/>
      <c r="AX152" s="14"/>
      <c r="AY152" s="14"/>
      <c r="AZ152" s="14"/>
      <c r="BA152" s="14"/>
      <c r="BB152" s="14"/>
      <c r="BC152" s="14"/>
      <c r="BD152" s="14"/>
      <c r="BE152" s="14"/>
      <c r="BF152" s="14"/>
      <c r="BG152" s="14"/>
      <c r="BH152" s="14"/>
      <c r="BI152" s="14"/>
    </row>
    <row r="153" spans="1:6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67">
        <v>46162</v>
      </c>
      <c r="AK153" s="14">
        <v>741.25</v>
      </c>
      <c r="AL153" s="14" t="s">
        <v>562</v>
      </c>
      <c r="AM153" s="14" t="s">
        <v>154</v>
      </c>
      <c r="AN153" s="14">
        <f>IF('ETF Data'!$H$2,IF(ISNUMBER(AK153),AK153,NA()),NA())</f>
        <v>741.25</v>
      </c>
      <c r="AO153" s="14"/>
      <c r="AP153" s="14"/>
      <c r="AQ153" s="14"/>
      <c r="AR153" s="14"/>
      <c r="AS153" s="14"/>
      <c r="AT153" s="14"/>
      <c r="AU153" s="14"/>
      <c r="AV153" s="14"/>
      <c r="AW153" s="14"/>
      <c r="AX153" s="14"/>
      <c r="AY153" s="14"/>
      <c r="AZ153" s="14"/>
      <c r="BA153" s="14"/>
      <c r="BB153" s="14"/>
      <c r="BC153" s="14"/>
      <c r="BD153" s="14"/>
      <c r="BE153" s="14"/>
      <c r="BF153" s="14"/>
      <c r="BG153" s="14"/>
      <c r="BH153" s="14"/>
      <c r="BI153" s="14"/>
    </row>
    <row r="154" spans="1:6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67">
        <v>46163</v>
      </c>
      <c r="AK154" s="14">
        <v>742.72</v>
      </c>
      <c r="AL154" s="14" t="s">
        <v>562</v>
      </c>
      <c r="AM154" s="14" t="s">
        <v>154</v>
      </c>
      <c r="AN154" s="14">
        <f>IF('ETF Data'!$H$2,IF(ISNUMBER(AK154),AK154,NA()),NA())</f>
        <v>742.72</v>
      </c>
      <c r="AO154" s="14"/>
      <c r="AP154" s="14"/>
      <c r="AQ154" s="14"/>
      <c r="AR154" s="14"/>
      <c r="AS154" s="14"/>
      <c r="AT154" s="14"/>
      <c r="AU154" s="14"/>
      <c r="AV154" s="14"/>
      <c r="AW154" s="14"/>
      <c r="AX154" s="14"/>
      <c r="AY154" s="14"/>
      <c r="AZ154" s="14"/>
      <c r="BA154" s="14"/>
      <c r="BB154" s="14"/>
      <c r="BC154" s="14"/>
      <c r="BD154" s="14"/>
      <c r="BE154" s="14"/>
      <c r="BF154" s="14"/>
      <c r="BG154" s="14"/>
      <c r="BH154" s="14"/>
      <c r="BI154" s="14"/>
    </row>
    <row r="155" spans="1:6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67">
        <v>46164</v>
      </c>
      <c r="AK155" s="14">
        <v>745.64</v>
      </c>
      <c r="AL155" s="14" t="s">
        <v>562</v>
      </c>
      <c r="AM155" s="14" t="s">
        <v>154</v>
      </c>
      <c r="AN155" s="14">
        <f>IF('ETF Data'!$H$2,IF(ISNUMBER(AK155),AK155,NA()),NA())</f>
        <v>745.64</v>
      </c>
      <c r="AO155" s="14"/>
      <c r="AP155" s="14"/>
      <c r="AQ155" s="14"/>
      <c r="AR155" s="14"/>
      <c r="AS155" s="14"/>
      <c r="AT155" s="14"/>
      <c r="AU155" s="14"/>
      <c r="AV155" s="14"/>
      <c r="AW155" s="14"/>
      <c r="AX155" s="14"/>
      <c r="AY155" s="14"/>
      <c r="AZ155" s="14"/>
      <c r="BA155" s="14"/>
      <c r="BB155" s="14"/>
      <c r="BC155" s="14"/>
      <c r="BD155" s="14"/>
      <c r="BE155" s="14"/>
      <c r="BF155" s="14"/>
      <c r="BG155" s="14"/>
      <c r="BH155" s="14"/>
      <c r="BI155" s="14"/>
    </row>
    <row r="156" spans="1:6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67">
        <v>46168</v>
      </c>
      <c r="AK156" s="14">
        <v>750.59</v>
      </c>
      <c r="AL156" s="14" t="s">
        <v>562</v>
      </c>
      <c r="AM156" s="14" t="s">
        <v>154</v>
      </c>
      <c r="AN156" s="14">
        <f>IF('ETF Data'!$H$2,IF(ISNUMBER(AK156),AK156,NA()),NA())</f>
        <v>750.59</v>
      </c>
      <c r="AO156" s="14"/>
      <c r="AP156" s="14"/>
      <c r="AQ156" s="14"/>
      <c r="AR156" s="14"/>
      <c r="AS156" s="14"/>
      <c r="AT156" s="14"/>
      <c r="AU156" s="14"/>
      <c r="AV156" s="14"/>
      <c r="AW156" s="14"/>
      <c r="AX156" s="14"/>
      <c r="AY156" s="14"/>
      <c r="AZ156" s="14"/>
      <c r="BA156" s="14"/>
      <c r="BB156" s="14"/>
      <c r="BC156" s="14"/>
      <c r="BD156" s="14"/>
      <c r="BE156" s="14"/>
      <c r="BF156" s="14"/>
      <c r="BG156" s="14"/>
      <c r="BH156" s="14"/>
      <c r="BI156" s="14"/>
    </row>
    <row r="157" spans="1:6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67">
        <v>46169</v>
      </c>
      <c r="AK157" s="14">
        <v>750.46</v>
      </c>
      <c r="AL157" s="14" t="s">
        <v>562</v>
      </c>
      <c r="AM157" s="14" t="s">
        <v>154</v>
      </c>
      <c r="AN157" s="14">
        <f>IF('ETF Data'!$H$2,IF(ISNUMBER(AK157),AK157,NA()),NA())</f>
        <v>750.46</v>
      </c>
      <c r="AO157" s="14"/>
      <c r="AP157" s="14"/>
      <c r="AQ157" s="14"/>
      <c r="AR157" s="14"/>
      <c r="AS157" s="14"/>
      <c r="AT157" s="14"/>
      <c r="AU157" s="14"/>
      <c r="AV157" s="14"/>
      <c r="AW157" s="14"/>
      <c r="AX157" s="14"/>
      <c r="AY157" s="14"/>
      <c r="AZ157" s="14"/>
      <c r="BA157" s="14"/>
      <c r="BB157" s="14"/>
      <c r="BC157" s="14"/>
      <c r="BD157" s="14"/>
      <c r="BE157" s="14"/>
      <c r="BF157" s="14"/>
      <c r="BG157" s="14"/>
      <c r="BH157" s="14"/>
      <c r="BI157" s="14"/>
    </row>
    <row r="158" spans="1:6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67">
        <v>46170</v>
      </c>
      <c r="AK158" s="14">
        <v>754.6</v>
      </c>
      <c r="AL158" s="14" t="s">
        <v>562</v>
      </c>
      <c r="AM158" s="14" t="s">
        <v>154</v>
      </c>
      <c r="AN158" s="14">
        <f>IF('ETF Data'!$H$2,IF(ISNUMBER(AK158),AK158,NA()),NA())</f>
        <v>754.6</v>
      </c>
      <c r="AO158" s="14"/>
      <c r="AP158" s="14"/>
      <c r="AQ158" s="14"/>
      <c r="AR158" s="14"/>
      <c r="AS158" s="14"/>
      <c r="AT158" s="14"/>
      <c r="AU158" s="14"/>
      <c r="AV158" s="14"/>
      <c r="AW158" s="14"/>
      <c r="AX158" s="14"/>
      <c r="AY158" s="14"/>
      <c r="AZ158" s="14"/>
      <c r="BA158" s="14"/>
      <c r="BB158" s="14"/>
      <c r="BC158" s="14"/>
      <c r="BD158" s="14"/>
      <c r="BE158" s="14"/>
      <c r="BF158" s="14"/>
      <c r="BG158" s="14"/>
      <c r="BH158" s="14"/>
      <c r="BI158" s="14"/>
    </row>
    <row r="159" spans="1:6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67">
        <v>46171</v>
      </c>
      <c r="AK159" s="14">
        <v>756.48</v>
      </c>
      <c r="AL159" s="14" t="s">
        <v>562</v>
      </c>
      <c r="AM159" s="14" t="s">
        <v>154</v>
      </c>
      <c r="AN159" s="14">
        <f>IF('ETF Data'!$H$2,IF(ISNUMBER(AK159),AK159,NA()),NA())</f>
        <v>756.48</v>
      </c>
      <c r="AO159" s="14"/>
      <c r="AP159" s="14"/>
      <c r="AQ159" s="14"/>
      <c r="AR159" s="14"/>
      <c r="AS159" s="14"/>
      <c r="AT159" s="14"/>
      <c r="AU159" s="14"/>
      <c r="AV159" s="14"/>
      <c r="AW159" s="14"/>
      <c r="AX159" s="14"/>
      <c r="AY159" s="14"/>
      <c r="AZ159" s="14"/>
      <c r="BA159" s="14"/>
      <c r="BB159" s="14"/>
      <c r="BC159" s="14"/>
      <c r="BD159" s="14"/>
      <c r="BE159" s="14"/>
      <c r="BF159" s="14"/>
      <c r="BG159" s="14"/>
      <c r="BH159" s="14"/>
      <c r="BI159" s="14"/>
    </row>
    <row r="160" spans="1:6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67">
        <v>46174</v>
      </c>
      <c r="AK160" s="14">
        <v>758.54</v>
      </c>
      <c r="AL160" s="14" t="s">
        <v>562</v>
      </c>
      <c r="AM160" s="14" t="s">
        <v>154</v>
      </c>
      <c r="AN160" s="14">
        <f>IF('ETF Data'!$H$2,IF(ISNUMBER(AK160),AK160,NA()),NA())</f>
        <v>758.54</v>
      </c>
      <c r="AO160" s="14"/>
      <c r="AP160" s="14"/>
      <c r="AQ160" s="14"/>
      <c r="AR160" s="14"/>
      <c r="AS160" s="14"/>
      <c r="AT160" s="14"/>
      <c r="AU160" s="14"/>
      <c r="AV160" s="14"/>
      <c r="AW160" s="14"/>
      <c r="AX160" s="14"/>
      <c r="AY160" s="14"/>
      <c r="AZ160" s="14"/>
      <c r="BA160" s="14"/>
      <c r="BB160" s="14"/>
      <c r="BC160" s="14"/>
      <c r="BD160" s="14"/>
      <c r="BE160" s="14"/>
      <c r="BF160" s="14"/>
      <c r="BG160" s="14"/>
      <c r="BH160" s="14"/>
      <c r="BI160" s="14"/>
    </row>
    <row r="161" spans="1:6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67">
        <v>46175</v>
      </c>
      <c r="AK161" s="14">
        <v>759.57</v>
      </c>
      <c r="AL161" s="14" t="s">
        <v>562</v>
      </c>
      <c r="AM161" s="14" t="s">
        <v>154</v>
      </c>
      <c r="AN161" s="14">
        <f>IF('ETF Data'!$H$2,IF(ISNUMBER(AK161),AK161,NA()),NA())</f>
        <v>759.57</v>
      </c>
      <c r="AO161" s="14"/>
      <c r="AP161" s="14"/>
      <c r="AQ161" s="14"/>
      <c r="AR161" s="14"/>
      <c r="AS161" s="14"/>
      <c r="AT161" s="14"/>
      <c r="AU161" s="14"/>
      <c r="AV161" s="14"/>
      <c r="AW161" s="14"/>
      <c r="AX161" s="14"/>
      <c r="AY161" s="14"/>
      <c r="AZ161" s="14"/>
      <c r="BA161" s="14"/>
      <c r="BB161" s="14"/>
      <c r="BC161" s="14"/>
      <c r="BD161" s="14"/>
      <c r="BE161" s="14"/>
      <c r="BF161" s="14"/>
      <c r="BG161" s="14"/>
      <c r="BH161" s="14"/>
      <c r="BI161" s="14"/>
    </row>
    <row r="162" spans="1:6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67">
        <v>46176</v>
      </c>
      <c r="AK162" s="14">
        <v>754.24</v>
      </c>
      <c r="AL162" s="14" t="s">
        <v>562</v>
      </c>
      <c r="AM162" s="14" t="s">
        <v>154</v>
      </c>
      <c r="AN162" s="14">
        <f>IF('ETF Data'!$H$2,IF(ISNUMBER(AK162),AK162,NA()),NA())</f>
        <v>754.24</v>
      </c>
      <c r="AO162" s="14"/>
      <c r="AP162" s="14"/>
      <c r="AQ162" s="14"/>
      <c r="AR162" s="14"/>
      <c r="AS162" s="14"/>
      <c r="AT162" s="14"/>
      <c r="AU162" s="14"/>
      <c r="AV162" s="14"/>
      <c r="AW162" s="14"/>
      <c r="AX162" s="14"/>
      <c r="AY162" s="14"/>
      <c r="AZ162" s="14"/>
      <c r="BA162" s="14"/>
      <c r="BB162" s="14"/>
      <c r="BC162" s="14"/>
      <c r="BD162" s="14"/>
      <c r="BE162" s="14"/>
      <c r="BF162" s="14"/>
      <c r="BG162" s="14"/>
      <c r="BH162" s="14"/>
      <c r="BI162" s="14"/>
    </row>
    <row r="163" spans="1:6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67">
        <v>46177</v>
      </c>
      <c r="AK163" s="14">
        <v>757.09</v>
      </c>
      <c r="AL163" s="14" t="s">
        <v>562</v>
      </c>
      <c r="AM163" s="14" t="s">
        <v>154</v>
      </c>
      <c r="AN163" s="14">
        <f>IF('ETF Data'!$H$2,IF(ISNUMBER(AK163),AK163,NA()),NA())</f>
        <v>757.09</v>
      </c>
      <c r="AO163" s="14"/>
      <c r="AP163" s="14"/>
      <c r="AQ163" s="14"/>
      <c r="AR163" s="14"/>
      <c r="AS163" s="14"/>
      <c r="AT163" s="14"/>
      <c r="AU163" s="14"/>
      <c r="AV163" s="14"/>
      <c r="AW163" s="14"/>
      <c r="AX163" s="14"/>
      <c r="AY163" s="14"/>
      <c r="AZ163" s="14"/>
      <c r="BA163" s="14"/>
      <c r="BB163" s="14"/>
      <c r="BC163" s="14"/>
      <c r="BD163" s="14"/>
      <c r="BE163" s="14"/>
      <c r="BF163" s="14"/>
      <c r="BG163" s="14"/>
      <c r="BH163" s="14"/>
      <c r="BI163" s="14"/>
    </row>
    <row r="164" spans="1:6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67">
        <v>46178</v>
      </c>
      <c r="AK164" s="14">
        <v>737.55</v>
      </c>
      <c r="AL164" s="14" t="s">
        <v>562</v>
      </c>
      <c r="AM164" s="14" t="s">
        <v>154</v>
      </c>
      <c r="AN164" s="14">
        <f>IF('ETF Data'!$H$2,IF(ISNUMBER(AK164),AK164,NA()),NA())</f>
        <v>737.55</v>
      </c>
      <c r="AO164" s="14"/>
      <c r="AP164" s="14"/>
      <c r="AQ164" s="14"/>
      <c r="AR164" s="14"/>
      <c r="AS164" s="14"/>
      <c r="AT164" s="14"/>
      <c r="AU164" s="14"/>
      <c r="AV164" s="14"/>
      <c r="AW164" s="14"/>
      <c r="AX164" s="14"/>
      <c r="AY164" s="14"/>
      <c r="AZ164" s="14"/>
      <c r="BA164" s="14"/>
      <c r="BB164" s="14"/>
      <c r="BC164" s="14"/>
      <c r="BD164" s="14"/>
      <c r="BE164" s="14"/>
      <c r="BF164" s="14"/>
      <c r="BG164" s="14"/>
      <c r="BH164" s="14"/>
      <c r="BI164" s="14"/>
    </row>
    <row r="165" spans="1:6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67">
        <v>46181</v>
      </c>
      <c r="AK165" s="14">
        <v>739.22</v>
      </c>
      <c r="AL165" s="14" t="s">
        <v>562</v>
      </c>
      <c r="AM165" s="14" t="s">
        <v>154</v>
      </c>
      <c r="AN165" s="14">
        <f>IF('ETF Data'!$H$2,IF(ISNUMBER(AK165),AK165,NA()),NA())</f>
        <v>739.22</v>
      </c>
      <c r="AO165" s="14"/>
      <c r="AP165" s="14"/>
      <c r="AQ165" s="14"/>
      <c r="AR165" s="14"/>
      <c r="AS165" s="14"/>
      <c r="AT165" s="14"/>
      <c r="AU165" s="14"/>
      <c r="AV165" s="14"/>
      <c r="AW165" s="14"/>
      <c r="AX165" s="14"/>
      <c r="AY165" s="14"/>
      <c r="AZ165" s="14"/>
      <c r="BA165" s="14"/>
      <c r="BB165" s="14"/>
      <c r="BC165" s="14"/>
      <c r="BD165" s="14"/>
      <c r="BE165" s="14"/>
      <c r="BF165" s="14"/>
      <c r="BG165" s="14"/>
      <c r="BH165" s="14"/>
      <c r="BI165" s="14"/>
    </row>
    <row r="166" spans="1:6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67">
        <v>46182</v>
      </c>
      <c r="AK166" s="14">
        <v>737.05</v>
      </c>
      <c r="AL166" s="14" t="s">
        <v>562</v>
      </c>
      <c r="AM166" s="14" t="s">
        <v>154</v>
      </c>
      <c r="AN166" s="14">
        <f>IF('ETF Data'!$H$2,IF(ISNUMBER(AK166),AK166,NA()),NA())</f>
        <v>737.05</v>
      </c>
      <c r="AO166" s="14"/>
      <c r="AP166" s="14"/>
      <c r="AQ166" s="14"/>
      <c r="AR166" s="14"/>
      <c r="AS166" s="14"/>
      <c r="AT166" s="14"/>
      <c r="AU166" s="14"/>
      <c r="AV166" s="14"/>
      <c r="AW166" s="14"/>
      <c r="AX166" s="14"/>
      <c r="AY166" s="14"/>
      <c r="AZ166" s="14"/>
      <c r="BA166" s="14"/>
      <c r="BB166" s="14"/>
      <c r="BC166" s="14"/>
      <c r="BD166" s="14"/>
      <c r="BE166" s="14"/>
      <c r="BF166" s="14"/>
      <c r="BG166" s="14"/>
      <c r="BH166" s="14"/>
      <c r="BI166" s="14"/>
    </row>
    <row r="167" spans="1:6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67">
        <v>46183</v>
      </c>
      <c r="AK167" s="14">
        <v>725.43</v>
      </c>
      <c r="AL167" s="14" t="s">
        <v>562</v>
      </c>
      <c r="AM167" s="14" t="s">
        <v>154</v>
      </c>
      <c r="AN167" s="14">
        <f>IF('ETF Data'!$H$2,IF(ISNUMBER(AK167),AK167,NA()),NA())</f>
        <v>725.43</v>
      </c>
      <c r="AO167" s="14"/>
      <c r="AP167" s="14"/>
      <c r="AQ167" s="14"/>
      <c r="AR167" s="14"/>
      <c r="AS167" s="14"/>
      <c r="AT167" s="14"/>
      <c r="AU167" s="14"/>
      <c r="AV167" s="14"/>
      <c r="AW167" s="14"/>
      <c r="AX167" s="14"/>
      <c r="AY167" s="14"/>
      <c r="AZ167" s="14"/>
      <c r="BA167" s="14"/>
      <c r="BB167" s="14"/>
      <c r="BC167" s="14"/>
      <c r="BD167" s="14"/>
      <c r="BE167" s="14"/>
      <c r="BF167" s="14"/>
      <c r="BG167" s="14"/>
      <c r="BH167" s="14"/>
      <c r="BI167" s="14"/>
    </row>
    <row r="168" spans="1:6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67">
        <v>46184</v>
      </c>
      <c r="AK168" s="14">
        <v>737.76</v>
      </c>
      <c r="AL168" s="14" t="s">
        <v>562</v>
      </c>
      <c r="AM168" s="14" t="s">
        <v>154</v>
      </c>
      <c r="AN168" s="14">
        <f>IF('ETF Data'!$H$2,IF(ISNUMBER(AK168),AK168,NA()),NA())</f>
        <v>737.76</v>
      </c>
      <c r="AO168" s="14"/>
      <c r="AP168" s="14"/>
      <c r="AQ168" s="14"/>
      <c r="AR168" s="14"/>
      <c r="AS168" s="14"/>
      <c r="AT168" s="14"/>
      <c r="AU168" s="14"/>
      <c r="AV168" s="14"/>
      <c r="AW168" s="14"/>
      <c r="AX168" s="14"/>
      <c r="AY168" s="14"/>
      <c r="AZ168" s="14"/>
      <c r="BA168" s="14"/>
      <c r="BB168" s="14"/>
      <c r="BC168" s="14"/>
      <c r="BD168" s="14"/>
      <c r="BE168" s="14"/>
      <c r="BF168" s="14"/>
      <c r="BG168" s="14"/>
      <c r="BH168" s="14"/>
      <c r="BI168" s="14"/>
    </row>
    <row r="169" spans="1:6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67">
        <v>46185</v>
      </c>
      <c r="AK169" s="14">
        <v>741.75</v>
      </c>
      <c r="AL169" s="14" t="s">
        <v>562</v>
      </c>
      <c r="AM169" s="14" t="s">
        <v>154</v>
      </c>
      <c r="AN169" s="14">
        <f>IF('ETF Data'!$H$2,IF(ISNUMBER(AK169),AK169,NA()),NA())</f>
        <v>741.75</v>
      </c>
      <c r="AO169" s="14"/>
      <c r="AP169" s="14"/>
      <c r="AQ169" s="14"/>
      <c r="AR169" s="14"/>
      <c r="AS169" s="14"/>
      <c r="AT169" s="14"/>
      <c r="AU169" s="14"/>
      <c r="AV169" s="14"/>
      <c r="AW169" s="14"/>
      <c r="AX169" s="14"/>
      <c r="AY169" s="14"/>
      <c r="AZ169" s="14"/>
      <c r="BA169" s="14"/>
      <c r="BB169" s="14"/>
      <c r="BC169" s="14"/>
      <c r="BD169" s="14"/>
      <c r="BE169" s="14"/>
      <c r="BF169" s="14"/>
      <c r="BG169" s="14"/>
      <c r="BH169" s="14"/>
      <c r="BI169" s="14"/>
    </row>
    <row r="170" spans="1:6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67">
        <v>46188</v>
      </c>
      <c r="AK170" s="14">
        <v>754.83</v>
      </c>
      <c r="AL170" s="14" t="s">
        <v>562</v>
      </c>
      <c r="AM170" s="14" t="s">
        <v>154</v>
      </c>
      <c r="AN170" s="14">
        <f>IF('ETF Data'!$H$2,IF(ISNUMBER(AK170),AK170,NA()),NA())</f>
        <v>754.83</v>
      </c>
      <c r="AO170" s="14"/>
      <c r="AP170" s="14"/>
      <c r="AQ170" s="14"/>
      <c r="AR170" s="14"/>
      <c r="AS170" s="14"/>
      <c r="AT170" s="14"/>
      <c r="AU170" s="14"/>
      <c r="AV170" s="14"/>
      <c r="AW170" s="14"/>
      <c r="AX170" s="14"/>
      <c r="AY170" s="14"/>
      <c r="AZ170" s="14"/>
      <c r="BA170" s="14"/>
      <c r="BB170" s="14"/>
      <c r="BC170" s="14"/>
      <c r="BD170" s="14"/>
      <c r="BE170" s="14"/>
      <c r="BF170" s="14"/>
      <c r="BG170" s="14"/>
      <c r="BH170" s="14"/>
      <c r="BI170" s="14"/>
    </row>
    <row r="171" spans="1:6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67">
        <v>46189</v>
      </c>
      <c r="AK171" s="14">
        <v>750.33</v>
      </c>
      <c r="AL171" s="14" t="s">
        <v>562</v>
      </c>
      <c r="AM171" s="14" t="s">
        <v>154</v>
      </c>
      <c r="AN171" s="14">
        <f>IF('ETF Data'!$H$2,IF(ISNUMBER(AK171),AK171,NA()),NA())</f>
        <v>750.33</v>
      </c>
      <c r="AO171" s="14"/>
      <c r="AP171" s="14"/>
      <c r="AQ171" s="14"/>
      <c r="AR171" s="14"/>
      <c r="AS171" s="14"/>
      <c r="AT171" s="14"/>
      <c r="AU171" s="14"/>
      <c r="AV171" s="14"/>
      <c r="AW171" s="14"/>
      <c r="AX171" s="14"/>
      <c r="AY171" s="14"/>
      <c r="AZ171" s="14"/>
      <c r="BA171" s="14"/>
      <c r="BB171" s="14"/>
      <c r="BC171" s="14"/>
      <c r="BD171" s="14"/>
      <c r="BE171" s="14"/>
      <c r="BF171" s="14"/>
      <c r="BG171" s="14"/>
      <c r="BH171" s="14"/>
      <c r="BI171" s="14"/>
    </row>
    <row r="172" spans="1:6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67">
        <v>46190</v>
      </c>
      <c r="AK172" s="14">
        <v>740.96</v>
      </c>
      <c r="AL172" s="14" t="s">
        <v>562</v>
      </c>
      <c r="AM172" s="14" t="s">
        <v>154</v>
      </c>
      <c r="AN172" s="14">
        <f>IF('ETF Data'!$H$2,IF(ISNUMBER(AK172),AK172,NA()),NA())</f>
        <v>740.96</v>
      </c>
      <c r="AO172" s="14"/>
      <c r="AP172" s="14"/>
      <c r="AQ172" s="14"/>
      <c r="AR172" s="14"/>
      <c r="AS172" s="14"/>
      <c r="AT172" s="14"/>
      <c r="AU172" s="14"/>
      <c r="AV172" s="14"/>
      <c r="AW172" s="14"/>
      <c r="AX172" s="14"/>
      <c r="AY172" s="14"/>
      <c r="AZ172" s="14"/>
      <c r="BA172" s="14"/>
      <c r="BB172" s="14"/>
      <c r="BC172" s="14"/>
      <c r="BD172" s="14"/>
      <c r="BE172" s="14"/>
      <c r="BF172" s="14"/>
      <c r="BG172" s="14"/>
      <c r="BH172" s="14"/>
      <c r="BI172" s="14"/>
    </row>
    <row r="173" spans="1:6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67">
        <v>46191</v>
      </c>
      <c r="AK173" s="14">
        <v>746.74</v>
      </c>
      <c r="AL173" s="14" t="s">
        <v>562</v>
      </c>
      <c r="AM173" s="14" t="s">
        <v>154</v>
      </c>
      <c r="AN173" s="14">
        <f>IF('ETF Data'!$H$2,IF(ISNUMBER(AK173),AK173,NA()),NA())</f>
        <v>746.74</v>
      </c>
      <c r="AO173" s="14"/>
      <c r="AP173" s="14"/>
      <c r="AQ173" s="14"/>
      <c r="AR173" s="14"/>
      <c r="AS173" s="14"/>
      <c r="AT173" s="14"/>
      <c r="AU173" s="14"/>
      <c r="AV173" s="14"/>
      <c r="AW173" s="14"/>
      <c r="AX173" s="14"/>
      <c r="AY173" s="14"/>
      <c r="AZ173" s="14"/>
      <c r="BA173" s="14"/>
      <c r="BB173" s="14"/>
      <c r="BC173" s="14"/>
      <c r="BD173" s="14"/>
      <c r="BE173" s="14"/>
      <c r="BF173" s="14"/>
      <c r="BG173" s="14"/>
      <c r="BH173" s="14"/>
      <c r="BI173" s="14"/>
    </row>
    <row r="174" spans="1:6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67">
        <v>46195</v>
      </c>
      <c r="AK174" s="14">
        <v>744.39</v>
      </c>
      <c r="AL174" s="14" t="s">
        <v>562</v>
      </c>
      <c r="AM174" s="14" t="s">
        <v>154</v>
      </c>
      <c r="AN174" s="14">
        <f>IF('ETF Data'!$H$2,IF(ISNUMBER(AK174),AK174,NA()),NA())</f>
        <v>744.39</v>
      </c>
      <c r="AO174" s="14"/>
      <c r="AP174" s="14"/>
      <c r="AQ174" s="14"/>
      <c r="AR174" s="14"/>
      <c r="AS174" s="14"/>
      <c r="AT174" s="14"/>
      <c r="AU174" s="14"/>
      <c r="AV174" s="14"/>
      <c r="AW174" s="14"/>
      <c r="AX174" s="14"/>
      <c r="AY174" s="14"/>
      <c r="AZ174" s="14"/>
      <c r="BA174" s="14"/>
      <c r="BB174" s="14"/>
      <c r="BC174" s="14"/>
      <c r="BD174" s="14"/>
      <c r="BE174" s="14"/>
      <c r="BF174" s="14"/>
      <c r="BG174" s="14"/>
      <c r="BH174" s="14"/>
      <c r="BI174" s="14"/>
    </row>
    <row r="175" spans="1:6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67">
        <v>46196</v>
      </c>
      <c r="AK175" s="14">
        <v>733.58</v>
      </c>
      <c r="AL175" s="14" t="s">
        <v>562</v>
      </c>
      <c r="AM175" s="14" t="s">
        <v>154</v>
      </c>
      <c r="AN175" s="14">
        <f>IF('ETF Data'!$H$2,IF(ISNUMBER(AK175),AK175,NA()),NA())</f>
        <v>733.58</v>
      </c>
      <c r="AO175" s="14"/>
      <c r="AP175" s="14"/>
      <c r="AQ175" s="14"/>
      <c r="AR175" s="14"/>
      <c r="AS175" s="14"/>
      <c r="AT175" s="14"/>
      <c r="AU175" s="14"/>
      <c r="AV175" s="14"/>
      <c r="AW175" s="14"/>
      <c r="AX175" s="14"/>
      <c r="AY175" s="14"/>
      <c r="AZ175" s="14"/>
      <c r="BA175" s="14"/>
      <c r="BB175" s="14"/>
      <c r="BC175" s="14"/>
      <c r="BD175" s="14"/>
      <c r="BE175" s="14"/>
      <c r="BF175" s="14"/>
      <c r="BG175" s="14"/>
      <c r="BH175" s="14"/>
      <c r="BI175" s="14"/>
    </row>
    <row r="176" spans="1:6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67">
        <v>46197</v>
      </c>
      <c r="AK176" s="14">
        <v>733.24</v>
      </c>
      <c r="AL176" s="14" t="s">
        <v>562</v>
      </c>
      <c r="AM176" s="14" t="s">
        <v>154</v>
      </c>
      <c r="AN176" s="14">
        <f>IF('ETF Data'!$H$2,IF(ISNUMBER(AK176),AK176,NA()),NA())</f>
        <v>733.24</v>
      </c>
      <c r="AO176" s="14"/>
      <c r="AP176" s="14"/>
      <c r="AQ176" s="14"/>
      <c r="AR176" s="14"/>
      <c r="AS176" s="14"/>
      <c r="AT176" s="14"/>
      <c r="AU176" s="14"/>
      <c r="AV176" s="14"/>
      <c r="AW176" s="14"/>
      <c r="AX176" s="14"/>
      <c r="AY176" s="14"/>
      <c r="AZ176" s="14"/>
      <c r="BA176" s="14"/>
      <c r="BB176" s="14"/>
      <c r="BC176" s="14"/>
      <c r="BD176" s="14"/>
      <c r="BE176" s="14"/>
      <c r="BF176" s="14"/>
      <c r="BG176" s="14"/>
      <c r="BH176" s="14"/>
      <c r="BI176" s="14"/>
    </row>
    <row r="177" spans="1:6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67">
        <v>46198</v>
      </c>
      <c r="AK177" s="14">
        <v>734.3</v>
      </c>
      <c r="AL177" s="14" t="s">
        <v>562</v>
      </c>
      <c r="AM177" s="14" t="s">
        <v>154</v>
      </c>
      <c r="AN177" s="14">
        <f>IF('ETF Data'!$H$2,IF(ISNUMBER(AK177),AK177,NA()),NA())</f>
        <v>734.3</v>
      </c>
      <c r="AO177" s="14"/>
      <c r="AP177" s="14"/>
      <c r="AQ177" s="14"/>
      <c r="AR177" s="14"/>
      <c r="AS177" s="14"/>
      <c r="AT177" s="14"/>
      <c r="AU177" s="14"/>
      <c r="AV177" s="14"/>
      <c r="AW177" s="14"/>
      <c r="AX177" s="14"/>
      <c r="AY177" s="14"/>
      <c r="AZ177" s="14"/>
      <c r="BA177" s="14"/>
      <c r="BB177" s="14"/>
      <c r="BC177" s="14"/>
      <c r="BD177" s="14"/>
      <c r="BE177" s="14"/>
      <c r="BF177" s="14"/>
      <c r="BG177" s="14"/>
      <c r="BH177" s="14"/>
      <c r="BI177" s="14"/>
    </row>
    <row r="178" spans="1:6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67">
        <v>46199</v>
      </c>
      <c r="AK178" s="14">
        <v>728.99</v>
      </c>
      <c r="AL178" s="14" t="s">
        <v>562</v>
      </c>
      <c r="AM178" s="14" t="s">
        <v>154</v>
      </c>
      <c r="AN178" s="14">
        <f>IF('ETF Data'!$H$2,IF(ISNUMBER(AK178),AK178,NA()),NA())</f>
        <v>728.99</v>
      </c>
      <c r="AO178" s="14"/>
      <c r="AP178" s="14"/>
      <c r="AQ178" s="14"/>
      <c r="AR178" s="14"/>
      <c r="AS178" s="14"/>
      <c r="AT178" s="14"/>
      <c r="AU178" s="14"/>
      <c r="AV178" s="14"/>
      <c r="AW178" s="14"/>
      <c r="AX178" s="14"/>
      <c r="AY178" s="14"/>
      <c r="AZ178" s="14"/>
      <c r="BA178" s="14"/>
      <c r="BB178" s="14"/>
      <c r="BC178" s="14"/>
      <c r="BD178" s="14"/>
      <c r="BE178" s="14"/>
      <c r="BF178" s="14"/>
      <c r="BG178" s="14"/>
      <c r="BH178" s="14"/>
      <c r="BI178" s="14"/>
    </row>
    <row r="179" spans="1:6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67">
        <v>46202</v>
      </c>
      <c r="AK179" s="14">
        <v>741</v>
      </c>
      <c r="AL179" s="14" t="s">
        <v>562</v>
      </c>
      <c r="AM179" s="14" t="s">
        <v>154</v>
      </c>
      <c r="AN179" s="14">
        <f>IF('ETF Data'!$H$2,IF(ISNUMBER(AK179),AK179,NA()),NA())</f>
        <v>741</v>
      </c>
      <c r="AO179" s="14"/>
      <c r="AP179" s="14"/>
      <c r="AQ179" s="14"/>
      <c r="AR179" s="14"/>
      <c r="AS179" s="14"/>
      <c r="AT179" s="14"/>
      <c r="AU179" s="14"/>
      <c r="AV179" s="14"/>
      <c r="AW179" s="14"/>
      <c r="AX179" s="14"/>
      <c r="AY179" s="14"/>
      <c r="AZ179" s="14"/>
      <c r="BA179" s="14"/>
      <c r="BB179" s="14"/>
      <c r="BC179" s="14"/>
      <c r="BD179" s="14"/>
      <c r="BE179" s="14"/>
      <c r="BF179" s="14"/>
      <c r="BG179" s="14"/>
      <c r="BH179" s="14"/>
      <c r="BI179" s="14"/>
    </row>
    <row r="180" spans="1:6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67">
        <v>46203</v>
      </c>
      <c r="AK180" s="14">
        <v>746.77</v>
      </c>
      <c r="AL180" s="14" t="s">
        <v>562</v>
      </c>
      <c r="AM180" s="14" t="s">
        <v>154</v>
      </c>
      <c r="AN180" s="14">
        <f>IF('ETF Data'!$H$2,IF(ISNUMBER(AK180),AK180,NA()),NA())</f>
        <v>746.77</v>
      </c>
      <c r="AO180" s="14"/>
      <c r="AP180" s="14"/>
      <c r="AQ180" s="14"/>
      <c r="AR180" s="14"/>
      <c r="AS180" s="14"/>
      <c r="AT180" s="14"/>
      <c r="AU180" s="14"/>
      <c r="AV180" s="14"/>
      <c r="AW180" s="14"/>
      <c r="AX180" s="14"/>
      <c r="AY180" s="14"/>
      <c r="AZ180" s="14"/>
      <c r="BA180" s="14"/>
      <c r="BB180" s="14"/>
      <c r="BC180" s="14"/>
      <c r="BD180" s="14"/>
      <c r="BE180" s="14"/>
      <c r="BF180" s="14"/>
      <c r="BG180" s="14"/>
      <c r="BH180" s="14"/>
      <c r="BI180" s="14"/>
    </row>
    <row r="181" spans="1:6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67">
        <v>46204</v>
      </c>
      <c r="AK181" s="14">
        <v>745.76</v>
      </c>
      <c r="AL181" s="14" t="s">
        <v>562</v>
      </c>
      <c r="AM181" s="14" t="s">
        <v>154</v>
      </c>
      <c r="AN181" s="14">
        <f>IF('ETF Data'!$H$2,IF(ISNUMBER(AK181),AK181,NA()),NA())</f>
        <v>745.76</v>
      </c>
      <c r="AO181" s="14"/>
      <c r="AP181" s="14"/>
      <c r="AQ181" s="14"/>
      <c r="AR181" s="14"/>
      <c r="AS181" s="14"/>
      <c r="AT181" s="14"/>
      <c r="AU181" s="14"/>
      <c r="AV181" s="14"/>
      <c r="AW181" s="14"/>
      <c r="AX181" s="14"/>
      <c r="AY181" s="14"/>
      <c r="AZ181" s="14"/>
      <c r="BA181" s="14"/>
      <c r="BB181" s="14"/>
      <c r="BC181" s="14"/>
      <c r="BD181" s="14"/>
      <c r="BE181" s="14"/>
      <c r="BF181" s="14"/>
      <c r="BG181" s="14"/>
      <c r="BH181" s="14"/>
      <c r="BI181" s="14"/>
    </row>
    <row r="182" spans="1:6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67">
        <v>46205</v>
      </c>
      <c r="AK182" s="14">
        <v>744.78</v>
      </c>
      <c r="AL182" s="14" t="s">
        <v>562</v>
      </c>
      <c r="AM182" s="14" t="s">
        <v>154</v>
      </c>
      <c r="AN182" s="14">
        <f>IF('ETF Data'!$H$2,IF(ISNUMBER(AK182),AK182,NA()),NA())</f>
        <v>744.78</v>
      </c>
      <c r="AO182" s="14"/>
      <c r="AP182" s="14"/>
      <c r="AQ182" s="14"/>
      <c r="AR182" s="14"/>
      <c r="AS182" s="14"/>
      <c r="AT182" s="14"/>
      <c r="AU182" s="14"/>
      <c r="AV182" s="14"/>
      <c r="AW182" s="14"/>
      <c r="AX182" s="14"/>
      <c r="AY182" s="14"/>
      <c r="AZ182" s="14"/>
      <c r="BA182" s="14"/>
      <c r="BB182" s="14"/>
      <c r="BC182" s="14"/>
      <c r="BD182" s="14"/>
      <c r="BE182" s="14"/>
      <c r="BF182" s="14"/>
      <c r="BG182" s="14"/>
      <c r="BH182" s="14"/>
      <c r="BI182" s="14"/>
    </row>
    <row r="183" spans="1:6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67">
        <v>46209</v>
      </c>
      <c r="AK183" s="14">
        <v>751.28</v>
      </c>
      <c r="AL183" s="14" t="s">
        <v>562</v>
      </c>
      <c r="AM183" s="14" t="s">
        <v>154</v>
      </c>
      <c r="AN183" s="14">
        <f>IF('ETF Data'!$H$2,IF(ISNUMBER(AK183),AK183,NA()),NA())</f>
        <v>751.28</v>
      </c>
      <c r="AO183" s="14"/>
      <c r="AP183" s="14"/>
      <c r="AQ183" s="14"/>
      <c r="AR183" s="14"/>
      <c r="AS183" s="14"/>
      <c r="AT183" s="14"/>
      <c r="AU183" s="14"/>
      <c r="AV183" s="14"/>
      <c r="AW183" s="14"/>
      <c r="AX183" s="14"/>
      <c r="AY183" s="14"/>
      <c r="AZ183" s="14"/>
      <c r="BA183" s="14"/>
      <c r="BB183" s="14"/>
      <c r="BC183" s="14"/>
      <c r="BD183" s="14"/>
      <c r="BE183" s="14"/>
      <c r="BF183" s="14"/>
      <c r="BG183" s="14"/>
      <c r="BH183" s="14"/>
      <c r="BI183" s="14"/>
    </row>
    <row r="184" spans="1:6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67">
        <v>46210</v>
      </c>
      <c r="AK184" s="14">
        <v>747.71</v>
      </c>
      <c r="AL184" s="14" t="s">
        <v>562</v>
      </c>
      <c r="AM184" s="14" t="s">
        <v>154</v>
      </c>
      <c r="AN184" s="14">
        <f>IF('ETF Data'!$H$2,IF(ISNUMBER(AK184),AK184,NA()),NA())</f>
        <v>747.71</v>
      </c>
      <c r="AO184" s="14"/>
      <c r="AP184" s="14"/>
      <c r="AQ184" s="14"/>
      <c r="AR184" s="14"/>
      <c r="AS184" s="14"/>
      <c r="AT184" s="14"/>
      <c r="AU184" s="14"/>
      <c r="AV184" s="14"/>
      <c r="AW184" s="14"/>
      <c r="AX184" s="14"/>
      <c r="AY184" s="14"/>
      <c r="AZ184" s="14"/>
      <c r="BA184" s="14"/>
      <c r="BB184" s="14"/>
      <c r="BC184" s="14"/>
      <c r="BD184" s="14"/>
      <c r="BE184" s="14"/>
      <c r="BF184" s="14"/>
      <c r="BG184" s="14"/>
      <c r="BH184" s="14"/>
      <c r="BI184" s="14"/>
    </row>
    <row r="185" spans="1:6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67">
        <v>46211</v>
      </c>
      <c r="AK185" s="14">
        <v>745.4</v>
      </c>
      <c r="AL185" s="14" t="s">
        <v>562</v>
      </c>
      <c r="AM185" s="14" t="s">
        <v>154</v>
      </c>
      <c r="AN185" s="14">
        <f>IF('ETF Data'!$H$2,IF(ISNUMBER(AK185),AK185,NA()),NA())</f>
        <v>745.4</v>
      </c>
      <c r="AO185" s="14"/>
      <c r="AP185" s="14"/>
      <c r="AQ185" s="14"/>
      <c r="AR185" s="14"/>
      <c r="AS185" s="14"/>
      <c r="AT185" s="14"/>
      <c r="AU185" s="14"/>
      <c r="AV185" s="14"/>
      <c r="AW185" s="14"/>
      <c r="AX185" s="14"/>
      <c r="AY185" s="14"/>
      <c r="AZ185" s="14"/>
      <c r="BA185" s="14"/>
      <c r="BB185" s="14"/>
      <c r="BC185" s="14"/>
      <c r="BD185" s="14"/>
      <c r="BE185" s="14"/>
      <c r="BF185" s="14"/>
      <c r="BG185" s="14"/>
      <c r="BH185" s="14"/>
      <c r="BI185" s="14"/>
    </row>
    <row r="186" spans="1:6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67">
        <v>46212</v>
      </c>
      <c r="AK186" s="14">
        <v>751.71</v>
      </c>
      <c r="AL186" s="14" t="s">
        <v>562</v>
      </c>
      <c r="AM186" s="14" t="s">
        <v>154</v>
      </c>
      <c r="AN186" s="14">
        <f>IF('ETF Data'!$H$2,IF(ISNUMBER(AK186),AK186,NA()),NA())</f>
        <v>751.71</v>
      </c>
      <c r="AO186" s="14"/>
      <c r="AP186" s="14"/>
      <c r="AQ186" s="14"/>
      <c r="AR186" s="14"/>
      <c r="AS186" s="14"/>
      <c r="AT186" s="14"/>
      <c r="AU186" s="14"/>
      <c r="AV186" s="14"/>
      <c r="AW186" s="14"/>
      <c r="AX186" s="14"/>
      <c r="AY186" s="14"/>
      <c r="AZ186" s="14"/>
      <c r="BA186" s="14"/>
      <c r="BB186" s="14"/>
      <c r="BC186" s="14"/>
      <c r="BD186" s="14"/>
      <c r="BE186" s="14"/>
      <c r="BF186" s="14"/>
      <c r="BG186" s="14"/>
      <c r="BH186" s="14"/>
      <c r="BI186" s="14"/>
    </row>
    <row r="187" spans="1:6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67">
        <v>46213</v>
      </c>
      <c r="AK187" s="14">
        <v>754.95</v>
      </c>
      <c r="AL187" s="14" t="s">
        <v>562</v>
      </c>
      <c r="AM187" s="14" t="s">
        <v>154</v>
      </c>
      <c r="AN187" s="14">
        <f>IF('ETF Data'!$H$2,IF(ISNUMBER(AK187),AK187,NA()),NA())</f>
        <v>754.95</v>
      </c>
      <c r="AO187" s="14"/>
      <c r="AP187" s="14"/>
      <c r="AQ187" s="14"/>
      <c r="AR187" s="14"/>
      <c r="AS187" s="14"/>
      <c r="AT187" s="14"/>
      <c r="AU187" s="14"/>
      <c r="AV187" s="14"/>
      <c r="AW187" s="14"/>
      <c r="AX187" s="14"/>
      <c r="AY187" s="14"/>
      <c r="AZ187" s="14"/>
      <c r="BA187" s="14"/>
      <c r="BB187" s="14"/>
      <c r="BC187" s="14"/>
      <c r="BD187" s="14"/>
      <c r="BE187" s="14"/>
      <c r="BF187" s="14"/>
      <c r="BG187" s="14"/>
      <c r="BH187" s="14"/>
      <c r="BI187" s="14"/>
    </row>
    <row r="188" spans="1:6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67">
        <v>46216</v>
      </c>
      <c r="AK188" s="14">
        <v>749.17</v>
      </c>
      <c r="AL188" s="14" t="s">
        <v>562</v>
      </c>
      <c r="AM188" s="14" t="s">
        <v>154</v>
      </c>
      <c r="AN188" s="14">
        <f>IF('ETF Data'!$H$2,IF(ISNUMBER(AK188),AK188,NA()),NA())</f>
        <v>749.17</v>
      </c>
      <c r="AO188" s="14"/>
      <c r="AP188" s="14"/>
      <c r="AQ188" s="14"/>
      <c r="AR188" s="14"/>
      <c r="AS188" s="14"/>
      <c r="AT188" s="14"/>
      <c r="AU188" s="14"/>
      <c r="AV188" s="14"/>
      <c r="AW188" s="14"/>
      <c r="AX188" s="14"/>
      <c r="AY188" s="14"/>
      <c r="AZ188" s="14"/>
      <c r="BA188" s="14"/>
      <c r="BB188" s="14"/>
      <c r="BC188" s="14"/>
      <c r="BD188" s="14"/>
      <c r="BE188" s="14"/>
      <c r="BF188" s="14"/>
      <c r="BG188" s="14"/>
      <c r="BH188" s="14"/>
      <c r="BI188" s="14"/>
    </row>
    <row r="189" spans="1:6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67">
        <v>46217</v>
      </c>
      <c r="AK189" s="14">
        <v>751.83</v>
      </c>
      <c r="AL189" s="14" t="s">
        <v>562</v>
      </c>
      <c r="AM189" s="14" t="s">
        <v>154</v>
      </c>
      <c r="AN189" s="14">
        <f>IF('ETF Data'!$H$2,IF(ISNUMBER(AK189),AK189,NA()),NA())</f>
        <v>751.83</v>
      </c>
      <c r="AO189" s="14"/>
      <c r="AP189" s="14"/>
      <c r="AQ189" s="14"/>
      <c r="AR189" s="14"/>
      <c r="AS189" s="14"/>
      <c r="AT189" s="14"/>
      <c r="AU189" s="14"/>
      <c r="AV189" s="14"/>
      <c r="AW189" s="14"/>
      <c r="AX189" s="14"/>
      <c r="AY189" s="14"/>
      <c r="AZ189" s="14"/>
      <c r="BA189" s="14"/>
      <c r="BB189" s="14"/>
      <c r="BC189" s="14"/>
      <c r="BD189" s="14"/>
      <c r="BE189" s="14"/>
      <c r="BF189" s="14"/>
      <c r="BG189" s="14"/>
      <c r="BH189" s="14"/>
      <c r="BI189" s="14"/>
    </row>
    <row r="190" spans="1:6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67">
        <v>46218</v>
      </c>
      <c r="AK190" s="14">
        <v>754.81</v>
      </c>
      <c r="AL190" s="14" t="s">
        <v>562</v>
      </c>
      <c r="AM190" s="14" t="s">
        <v>154</v>
      </c>
      <c r="AN190" s="14">
        <f>IF('ETF Data'!$H$2,IF(ISNUMBER(AK190),AK190,NA()),NA())</f>
        <v>754.81</v>
      </c>
      <c r="AO190" s="14"/>
      <c r="AP190" s="14"/>
      <c r="AQ190" s="14"/>
      <c r="AR190" s="14"/>
      <c r="AS190" s="14"/>
      <c r="AT190" s="14"/>
      <c r="AU190" s="14"/>
      <c r="AV190" s="14"/>
      <c r="AW190" s="14"/>
      <c r="AX190" s="14"/>
      <c r="AY190" s="14"/>
      <c r="AZ190" s="14"/>
      <c r="BA190" s="14"/>
      <c r="BB190" s="14"/>
      <c r="BC190" s="14"/>
      <c r="BD190" s="14"/>
      <c r="BE190" s="14"/>
      <c r="BF190" s="14"/>
      <c r="BG190" s="14"/>
      <c r="BH190" s="14"/>
      <c r="BI190" s="14"/>
    </row>
    <row r="191" spans="1:6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67">
        <v>46219</v>
      </c>
      <c r="AK191" s="14">
        <v>750.72</v>
      </c>
      <c r="AL191" s="14" t="s">
        <v>562</v>
      </c>
      <c r="AM191" s="14" t="s">
        <v>154</v>
      </c>
      <c r="AN191" s="14">
        <f>IF('ETF Data'!$H$2,IF(ISNUMBER(AK191),AK191,NA()),NA())</f>
        <v>750.72</v>
      </c>
      <c r="AO191" s="14"/>
      <c r="AP191" s="14"/>
      <c r="AQ191" s="14"/>
      <c r="AR191" s="14"/>
      <c r="AS191" s="14"/>
      <c r="AT191" s="14"/>
      <c r="AU191" s="14"/>
      <c r="AV191" s="14"/>
      <c r="AW191" s="14"/>
      <c r="AX191" s="14"/>
      <c r="AY191" s="14"/>
      <c r="AZ191" s="14"/>
      <c r="BA191" s="14"/>
      <c r="BB191" s="14"/>
      <c r="BC191" s="14"/>
      <c r="BD191" s="14"/>
      <c r="BE191" s="14"/>
      <c r="BF191" s="14"/>
      <c r="BG191" s="14"/>
      <c r="BH191" s="14"/>
      <c r="BI191" s="14"/>
    </row>
    <row r="192" spans="1:6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67">
        <v>46220</v>
      </c>
      <c r="AK192" s="14">
        <v>743.29</v>
      </c>
      <c r="AL192" s="14" t="s">
        <v>562</v>
      </c>
      <c r="AM192" s="14" t="s">
        <v>154</v>
      </c>
      <c r="AN192" s="14">
        <f>IF('ETF Data'!$H$2,IF(ISNUMBER(AK192),AK192,NA()),NA())</f>
        <v>743.29</v>
      </c>
      <c r="AO192" s="14"/>
      <c r="AP192" s="14"/>
      <c r="AQ192" s="14"/>
      <c r="AR192" s="14"/>
      <c r="AS192" s="14"/>
      <c r="AT192" s="14"/>
      <c r="AU192" s="14"/>
      <c r="AV192" s="14"/>
      <c r="AW192" s="14"/>
      <c r="AX192" s="14"/>
      <c r="AY192" s="14"/>
      <c r="AZ192" s="14"/>
      <c r="BA192" s="14"/>
      <c r="BB192" s="14"/>
      <c r="BC192" s="14"/>
      <c r="BD192" s="14"/>
      <c r="BE192" s="14"/>
      <c r="BF192" s="14"/>
      <c r="BG192" s="14"/>
      <c r="BH192" s="14"/>
      <c r="BI192" s="14"/>
    </row>
    <row r="193" spans="1:6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67">
        <v>46223</v>
      </c>
      <c r="AK193" s="14">
        <v>742.09</v>
      </c>
      <c r="AL193" s="14" t="s">
        <v>562</v>
      </c>
      <c r="AM193" s="14" t="s">
        <v>154</v>
      </c>
      <c r="AN193" s="14">
        <f>IF('ETF Data'!$H$2,IF(ISNUMBER(AK193),AK193,NA()),NA())</f>
        <v>742.09</v>
      </c>
      <c r="AO193" s="14"/>
      <c r="AP193" s="14"/>
      <c r="AQ193" s="14"/>
      <c r="AR193" s="14"/>
      <c r="AS193" s="14"/>
      <c r="AT193" s="14"/>
      <c r="AU193" s="14"/>
      <c r="AV193" s="14"/>
      <c r="AW193" s="14"/>
      <c r="AX193" s="14"/>
      <c r="AY193" s="14"/>
      <c r="AZ193" s="14"/>
      <c r="BA193" s="14"/>
      <c r="BB193" s="14"/>
      <c r="BC193" s="14"/>
      <c r="BD193" s="14"/>
      <c r="BE193" s="14"/>
      <c r="BF193" s="14"/>
      <c r="BG193" s="14"/>
      <c r="BH193" s="14"/>
      <c r="BI193" s="14"/>
    </row>
    <row r="194" spans="1:6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67">
        <v>46224</v>
      </c>
      <c r="AK194" s="14">
        <v>748.28</v>
      </c>
      <c r="AL194" s="14" t="s">
        <v>562</v>
      </c>
      <c r="AM194" s="14" t="s">
        <v>154</v>
      </c>
      <c r="AN194" s="14">
        <f>IF('ETF Data'!$H$2,IF(ISNUMBER(AK194),AK194,NA()),NA())</f>
        <v>748.28</v>
      </c>
      <c r="AO194" s="14"/>
      <c r="AP194" s="14"/>
      <c r="AQ194" s="14"/>
      <c r="AR194" s="14"/>
      <c r="AS194" s="14"/>
      <c r="AT194" s="14"/>
      <c r="AU194" s="14"/>
      <c r="AV194" s="14"/>
      <c r="AW194" s="14"/>
      <c r="AX194" s="14"/>
      <c r="AY194" s="14"/>
      <c r="AZ194" s="14"/>
      <c r="BA194" s="14"/>
      <c r="BB194" s="14"/>
      <c r="BC194" s="14"/>
      <c r="BD194" s="14"/>
      <c r="BE194" s="14"/>
      <c r="BF194" s="14"/>
      <c r="BG194" s="14"/>
      <c r="BH194" s="14"/>
      <c r="BI194" s="14"/>
    </row>
    <row r="195" spans="1:6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67">
        <v>46225</v>
      </c>
      <c r="AK195" s="14">
        <v>747.41</v>
      </c>
      <c r="AL195" s="14" t="s">
        <v>562</v>
      </c>
      <c r="AM195" s="14" t="s">
        <v>154</v>
      </c>
      <c r="AN195" s="14">
        <f>IF('ETF Data'!$H$2,IF(ISNUMBER(AK195),AK195,NA()),NA())</f>
        <v>747.41</v>
      </c>
      <c r="AO195" s="14"/>
      <c r="AP195" s="14"/>
      <c r="AQ195" s="14"/>
      <c r="AR195" s="14"/>
      <c r="AS195" s="14"/>
      <c r="AT195" s="14"/>
      <c r="AU195" s="14"/>
      <c r="AV195" s="14"/>
      <c r="AW195" s="14"/>
      <c r="AX195" s="14"/>
      <c r="AY195" s="14"/>
      <c r="AZ195" s="14"/>
      <c r="BA195" s="14"/>
      <c r="BB195" s="14"/>
      <c r="BC195" s="14"/>
      <c r="BD195" s="14"/>
      <c r="BE195" s="14"/>
      <c r="BF195" s="14"/>
      <c r="BG195" s="14"/>
      <c r="BH195" s="14"/>
      <c r="BI195" s="14"/>
    </row>
    <row r="196" spans="1:6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67">
        <v>46226</v>
      </c>
      <c r="AK196" s="14">
        <v>738.18</v>
      </c>
      <c r="AL196" s="14" t="s">
        <v>562</v>
      </c>
      <c r="AM196" s="14" t="s">
        <v>154</v>
      </c>
      <c r="AN196" s="14">
        <f>IF('ETF Data'!$H$2,IF(ISNUMBER(AK196),AK196,NA()),NA())</f>
        <v>738.18</v>
      </c>
      <c r="AO196" s="14"/>
      <c r="AP196" s="14"/>
      <c r="AQ196" s="14"/>
      <c r="AR196" s="14"/>
      <c r="AS196" s="14"/>
      <c r="AT196" s="14"/>
      <c r="AU196" s="14"/>
      <c r="AV196" s="14"/>
      <c r="AW196" s="14"/>
      <c r="AX196" s="14"/>
      <c r="AY196" s="14"/>
      <c r="AZ196" s="14"/>
      <c r="BA196" s="14"/>
      <c r="BB196" s="14"/>
      <c r="BC196" s="14"/>
      <c r="BD196" s="14"/>
      <c r="BE196" s="14"/>
      <c r="BF196" s="14"/>
      <c r="BG196" s="14"/>
      <c r="BH196" s="14"/>
      <c r="BI196" s="14"/>
    </row>
    <row r="197" spans="1:6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67">
        <v>46227</v>
      </c>
      <c r="AK197" s="14">
        <v>738.93</v>
      </c>
      <c r="AL197" s="14" t="s">
        <v>562</v>
      </c>
      <c r="AM197" s="14" t="s">
        <v>154</v>
      </c>
      <c r="AN197" s="14">
        <f>IF('ETF Data'!$H$2,IF(ISNUMBER(AK197),AK197,NA()),NA())</f>
        <v>738.93</v>
      </c>
      <c r="AO197" s="14"/>
      <c r="AP197" s="14"/>
      <c r="AQ197" s="14"/>
      <c r="AR197" s="14"/>
      <c r="AS197" s="14"/>
      <c r="AT197" s="14"/>
      <c r="AU197" s="14"/>
      <c r="AV197" s="14"/>
      <c r="AW197" s="14"/>
      <c r="AX197" s="14"/>
      <c r="AY197" s="14"/>
      <c r="AZ197" s="14"/>
      <c r="BA197" s="14"/>
      <c r="BB197" s="14"/>
      <c r="BC197" s="14"/>
      <c r="BD197" s="14"/>
      <c r="BE197" s="14"/>
      <c r="BF197" s="14"/>
      <c r="BG197" s="14"/>
      <c r="BH197" s="14"/>
      <c r="BI197" s="14"/>
    </row>
    <row r="198" spans="1:6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67">
        <v>46230</v>
      </c>
      <c r="AK198" s="14">
        <v>739.09</v>
      </c>
      <c r="AL198" s="14" t="s">
        <v>562</v>
      </c>
      <c r="AM198" s="14" t="s">
        <v>154</v>
      </c>
      <c r="AN198" s="14">
        <f>IF('ETF Data'!$H$2,IF(ISNUMBER(AK198),AK198,NA()),NA())</f>
        <v>739.09</v>
      </c>
      <c r="AO198" s="14"/>
      <c r="AP198" s="14"/>
      <c r="AQ198" s="14"/>
      <c r="AR198" s="14"/>
      <c r="AS198" s="14"/>
      <c r="AT198" s="14"/>
      <c r="AU198" s="14"/>
      <c r="AV198" s="14"/>
      <c r="AW198" s="14"/>
      <c r="AX198" s="14"/>
      <c r="AY198" s="14"/>
      <c r="AZ198" s="14"/>
      <c r="BA198" s="14"/>
      <c r="BB198" s="14"/>
      <c r="BC198" s="14"/>
      <c r="BD198" s="14"/>
      <c r="BE198" s="14"/>
      <c r="BF198" s="14"/>
      <c r="BG198" s="14"/>
      <c r="BH198" s="14"/>
      <c r="BI198" s="14"/>
    </row>
    <row r="199" spans="1:6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67">
        <v>46231</v>
      </c>
      <c r="AK199" s="14">
        <v>740.86</v>
      </c>
      <c r="AL199" s="14" t="s">
        <v>562</v>
      </c>
      <c r="AM199" s="14" t="s">
        <v>154</v>
      </c>
      <c r="AN199" s="14">
        <f>IF('ETF Data'!$H$2,IF(ISNUMBER(AK199),AK199,NA()),NA())</f>
        <v>740.86</v>
      </c>
      <c r="AO199" s="14"/>
      <c r="AP199" s="14"/>
      <c r="AQ199" s="14"/>
      <c r="AR199" s="14"/>
      <c r="AS199" s="14"/>
      <c r="AT199" s="14"/>
      <c r="AU199" s="14"/>
      <c r="AV199" s="14"/>
      <c r="AW199" s="14"/>
      <c r="AX199" s="14"/>
      <c r="AY199" s="14"/>
      <c r="AZ199" s="14"/>
      <c r="BA199" s="14"/>
      <c r="BB199" s="14"/>
      <c r="BC199" s="14"/>
      <c r="BD199" s="14"/>
      <c r="BE199" s="14"/>
      <c r="BF199" s="14"/>
      <c r="BG199" s="14"/>
      <c r="BH199" s="14"/>
      <c r="BI199" s="14"/>
    </row>
    <row r="200" spans="1:6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67">
        <v>46232</v>
      </c>
      <c r="AK200" s="14">
        <v>729.46</v>
      </c>
      <c r="AL200" s="14" t="s">
        <v>562</v>
      </c>
      <c r="AM200" s="14" t="s">
        <v>154</v>
      </c>
      <c r="AN200" s="14">
        <f>IF('ETF Data'!$H$2,IF(ISNUMBER(AK200),AK200,NA()),NA())</f>
        <v>729.46</v>
      </c>
      <c r="AO200" s="14"/>
      <c r="AP200" s="14"/>
      <c r="AQ200" s="14"/>
      <c r="AR200" s="14"/>
      <c r="AS200" s="14"/>
      <c r="AT200" s="14"/>
      <c r="AU200" s="14"/>
      <c r="AV200" s="14"/>
      <c r="AW200" s="14"/>
      <c r="AX200" s="14"/>
      <c r="AY200" s="14"/>
      <c r="AZ200" s="14"/>
      <c r="BA200" s="14"/>
      <c r="BB200" s="14"/>
      <c r="BC200" s="14"/>
      <c r="BD200" s="14"/>
      <c r="BE200" s="14"/>
      <c r="BF200" s="14"/>
      <c r="BG200" s="14"/>
      <c r="BH200" s="14"/>
      <c r="BI200" s="14"/>
    </row>
    <row r="201" spans="1:6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67">
        <v>46233</v>
      </c>
      <c r="AK201" s="14">
        <v>741.69</v>
      </c>
      <c r="AL201" s="14" t="s">
        <v>562</v>
      </c>
      <c r="AM201" s="14" t="s">
        <v>154</v>
      </c>
      <c r="AN201" s="14">
        <f>IF('ETF Data'!$H$2,IF(ISNUMBER(AK201),AK201,NA()),NA())</f>
        <v>741.69</v>
      </c>
      <c r="AO201" s="14"/>
      <c r="AP201" s="14"/>
      <c r="AQ201" s="14"/>
      <c r="AR201" s="14"/>
      <c r="AS201" s="14"/>
      <c r="AT201" s="14"/>
      <c r="AU201" s="14"/>
      <c r="AV201" s="14"/>
      <c r="AW201" s="14"/>
      <c r="AX201" s="14"/>
      <c r="AY201" s="14"/>
      <c r="AZ201" s="14"/>
      <c r="BA201" s="14"/>
      <c r="BB201" s="14"/>
      <c r="BC201" s="14"/>
      <c r="BD201" s="14"/>
      <c r="BE201" s="14"/>
      <c r="BF201" s="14"/>
      <c r="BG201" s="14"/>
      <c r="BH201" s="14"/>
      <c r="BI201" s="14"/>
    </row>
    <row r="202" spans="1:6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67">
        <v>46234</v>
      </c>
      <c r="AK202" s="14">
        <v>747.03</v>
      </c>
      <c r="AL202" s="14" t="s">
        <v>562</v>
      </c>
      <c r="AM202" s="14" t="s">
        <v>154</v>
      </c>
      <c r="AN202" s="14">
        <f>IF('ETF Data'!$H$2,IF(ISNUMBER(AK202),AK202,NA()),NA())</f>
        <v>747.03</v>
      </c>
      <c r="AO202" s="14"/>
      <c r="AP202" s="14"/>
      <c r="AQ202" s="14"/>
      <c r="AR202" s="14"/>
      <c r="AS202" s="14"/>
      <c r="AT202" s="14"/>
      <c r="AU202" s="14"/>
      <c r="AV202" s="14"/>
      <c r="AW202" s="14"/>
      <c r="AX202" s="14"/>
      <c r="AY202" s="14"/>
      <c r="AZ202" s="14"/>
      <c r="BA202" s="14"/>
      <c r="BB202" s="14"/>
      <c r="BC202" s="14"/>
      <c r="BD202" s="14"/>
      <c r="BE202" s="14"/>
      <c r="BF202" s="14"/>
      <c r="BG202" s="14"/>
      <c r="BH202" s="14"/>
      <c r="BI202" s="14"/>
    </row>
    <row r="203" spans="1:6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67">
        <v>46237</v>
      </c>
      <c r="AK203" s="14">
        <v>757.67</v>
      </c>
      <c r="AL203" s="14" t="s">
        <v>562</v>
      </c>
      <c r="AM203" s="14" t="s">
        <v>154</v>
      </c>
      <c r="AN203" s="14">
        <f>IF('ETF Data'!$H$2,IF(ISNUMBER(AK203),AK203,NA()),NA())</f>
        <v>757.67</v>
      </c>
      <c r="AO203" s="14"/>
      <c r="AP203" s="14"/>
      <c r="AQ203" s="14"/>
      <c r="AR203" s="14"/>
      <c r="AS203" s="14"/>
      <c r="AT203" s="14"/>
      <c r="AU203" s="14"/>
      <c r="AV203" s="14"/>
      <c r="AW203" s="14"/>
      <c r="AX203" s="14"/>
      <c r="AY203" s="14"/>
      <c r="AZ203" s="14"/>
      <c r="BA203" s="14"/>
      <c r="BB203" s="14"/>
      <c r="BC203" s="14"/>
      <c r="BD203" s="14"/>
      <c r="BE203" s="14"/>
      <c r="BF203" s="14"/>
      <c r="BG203" s="14"/>
      <c r="BH203" s="14"/>
      <c r="BI203" s="14"/>
    </row>
    <row r="204" spans="1:6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67">
        <v>46238</v>
      </c>
      <c r="AK204" s="14">
        <v>771.33</v>
      </c>
      <c r="AL204" s="14" t="s">
        <v>562</v>
      </c>
      <c r="AM204" s="14" t="s">
        <v>154</v>
      </c>
      <c r="AN204" s="14">
        <f>IF('ETF Data'!$H$2,IF(ISNUMBER(AK204),AK204,NA()),NA())</f>
        <v>771.33</v>
      </c>
      <c r="AO204" s="14"/>
      <c r="AP204" s="14"/>
      <c r="AQ204" s="14"/>
      <c r="AR204" s="14"/>
      <c r="AS204" s="14"/>
      <c r="AT204" s="14"/>
      <c r="AU204" s="14"/>
      <c r="AV204" s="14"/>
      <c r="AW204" s="14"/>
      <c r="AX204" s="14"/>
      <c r="AY204" s="14"/>
      <c r="AZ204" s="14"/>
      <c r="BA204" s="14"/>
      <c r="BB204" s="14"/>
      <c r="BC204" s="14"/>
      <c r="BD204" s="14"/>
      <c r="BE204" s="14"/>
      <c r="BF204" s="14"/>
      <c r="BG204" s="14"/>
      <c r="BH204" s="14"/>
      <c r="BI204" s="14"/>
    </row>
    <row r="205" spans="1:6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67">
        <v>46239</v>
      </c>
      <c r="AK205" s="14">
        <v>769.79</v>
      </c>
      <c r="AL205" s="14" t="s">
        <v>562</v>
      </c>
      <c r="AM205" s="14" t="s">
        <v>154</v>
      </c>
      <c r="AN205" s="14">
        <f>IF('ETF Data'!$H$2,IF(ISNUMBER(AK205),AK205,NA()),NA())</f>
        <v>769.79</v>
      </c>
      <c r="AO205" s="14"/>
      <c r="AP205" s="14"/>
      <c r="AQ205" s="14"/>
      <c r="AR205" s="14"/>
      <c r="AS205" s="14"/>
      <c r="AT205" s="14"/>
      <c r="AU205" s="14"/>
      <c r="AV205" s="14"/>
      <c r="AW205" s="14"/>
      <c r="AX205" s="14"/>
      <c r="AY205" s="14"/>
      <c r="AZ205" s="14"/>
      <c r="BA205" s="14"/>
      <c r="BB205" s="14"/>
      <c r="BC205" s="14"/>
      <c r="BD205" s="14"/>
      <c r="BE205" s="14"/>
      <c r="BF205" s="14"/>
      <c r="BG205" s="14"/>
      <c r="BH205" s="14"/>
      <c r="BI205" s="14"/>
    </row>
    <row r="206" spans="1:6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67">
        <v>46240</v>
      </c>
      <c r="AK206" s="14">
        <v>768.56</v>
      </c>
      <c r="AL206" s="14" t="s">
        <v>562</v>
      </c>
      <c r="AM206" s="14" t="s">
        <v>154</v>
      </c>
      <c r="AN206" s="14">
        <f>IF('ETF Data'!$H$2,IF(ISNUMBER(AK206),AK206,NA()),NA())</f>
        <v>768.56</v>
      </c>
      <c r="AO206" s="14"/>
      <c r="AP206" s="14"/>
      <c r="AQ206" s="14"/>
      <c r="AR206" s="14"/>
      <c r="AS206" s="14"/>
      <c r="AT206" s="14"/>
      <c r="AU206" s="14"/>
      <c r="AV206" s="14"/>
      <c r="AW206" s="14"/>
      <c r="AX206" s="14"/>
      <c r="AY206" s="14"/>
      <c r="AZ206" s="14"/>
      <c r="BA206" s="14"/>
      <c r="BB206" s="14"/>
      <c r="BC206" s="14"/>
      <c r="BD206" s="14"/>
      <c r="BE206" s="14"/>
      <c r="BF206" s="14"/>
      <c r="BG206" s="14"/>
      <c r="BH206" s="14"/>
      <c r="BI206" s="14"/>
    </row>
    <row r="207" spans="1:6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67">
        <v>46241</v>
      </c>
      <c r="AK207" s="14">
        <v>773.26</v>
      </c>
      <c r="AL207" s="14" t="s">
        <v>562</v>
      </c>
      <c r="AM207" s="14" t="s">
        <v>154</v>
      </c>
      <c r="AN207" s="14">
        <f>IF('ETF Data'!$H$2,IF(ISNUMBER(AK207),AK207,NA()),NA())</f>
        <v>773.26</v>
      </c>
      <c r="AO207" s="14"/>
      <c r="AP207" s="14"/>
      <c r="AQ207" s="14"/>
      <c r="AR207" s="14"/>
      <c r="AS207" s="14"/>
      <c r="AT207" s="14"/>
      <c r="AU207" s="14"/>
      <c r="AV207" s="14"/>
      <c r="AW207" s="14"/>
      <c r="AX207" s="14"/>
      <c r="AY207" s="14"/>
      <c r="AZ207" s="14"/>
      <c r="BA207" s="14"/>
      <c r="BB207" s="14"/>
      <c r="BC207" s="14"/>
      <c r="BD207" s="14"/>
      <c r="BE207" s="14"/>
      <c r="BF207" s="14"/>
      <c r="BG207" s="14"/>
      <c r="BH207" s="14"/>
      <c r="BI207" s="14"/>
    </row>
    <row r="208" spans="1:6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67">
        <v>46244</v>
      </c>
      <c r="AK208" s="14">
        <v>773.03</v>
      </c>
      <c r="AL208" s="14" t="s">
        <v>562</v>
      </c>
      <c r="AM208" s="14" t="s">
        <v>154</v>
      </c>
      <c r="AN208" s="14">
        <f>IF('ETF Data'!$H$2,IF(ISNUMBER(AK208),AK208,NA()),NA())</f>
        <v>773.03</v>
      </c>
      <c r="AO208" s="14"/>
      <c r="AP208" s="14"/>
      <c r="AQ208" s="14"/>
      <c r="AR208" s="14"/>
      <c r="AS208" s="14"/>
      <c r="AT208" s="14"/>
      <c r="AU208" s="14"/>
      <c r="AV208" s="14"/>
      <c r="AW208" s="14"/>
      <c r="AX208" s="14"/>
      <c r="AY208" s="14"/>
      <c r="AZ208" s="14"/>
      <c r="BA208" s="14"/>
      <c r="BB208" s="14"/>
      <c r="BC208" s="14"/>
      <c r="BD208" s="14"/>
      <c r="BE208" s="14"/>
      <c r="BF208" s="14"/>
      <c r="BG208" s="14"/>
      <c r="BH208" s="14"/>
      <c r="BI208" s="14"/>
    </row>
    <row r="209" spans="1:6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67">
        <v>46245</v>
      </c>
      <c r="AK209" s="14">
        <v>770.56</v>
      </c>
      <c r="AL209" s="14" t="s">
        <v>562</v>
      </c>
      <c r="AM209" s="14" t="s">
        <v>154</v>
      </c>
      <c r="AN209" s="14">
        <f>IF('ETF Data'!$H$2,IF(ISNUMBER(AK209),AK209,NA()),NA())</f>
        <v>770.56</v>
      </c>
      <c r="AO209" s="14"/>
      <c r="AP209" s="14"/>
      <c r="AQ209" s="14"/>
      <c r="AR209" s="14"/>
      <c r="AS209" s="14"/>
      <c r="AT209" s="14"/>
      <c r="AU209" s="14"/>
      <c r="AV209" s="14"/>
      <c r="AW209" s="14"/>
      <c r="AX209" s="14"/>
      <c r="AY209" s="14"/>
      <c r="AZ209" s="14"/>
      <c r="BA209" s="14"/>
      <c r="BB209" s="14"/>
      <c r="BC209" s="14"/>
      <c r="BD209" s="14"/>
      <c r="BE209" s="14"/>
      <c r="BF209" s="14"/>
      <c r="BG209" s="14"/>
      <c r="BH209" s="14"/>
      <c r="BI209" s="14"/>
    </row>
    <row r="210" spans="1:6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67">
        <v>46246</v>
      </c>
      <c r="AK210" s="14">
        <v>772.49</v>
      </c>
      <c r="AL210" s="14" t="s">
        <v>562</v>
      </c>
      <c r="AM210" s="14" t="s">
        <v>154</v>
      </c>
      <c r="AN210" s="14">
        <f>IF('ETF Data'!$H$2,IF(ISNUMBER(AK210),AK210,NA()),NA())</f>
        <v>772.49</v>
      </c>
      <c r="AO210" s="14"/>
      <c r="AP210" s="14"/>
      <c r="AQ210" s="14"/>
      <c r="AR210" s="14"/>
      <c r="AS210" s="14"/>
      <c r="AT210" s="14"/>
      <c r="AU210" s="14"/>
      <c r="AV210" s="14"/>
      <c r="AW210" s="14"/>
      <c r="AX210" s="14"/>
      <c r="AY210" s="14"/>
      <c r="AZ210" s="14"/>
      <c r="BA210" s="14"/>
      <c r="BB210" s="14"/>
      <c r="BC210" s="14"/>
      <c r="BD210" s="14"/>
      <c r="BE210" s="14"/>
      <c r="BF210" s="14"/>
      <c r="BG210" s="14"/>
      <c r="BH210" s="14"/>
      <c r="BI210" s="14"/>
    </row>
    <row r="211" spans="1:6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67">
        <v>46247</v>
      </c>
      <c r="AK211" s="14">
        <v>777.88</v>
      </c>
      <c r="AL211" s="14" t="s">
        <v>562</v>
      </c>
      <c r="AM211" s="14" t="s">
        <v>154</v>
      </c>
      <c r="AN211" s="14">
        <f>IF('ETF Data'!$H$2,IF(ISNUMBER(AK211),AK211,NA()),NA())</f>
        <v>777.88</v>
      </c>
      <c r="AO211" s="14"/>
      <c r="AP211" s="14"/>
      <c r="AQ211" s="14"/>
      <c r="AR211" s="14"/>
      <c r="AS211" s="14"/>
      <c r="AT211" s="14"/>
      <c r="AU211" s="14"/>
      <c r="AV211" s="14"/>
      <c r="AW211" s="14"/>
      <c r="AX211" s="14"/>
      <c r="AY211" s="14"/>
      <c r="AZ211" s="14"/>
      <c r="BA211" s="14"/>
      <c r="BB211" s="14"/>
      <c r="BC211" s="14"/>
      <c r="BD211" s="14"/>
      <c r="BE211" s="14"/>
      <c r="BF211" s="14"/>
      <c r="BG211" s="14"/>
      <c r="BH211" s="14"/>
      <c r="BI211" s="14"/>
    </row>
    <row r="212" spans="1:6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67">
        <v>46248</v>
      </c>
      <c r="AK212" s="14">
        <v>776.34</v>
      </c>
      <c r="AL212" s="14" t="s">
        <v>562</v>
      </c>
      <c r="AM212" s="14" t="s">
        <v>154</v>
      </c>
      <c r="AN212" s="14">
        <f>IF('ETF Data'!$H$2,IF(ISNUMBER(AK212),AK212,NA()),NA())</f>
        <v>776.34</v>
      </c>
      <c r="AO212" s="14"/>
      <c r="AP212" s="14"/>
      <c r="AQ212" s="14"/>
      <c r="AR212" s="14"/>
      <c r="AS212" s="14"/>
      <c r="AT212" s="14"/>
      <c r="AU212" s="14"/>
      <c r="AV212" s="14"/>
      <c r="AW212" s="14"/>
      <c r="AX212" s="14"/>
      <c r="AY212" s="14"/>
      <c r="AZ212" s="14"/>
      <c r="BA212" s="14"/>
      <c r="BB212" s="14"/>
      <c r="BC212" s="14"/>
      <c r="BD212" s="14"/>
      <c r="BE212" s="14"/>
      <c r="BF212" s="14"/>
      <c r="BG212" s="14"/>
      <c r="BH212" s="14"/>
      <c r="BI212" s="14"/>
    </row>
    <row r="213" spans="1:6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67">
        <v>46251</v>
      </c>
      <c r="AK213" s="14">
        <v>772.67</v>
      </c>
      <c r="AL213" s="14" t="s">
        <v>562</v>
      </c>
      <c r="AM213" s="14" t="s">
        <v>154</v>
      </c>
      <c r="AN213" s="14">
        <f>IF('ETF Data'!$H$2,IF(ISNUMBER(AK213),AK213,NA()),NA())</f>
        <v>772.67</v>
      </c>
      <c r="AO213" s="14"/>
      <c r="AP213" s="14"/>
      <c r="AQ213" s="14"/>
      <c r="AR213" s="14"/>
      <c r="AS213" s="14"/>
      <c r="AT213" s="14"/>
      <c r="AU213" s="14"/>
      <c r="AV213" s="14"/>
      <c r="AW213" s="14"/>
      <c r="AX213" s="14"/>
      <c r="AY213" s="14"/>
      <c r="AZ213" s="14"/>
      <c r="BA213" s="14"/>
      <c r="BB213" s="14"/>
      <c r="BC213" s="14"/>
      <c r="BD213" s="14"/>
      <c r="BE213" s="14"/>
      <c r="BF213" s="14"/>
      <c r="BG213" s="14"/>
      <c r="BH213" s="14"/>
      <c r="BI213" s="14"/>
    </row>
    <row r="214" spans="1:6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67">
        <v>46252</v>
      </c>
      <c r="AK214" s="14">
        <v>767.45</v>
      </c>
      <c r="AL214" s="14" t="s">
        <v>562</v>
      </c>
      <c r="AM214" s="14" t="s">
        <v>154</v>
      </c>
      <c r="AN214" s="14">
        <f>IF('ETF Data'!$H$2,IF(ISNUMBER(AK214),AK214,NA()),NA())</f>
        <v>767.45</v>
      </c>
      <c r="AO214" s="14"/>
      <c r="AP214" s="14"/>
      <c r="AQ214" s="14"/>
      <c r="AR214" s="14"/>
      <c r="AS214" s="14"/>
      <c r="AT214" s="14"/>
      <c r="AU214" s="14"/>
      <c r="AV214" s="14"/>
      <c r="AW214" s="14"/>
      <c r="AX214" s="14"/>
      <c r="AY214" s="14"/>
      <c r="AZ214" s="14"/>
      <c r="BA214" s="14"/>
      <c r="BB214" s="14"/>
      <c r="BC214" s="14"/>
      <c r="BD214" s="14"/>
      <c r="BE214" s="14"/>
      <c r="BF214" s="14"/>
      <c r="BG214" s="14"/>
      <c r="BH214" s="14"/>
      <c r="BI214" s="14"/>
    </row>
    <row r="215" spans="1:6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67">
        <v>46253</v>
      </c>
      <c r="AK215" s="14">
        <v>769.06</v>
      </c>
      <c r="AL215" s="14" t="s">
        <v>562</v>
      </c>
      <c r="AM215" s="14" t="s">
        <v>154</v>
      </c>
      <c r="AN215" s="14">
        <f>IF('ETF Data'!$H$2,IF(ISNUMBER(AK215),AK215,NA()),NA())</f>
        <v>769.06</v>
      </c>
      <c r="AO215" s="14"/>
      <c r="AP215" s="14"/>
      <c r="AQ215" s="14"/>
      <c r="AR215" s="14"/>
      <c r="AS215" s="14"/>
      <c r="AT215" s="14"/>
      <c r="AU215" s="14"/>
      <c r="AV215" s="14"/>
      <c r="AW215" s="14"/>
      <c r="AX215" s="14"/>
      <c r="AY215" s="14"/>
      <c r="AZ215" s="14"/>
      <c r="BA215" s="14"/>
      <c r="BB215" s="14"/>
      <c r="BC215" s="14"/>
      <c r="BD215" s="14"/>
      <c r="BE215" s="14"/>
      <c r="BF215" s="14"/>
      <c r="BG215" s="14"/>
      <c r="BH215" s="14"/>
      <c r="BI215" s="14"/>
    </row>
    <row r="216" spans="1:6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67">
        <v>46254</v>
      </c>
      <c r="AK216" s="14">
        <v>762.6</v>
      </c>
      <c r="AL216" s="14" t="s">
        <v>562</v>
      </c>
      <c r="AM216" s="14" t="s">
        <v>154</v>
      </c>
      <c r="AN216" s="14">
        <f>IF('ETF Data'!$H$2,IF(ISNUMBER(AK216),AK216,NA()),NA())</f>
        <v>762.6</v>
      </c>
      <c r="AO216" s="14"/>
      <c r="AP216" s="14"/>
      <c r="AQ216" s="14"/>
      <c r="AR216" s="14"/>
      <c r="AS216" s="14"/>
      <c r="AT216" s="14"/>
      <c r="AU216" s="14"/>
      <c r="AV216" s="14"/>
      <c r="AW216" s="14"/>
      <c r="AX216" s="14"/>
      <c r="AY216" s="14"/>
      <c r="AZ216" s="14"/>
      <c r="BA216" s="14"/>
      <c r="BB216" s="14"/>
      <c r="BC216" s="14"/>
      <c r="BD216" s="14"/>
      <c r="BE216" s="14"/>
      <c r="BF216" s="14"/>
      <c r="BG216" s="14"/>
      <c r="BH216" s="14"/>
      <c r="BI216" s="14"/>
    </row>
    <row r="217" spans="1:6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67">
        <v>46255</v>
      </c>
      <c r="AK217" s="14">
        <v>765.72</v>
      </c>
      <c r="AL217" s="14" t="s">
        <v>562</v>
      </c>
      <c r="AM217" s="14" t="s">
        <v>154</v>
      </c>
      <c r="AN217" s="14">
        <f>IF('ETF Data'!$H$2,IF(ISNUMBER(AK217),AK217,NA()),NA())</f>
        <v>765.72</v>
      </c>
      <c r="AO217" s="14"/>
      <c r="AP217" s="14"/>
      <c r="AQ217" s="14"/>
      <c r="AR217" s="14"/>
      <c r="AS217" s="14"/>
      <c r="AT217" s="14"/>
      <c r="AU217" s="14"/>
      <c r="AV217" s="14"/>
      <c r="AW217" s="14"/>
      <c r="AX217" s="14"/>
      <c r="AY217" s="14"/>
      <c r="AZ217" s="14"/>
      <c r="BA217" s="14"/>
      <c r="BB217" s="14"/>
      <c r="BC217" s="14"/>
      <c r="BD217" s="14"/>
      <c r="BE217" s="14"/>
      <c r="BF217" s="14"/>
      <c r="BG217" s="14"/>
      <c r="BH217" s="14"/>
      <c r="BI217" s="14"/>
    </row>
    <row r="218" spans="1:6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67">
        <v>46258</v>
      </c>
      <c r="AK218" s="14">
        <v>763.47</v>
      </c>
      <c r="AL218" s="14" t="s">
        <v>562</v>
      </c>
      <c r="AM218" s="14" t="s">
        <v>154</v>
      </c>
      <c r="AN218" s="14">
        <f>IF('ETF Data'!$H$2,IF(ISNUMBER(AK218),AK218,NA()),NA())</f>
        <v>763.47</v>
      </c>
      <c r="AO218" s="14"/>
      <c r="AP218" s="14"/>
      <c r="AQ218" s="14"/>
      <c r="AR218" s="14"/>
      <c r="AS218" s="14"/>
      <c r="AT218" s="14"/>
      <c r="AU218" s="14"/>
      <c r="AV218" s="14"/>
      <c r="AW218" s="14"/>
      <c r="AX218" s="14"/>
      <c r="AY218" s="14"/>
      <c r="AZ218" s="14"/>
      <c r="BA218" s="14"/>
      <c r="BB218" s="14"/>
      <c r="BC218" s="14"/>
      <c r="BD218" s="14"/>
      <c r="BE218" s="14"/>
      <c r="BF218" s="14"/>
      <c r="BG218" s="14"/>
      <c r="BH218" s="14"/>
      <c r="BI218" s="14"/>
    </row>
    <row r="219" spans="1:6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67">
        <v>46259</v>
      </c>
      <c r="AK219" s="14">
        <v>765.91</v>
      </c>
      <c r="AL219" s="14" t="s">
        <v>562</v>
      </c>
      <c r="AM219" s="14" t="s">
        <v>154</v>
      </c>
      <c r="AN219" s="14">
        <f>IF('ETF Data'!$H$2,IF(ISNUMBER(AK219),AK219,NA()),NA())</f>
        <v>765.91</v>
      </c>
      <c r="AO219" s="14"/>
      <c r="AP219" s="14"/>
      <c r="AQ219" s="14"/>
      <c r="AR219" s="14"/>
      <c r="AS219" s="14"/>
      <c r="AT219" s="14"/>
      <c r="AU219" s="14"/>
      <c r="AV219" s="14"/>
      <c r="AW219" s="14"/>
      <c r="AX219" s="14"/>
      <c r="AY219" s="14"/>
      <c r="AZ219" s="14"/>
      <c r="BA219" s="14"/>
      <c r="BB219" s="14"/>
      <c r="BC219" s="14"/>
      <c r="BD219" s="14"/>
      <c r="BE219" s="14"/>
      <c r="BF219" s="14"/>
      <c r="BG219" s="14"/>
      <c r="BH219" s="14"/>
      <c r="BI219" s="14"/>
    </row>
    <row r="220" spans="1:6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67">
        <v>46260</v>
      </c>
      <c r="AK220" s="14">
        <v>766.08</v>
      </c>
      <c r="AL220" s="14" t="s">
        <v>562</v>
      </c>
      <c r="AM220" s="14" t="s">
        <v>154</v>
      </c>
      <c r="AN220" s="14">
        <f>IF('ETF Data'!$H$2,IF(ISNUMBER(AK220),AK220,NA()),NA())</f>
        <v>766.08</v>
      </c>
      <c r="AO220" s="14"/>
      <c r="AP220" s="14"/>
      <c r="AQ220" s="14"/>
      <c r="AR220" s="14"/>
      <c r="AS220" s="14"/>
      <c r="AT220" s="14"/>
      <c r="AU220" s="14"/>
      <c r="AV220" s="14"/>
      <c r="AW220" s="14"/>
      <c r="AX220" s="14"/>
      <c r="AY220" s="14"/>
      <c r="AZ220" s="14"/>
      <c r="BA220" s="14"/>
      <c r="BB220" s="14"/>
      <c r="BC220" s="14"/>
      <c r="BD220" s="14"/>
      <c r="BE220" s="14"/>
      <c r="BF220" s="14"/>
      <c r="BG220" s="14"/>
      <c r="BH220" s="14"/>
      <c r="BI220" s="14"/>
    </row>
    <row r="221" spans="1:6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67">
        <v>46261</v>
      </c>
      <c r="AK221" s="14">
        <v>771.1</v>
      </c>
      <c r="AL221" s="14" t="s">
        <v>562</v>
      </c>
      <c r="AM221" s="14" t="s">
        <v>154</v>
      </c>
      <c r="AN221" s="14">
        <f>IF('ETF Data'!$H$2,IF(ISNUMBER(AK221),AK221,NA()),NA())</f>
        <v>771.1</v>
      </c>
      <c r="AO221" s="14"/>
      <c r="AP221" s="14"/>
      <c r="AQ221" s="14"/>
      <c r="AR221" s="14"/>
      <c r="AS221" s="14"/>
      <c r="AT221" s="14"/>
      <c r="AU221" s="14"/>
      <c r="AV221" s="14"/>
      <c r="AW221" s="14"/>
      <c r="AX221" s="14"/>
      <c r="AY221" s="14"/>
      <c r="AZ221" s="14"/>
      <c r="BA221" s="14"/>
      <c r="BB221" s="14"/>
      <c r="BC221" s="14"/>
      <c r="BD221" s="14"/>
      <c r="BE221" s="14"/>
      <c r="BF221" s="14"/>
      <c r="BG221" s="14"/>
      <c r="BH221" s="14"/>
      <c r="BI221" s="14"/>
    </row>
    <row r="222" spans="1:6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67">
        <v>46262</v>
      </c>
      <c r="AK222" s="14">
        <v>769.35</v>
      </c>
      <c r="AL222" s="14" t="s">
        <v>562</v>
      </c>
      <c r="AM222" s="14" t="s">
        <v>154</v>
      </c>
      <c r="AN222" s="14">
        <f>IF('ETF Data'!$H$2,IF(ISNUMBER(AK222),AK222,NA()),NA())</f>
        <v>769.35</v>
      </c>
      <c r="AO222" s="14"/>
      <c r="AP222" s="14"/>
      <c r="AQ222" s="14"/>
      <c r="AR222" s="14"/>
      <c r="AS222" s="14"/>
      <c r="AT222" s="14"/>
      <c r="AU222" s="14"/>
      <c r="AV222" s="14"/>
      <c r="AW222" s="14"/>
      <c r="AX222" s="14"/>
      <c r="AY222" s="14"/>
      <c r="AZ222" s="14"/>
      <c r="BA222" s="14"/>
      <c r="BB222" s="14"/>
      <c r="BC222" s="14"/>
      <c r="BD222" s="14"/>
      <c r="BE222" s="14"/>
      <c r="BF222" s="14"/>
      <c r="BG222" s="14"/>
      <c r="BH222" s="14"/>
      <c r="BI222" s="14"/>
    </row>
    <row r="223" spans="1:6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67">
        <v>46265</v>
      </c>
      <c r="AK223" s="14">
        <v>767.05</v>
      </c>
      <c r="AL223" s="14" t="s">
        <v>562</v>
      </c>
      <c r="AM223" s="14" t="s">
        <v>154</v>
      </c>
      <c r="AN223" s="14">
        <f>IF('ETF Data'!$H$2,IF(ISNUMBER(AK223),AK223,NA()),NA())</f>
        <v>767.05</v>
      </c>
      <c r="AO223" s="14"/>
      <c r="AP223" s="14"/>
      <c r="AQ223" s="14"/>
      <c r="AR223" s="14"/>
      <c r="AS223" s="14"/>
      <c r="AT223" s="14"/>
      <c r="AU223" s="14"/>
      <c r="AV223" s="14"/>
      <c r="AW223" s="14"/>
      <c r="AX223" s="14"/>
      <c r="AY223" s="14"/>
      <c r="AZ223" s="14"/>
      <c r="BA223" s="14"/>
      <c r="BB223" s="14"/>
      <c r="BC223" s="14"/>
      <c r="BD223" s="14"/>
      <c r="BE223" s="14"/>
      <c r="BF223" s="14"/>
      <c r="BG223" s="14"/>
      <c r="BH223" s="14"/>
      <c r="BI223" s="14"/>
    </row>
    <row r="224" spans="1:6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67">
        <v>46266</v>
      </c>
      <c r="AK224" s="14">
        <v>761.78</v>
      </c>
      <c r="AL224" s="14" t="s">
        <v>562</v>
      </c>
      <c r="AM224" s="14" t="s">
        <v>154</v>
      </c>
      <c r="AN224" s="14">
        <f>IF('ETF Data'!$H$2,IF(ISNUMBER(AK224),AK224,NA()),NA())</f>
        <v>761.78</v>
      </c>
      <c r="AO224" s="14"/>
      <c r="AP224" s="14"/>
      <c r="AQ224" s="14"/>
      <c r="AR224" s="14"/>
      <c r="AS224" s="14"/>
      <c r="AT224" s="14"/>
      <c r="AU224" s="14"/>
      <c r="AV224" s="14"/>
      <c r="AW224" s="14"/>
      <c r="AX224" s="14"/>
      <c r="AY224" s="14"/>
      <c r="AZ224" s="14"/>
      <c r="BA224" s="14"/>
      <c r="BB224" s="14"/>
      <c r="BC224" s="14"/>
      <c r="BD224" s="14"/>
      <c r="BE224" s="14"/>
      <c r="BF224" s="14"/>
      <c r="BG224" s="14"/>
      <c r="BH224" s="14"/>
      <c r="BI224" s="14"/>
    </row>
    <row r="225" spans="1:6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67">
        <v>46267</v>
      </c>
      <c r="AK225" s="14">
        <v>765.16</v>
      </c>
      <c r="AL225" s="14" t="s">
        <v>562</v>
      </c>
      <c r="AM225" s="14" t="s">
        <v>154</v>
      </c>
      <c r="AN225" s="14">
        <f>IF('ETF Data'!$H$2,IF(ISNUMBER(AK225),AK225,NA()),NA())</f>
        <v>765.16</v>
      </c>
      <c r="AO225" s="14"/>
      <c r="AP225" s="14"/>
      <c r="AQ225" s="14"/>
      <c r="AR225" s="14"/>
      <c r="AS225" s="14"/>
      <c r="AT225" s="14"/>
      <c r="AU225" s="14"/>
      <c r="AV225" s="14"/>
      <c r="AW225" s="14"/>
      <c r="AX225" s="14"/>
      <c r="AY225" s="14"/>
      <c r="AZ225" s="14"/>
      <c r="BA225" s="14"/>
      <c r="BB225" s="14"/>
      <c r="BC225" s="14"/>
      <c r="BD225" s="14"/>
      <c r="BE225" s="14"/>
      <c r="BF225" s="14"/>
      <c r="BG225" s="14"/>
      <c r="BH225" s="14"/>
      <c r="BI225" s="14"/>
    </row>
    <row r="226" spans="1:6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67">
        <v>46268</v>
      </c>
      <c r="AK226" s="14">
        <v>773.17</v>
      </c>
      <c r="AL226" s="14" t="s">
        <v>562</v>
      </c>
      <c r="AM226" s="14" t="s">
        <v>154</v>
      </c>
      <c r="AN226" s="14">
        <f>IF('ETF Data'!$H$2,IF(ISNUMBER(AK226),AK226,NA()),NA())</f>
        <v>773.17</v>
      </c>
      <c r="AO226" s="14"/>
      <c r="AP226" s="14"/>
      <c r="AQ226" s="14"/>
      <c r="AR226" s="14"/>
      <c r="AS226" s="14"/>
      <c r="AT226" s="14"/>
      <c r="AU226" s="14"/>
      <c r="AV226" s="14"/>
      <c r="AW226" s="14"/>
      <c r="AX226" s="14"/>
      <c r="AY226" s="14"/>
      <c r="AZ226" s="14"/>
      <c r="BA226" s="14"/>
      <c r="BB226" s="14"/>
      <c r="BC226" s="14"/>
      <c r="BD226" s="14"/>
      <c r="BE226" s="14"/>
      <c r="BF226" s="14"/>
      <c r="BG226" s="14"/>
      <c r="BH226" s="14"/>
      <c r="BI226" s="14"/>
    </row>
    <row r="227" spans="1:6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67">
        <v>46269</v>
      </c>
      <c r="AK227" s="14">
        <v>770.19</v>
      </c>
      <c r="AL227" s="14" t="s">
        <v>562</v>
      </c>
      <c r="AM227" s="14" t="s">
        <v>154</v>
      </c>
      <c r="AN227" s="14">
        <f>IF('ETF Data'!$H$2,IF(ISNUMBER(AK227),AK227,NA()),NA())</f>
        <v>770.19</v>
      </c>
      <c r="AO227" s="14"/>
      <c r="AP227" s="14"/>
      <c r="AQ227" s="14"/>
      <c r="AR227" s="14"/>
      <c r="AS227" s="14"/>
      <c r="AT227" s="14"/>
      <c r="AU227" s="14"/>
      <c r="AV227" s="14"/>
      <c r="AW227" s="14"/>
      <c r="AX227" s="14"/>
      <c r="AY227" s="14"/>
      <c r="AZ227" s="14"/>
      <c r="BA227" s="14"/>
      <c r="BB227" s="14"/>
      <c r="BC227" s="14"/>
      <c r="BD227" s="14"/>
      <c r="BE227" s="14"/>
      <c r="BF227" s="14"/>
      <c r="BG227" s="14"/>
      <c r="BH227" s="14"/>
      <c r="BI227" s="14"/>
    </row>
    <row r="228" spans="1:6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67">
        <v>46273</v>
      </c>
      <c r="AK228" s="14">
        <v>765.96</v>
      </c>
      <c r="AL228" s="14" t="s">
        <v>562</v>
      </c>
      <c r="AM228" s="14" t="s">
        <v>154</v>
      </c>
      <c r="AN228" s="14">
        <f>IF('ETF Data'!$H$2,IF(ISNUMBER(AK228),AK228,NA()),NA())</f>
        <v>765.96</v>
      </c>
      <c r="AO228" s="14"/>
      <c r="AP228" s="14"/>
      <c r="AQ228" s="14"/>
      <c r="AR228" s="14"/>
      <c r="AS228" s="14"/>
      <c r="AT228" s="14"/>
      <c r="AU228" s="14"/>
      <c r="AV228" s="14"/>
      <c r="AW228" s="14"/>
      <c r="AX228" s="14"/>
      <c r="AY228" s="14"/>
      <c r="AZ228" s="14"/>
      <c r="BA228" s="14"/>
      <c r="BB228" s="14"/>
      <c r="BC228" s="14"/>
      <c r="BD228" s="14"/>
      <c r="BE228" s="14"/>
      <c r="BF228" s="14"/>
      <c r="BG228" s="14"/>
      <c r="BH228" s="14"/>
      <c r="BI228" s="14"/>
    </row>
    <row r="229" spans="1:6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67">
        <v>46274</v>
      </c>
      <c r="AK229" s="14">
        <v>762.4</v>
      </c>
      <c r="AL229" s="14" t="s">
        <v>562</v>
      </c>
      <c r="AM229" s="14" t="s">
        <v>154</v>
      </c>
      <c r="AN229" s="14">
        <f>IF('ETF Data'!$H$2,IF(ISNUMBER(AK229),AK229,NA()),NA())</f>
        <v>762.4</v>
      </c>
      <c r="AO229" s="14"/>
      <c r="AP229" s="14"/>
      <c r="AQ229" s="14"/>
      <c r="AR229" s="14"/>
      <c r="AS229" s="14"/>
      <c r="AT229" s="14"/>
      <c r="AU229" s="14"/>
      <c r="AV229" s="14"/>
      <c r="AW229" s="14"/>
      <c r="AX229" s="14"/>
      <c r="AY229" s="14"/>
      <c r="AZ229" s="14"/>
      <c r="BA229" s="14"/>
      <c r="BB229" s="14"/>
      <c r="BC229" s="14"/>
      <c r="BD229" s="14"/>
      <c r="BE229" s="14"/>
      <c r="BF229" s="14"/>
      <c r="BG229" s="14"/>
      <c r="BH229" s="14"/>
      <c r="BI229" s="14"/>
    </row>
    <row r="230" spans="1:6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67">
        <v>46275</v>
      </c>
      <c r="AK230" s="14">
        <v>757.83</v>
      </c>
      <c r="AL230" s="14" t="s">
        <v>562</v>
      </c>
      <c r="AM230" s="14" t="s">
        <v>154</v>
      </c>
      <c r="AN230" s="14">
        <f>IF('ETF Data'!$H$2,IF(ISNUMBER(AK230),AK230,NA()),NA())</f>
        <v>757.83</v>
      </c>
      <c r="AO230" s="14"/>
      <c r="AP230" s="14"/>
      <c r="AQ230" s="14"/>
      <c r="AR230" s="14"/>
      <c r="AS230" s="14"/>
      <c r="AT230" s="14"/>
      <c r="AU230" s="14"/>
      <c r="AV230" s="14"/>
      <c r="AW230" s="14"/>
      <c r="AX230" s="14"/>
      <c r="AY230" s="14"/>
      <c r="AZ230" s="14"/>
      <c r="BA230" s="14"/>
      <c r="BB230" s="14"/>
      <c r="BC230" s="14"/>
      <c r="BD230" s="14"/>
      <c r="BE230" s="14"/>
      <c r="BF230" s="14"/>
      <c r="BG230" s="14"/>
      <c r="BH230" s="14"/>
      <c r="BI230" s="14"/>
    </row>
    <row r="231" spans="1:6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67">
        <v>46276</v>
      </c>
      <c r="AK231" s="14">
        <v>764.29</v>
      </c>
      <c r="AL231" s="14" t="s">
        <v>562</v>
      </c>
      <c r="AM231" s="14" t="s">
        <v>154</v>
      </c>
      <c r="AN231" s="14">
        <f>IF('ETF Data'!$H$2,IF(ISNUMBER(AK231),AK231,NA()),NA())</f>
        <v>764.29</v>
      </c>
      <c r="AO231" s="14"/>
      <c r="AP231" s="14"/>
      <c r="AQ231" s="14"/>
      <c r="AR231" s="14"/>
      <c r="AS231" s="14"/>
      <c r="AT231" s="14"/>
      <c r="AU231" s="14"/>
      <c r="AV231" s="14"/>
      <c r="AW231" s="14"/>
      <c r="AX231" s="14"/>
      <c r="AY231" s="14"/>
      <c r="AZ231" s="14"/>
      <c r="BA231" s="14"/>
      <c r="BB231" s="14"/>
      <c r="BC231" s="14"/>
      <c r="BD231" s="14"/>
      <c r="BE231" s="14"/>
      <c r="BF231" s="14"/>
      <c r="BG231" s="14"/>
      <c r="BH231" s="14"/>
      <c r="BI231" s="14"/>
    </row>
    <row r="232" spans="1:6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67">
        <v>46279</v>
      </c>
      <c r="AK232" s="14">
        <v>760.88</v>
      </c>
      <c r="AL232" s="14" t="s">
        <v>562</v>
      </c>
      <c r="AM232" s="14" t="s">
        <v>154</v>
      </c>
      <c r="AN232" s="14">
        <f>IF('ETF Data'!$H$2,IF(ISNUMBER(AK232),AK232,NA()),NA())</f>
        <v>760.88</v>
      </c>
      <c r="AO232" s="14"/>
      <c r="AP232" s="14"/>
      <c r="AQ232" s="14"/>
      <c r="AR232" s="14"/>
      <c r="AS232" s="14"/>
      <c r="AT232" s="14"/>
      <c r="AU232" s="14"/>
      <c r="AV232" s="14"/>
      <c r="AW232" s="14"/>
      <c r="AX232" s="14"/>
      <c r="AY232" s="14"/>
      <c r="AZ232" s="14"/>
      <c r="BA232" s="14"/>
      <c r="BB232" s="14"/>
      <c r="BC232" s="14"/>
      <c r="BD232" s="14"/>
      <c r="BE232" s="14"/>
      <c r="BF232" s="14"/>
      <c r="BG232" s="14"/>
      <c r="BH232" s="14"/>
      <c r="BI232" s="14"/>
    </row>
    <row r="233" spans="1:6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67">
        <v>46280</v>
      </c>
      <c r="AK233" s="14">
        <v>757.39</v>
      </c>
      <c r="AL233" s="14" t="s">
        <v>562</v>
      </c>
      <c r="AM233" s="14" t="s">
        <v>154</v>
      </c>
      <c r="AN233" s="14">
        <f>IF('ETF Data'!$H$2,IF(ISNUMBER(AK233),AK233,NA()),NA())</f>
        <v>757.39</v>
      </c>
      <c r="AO233" s="14"/>
      <c r="AP233" s="14"/>
      <c r="AQ233" s="14"/>
      <c r="AR233" s="14"/>
      <c r="AS233" s="14"/>
      <c r="AT233" s="14"/>
      <c r="AU233" s="14"/>
      <c r="AV233" s="14"/>
      <c r="AW233" s="14"/>
      <c r="AX233" s="14"/>
      <c r="AY233" s="14"/>
      <c r="AZ233" s="14"/>
      <c r="BA233" s="14"/>
      <c r="BB233" s="14"/>
      <c r="BC233" s="14"/>
      <c r="BD233" s="14"/>
      <c r="BE233" s="14"/>
      <c r="BF233" s="14"/>
      <c r="BG233" s="14"/>
      <c r="BH233" s="14"/>
      <c r="BI233" s="14"/>
    </row>
    <row r="234" spans="1:6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67">
        <v>46281</v>
      </c>
      <c r="AK234" s="14">
        <v>754.05</v>
      </c>
      <c r="AL234" s="14" t="s">
        <v>562</v>
      </c>
      <c r="AM234" s="14" t="s">
        <v>154</v>
      </c>
      <c r="AN234" s="14">
        <f>IF('ETF Data'!$H$2,IF(ISNUMBER(AK234),AK234,NA()),NA())</f>
        <v>754.05</v>
      </c>
      <c r="AO234" s="14"/>
      <c r="AP234" s="14"/>
      <c r="AQ234" s="14"/>
      <c r="AR234" s="14"/>
      <c r="AS234" s="14"/>
      <c r="AT234" s="14"/>
      <c r="AU234" s="14"/>
      <c r="AV234" s="14"/>
      <c r="AW234" s="14"/>
      <c r="AX234" s="14"/>
      <c r="AY234" s="14"/>
      <c r="AZ234" s="14"/>
      <c r="BA234" s="14"/>
      <c r="BB234" s="14"/>
      <c r="BC234" s="14"/>
      <c r="BD234" s="14"/>
      <c r="BE234" s="14"/>
      <c r="BF234" s="14"/>
      <c r="BG234" s="14"/>
      <c r="BH234" s="14"/>
      <c r="BI234" s="14"/>
    </row>
    <row r="235" spans="1:6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67">
        <v>46282</v>
      </c>
      <c r="AK235" s="14">
        <v>762.6</v>
      </c>
      <c r="AL235" s="14" t="s">
        <v>562</v>
      </c>
      <c r="AM235" s="14" t="s">
        <v>154</v>
      </c>
      <c r="AN235" s="14">
        <f>IF('ETF Data'!$H$2,IF(ISNUMBER(AK235),AK235,NA()),NA())</f>
        <v>762.6</v>
      </c>
      <c r="AO235" s="14"/>
      <c r="AP235" s="14"/>
      <c r="AQ235" s="14"/>
      <c r="AR235" s="14"/>
      <c r="AS235" s="14"/>
      <c r="AT235" s="14"/>
      <c r="AU235" s="14"/>
      <c r="AV235" s="14"/>
      <c r="AW235" s="14"/>
      <c r="AX235" s="14"/>
      <c r="AY235" s="14"/>
      <c r="AZ235" s="14"/>
      <c r="BA235" s="14"/>
      <c r="BB235" s="14"/>
      <c r="BC235" s="14"/>
      <c r="BD235" s="14"/>
      <c r="BE235" s="14"/>
      <c r="BF235" s="14"/>
      <c r="BG235" s="14"/>
      <c r="BH235" s="14"/>
      <c r="BI235" s="14"/>
    </row>
    <row r="236" spans="1:6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67">
        <v>46283</v>
      </c>
      <c r="AK236" s="14">
        <v>761.69</v>
      </c>
      <c r="AL236" s="14" t="s">
        <v>562</v>
      </c>
      <c r="AM236" s="14" t="s">
        <v>154</v>
      </c>
      <c r="AN236" s="14">
        <f>IF('ETF Data'!$H$2,IF(ISNUMBER(AK236),AK236,NA()),NA())</f>
        <v>761.69</v>
      </c>
      <c r="AO236" s="14"/>
      <c r="AP236" s="14"/>
      <c r="AQ236" s="14"/>
      <c r="AR236" s="14"/>
      <c r="AS236" s="14"/>
      <c r="AT236" s="14"/>
      <c r="AU236" s="14"/>
      <c r="AV236" s="14"/>
      <c r="AW236" s="14"/>
      <c r="AX236" s="14"/>
      <c r="AY236" s="14"/>
      <c r="AZ236" s="14"/>
      <c r="BA236" s="14"/>
      <c r="BB236" s="14"/>
      <c r="BC236" s="14"/>
      <c r="BD236" s="14"/>
      <c r="BE236" s="14"/>
      <c r="BF236" s="14"/>
      <c r="BG236" s="14"/>
      <c r="BH236" s="14"/>
      <c r="BI236" s="14"/>
    </row>
    <row r="237" spans="1:6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67">
        <v>46286</v>
      </c>
      <c r="AK237" s="14">
        <v>773.5</v>
      </c>
      <c r="AL237" s="14" t="s">
        <v>562</v>
      </c>
      <c r="AM237" s="14" t="s">
        <v>154</v>
      </c>
      <c r="AN237" s="14">
        <f>IF('ETF Data'!$H$2,IF(ISNUMBER(AK237),AK237,NA()),NA())</f>
        <v>773.5</v>
      </c>
      <c r="AO237" s="14"/>
      <c r="AP237" s="14"/>
      <c r="AQ237" s="14"/>
      <c r="AR237" s="14"/>
      <c r="AS237" s="14"/>
      <c r="AT237" s="14"/>
      <c r="AU237" s="14"/>
      <c r="AV237" s="14"/>
      <c r="AW237" s="14"/>
      <c r="AX237" s="14"/>
      <c r="AY237" s="14"/>
      <c r="AZ237" s="14"/>
      <c r="BA237" s="14"/>
      <c r="BB237" s="14"/>
      <c r="BC237" s="14"/>
      <c r="BD237" s="14"/>
      <c r="BE237" s="14"/>
      <c r="BF237" s="14"/>
      <c r="BG237" s="14"/>
      <c r="BH237" s="14"/>
      <c r="BI237" s="14"/>
    </row>
    <row r="238" spans="1:6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67">
        <v>46287</v>
      </c>
      <c r="AK238" s="14">
        <v>773.38</v>
      </c>
      <c r="AL238" s="14" t="s">
        <v>562</v>
      </c>
      <c r="AM238" s="14" t="s">
        <v>154</v>
      </c>
      <c r="AN238" s="14">
        <f>IF('ETF Data'!$H$2,IF(ISNUMBER(AK238),AK238,NA()),NA())</f>
        <v>773.38</v>
      </c>
      <c r="AO238" s="14"/>
      <c r="AP238" s="14"/>
      <c r="AQ238" s="14"/>
      <c r="AR238" s="14"/>
      <c r="AS238" s="14"/>
      <c r="AT238" s="14"/>
      <c r="AU238" s="14"/>
      <c r="AV238" s="14"/>
      <c r="AW238" s="14"/>
      <c r="AX238" s="14"/>
      <c r="AY238" s="14"/>
      <c r="AZ238" s="14"/>
      <c r="BA238" s="14"/>
      <c r="BB238" s="14"/>
      <c r="BC238" s="14"/>
      <c r="BD238" s="14"/>
      <c r="BE238" s="14"/>
      <c r="BF238" s="14"/>
      <c r="BG238" s="14"/>
      <c r="BH238" s="14"/>
      <c r="BI238" s="14"/>
    </row>
    <row r="239" spans="1:6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67">
        <v>46288</v>
      </c>
      <c r="AK239" s="14">
        <v>767.81</v>
      </c>
      <c r="AL239" s="14" t="s">
        <v>562</v>
      </c>
      <c r="AM239" s="14" t="s">
        <v>154</v>
      </c>
      <c r="AN239" s="14">
        <f>IF('ETF Data'!$H$2,IF(ISNUMBER(AK239),AK239,NA()),NA())</f>
        <v>767.81</v>
      </c>
      <c r="AO239" s="14"/>
      <c r="AP239" s="14"/>
      <c r="AQ239" s="14"/>
      <c r="AR239" s="14"/>
      <c r="AS239" s="14"/>
      <c r="AT239" s="14"/>
      <c r="AU239" s="14"/>
      <c r="AV239" s="14"/>
      <c r="AW239" s="14"/>
      <c r="AX239" s="14"/>
      <c r="AY239" s="14"/>
      <c r="AZ239" s="14"/>
      <c r="BA239" s="14"/>
      <c r="BB239" s="14"/>
      <c r="BC239" s="14"/>
      <c r="BD239" s="14"/>
      <c r="BE239" s="14"/>
      <c r="BF239" s="14"/>
      <c r="BG239" s="14"/>
      <c r="BH239" s="14"/>
      <c r="BI239" s="14"/>
    </row>
    <row r="240" spans="1:6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67">
        <v>46289</v>
      </c>
      <c r="AK240" s="14">
        <v>767.18</v>
      </c>
      <c r="AL240" s="14" t="s">
        <v>562</v>
      </c>
      <c r="AM240" s="14" t="s">
        <v>154</v>
      </c>
      <c r="AN240" s="14">
        <f>IF('ETF Data'!$H$2,IF(ISNUMBER(AK240),AK240,NA()),NA())</f>
        <v>767.18</v>
      </c>
      <c r="AO240" s="14"/>
      <c r="AP240" s="14"/>
      <c r="AQ240" s="14"/>
      <c r="AR240" s="14"/>
      <c r="AS240" s="14"/>
      <c r="AT240" s="14"/>
      <c r="AU240" s="14"/>
      <c r="AV240" s="14"/>
      <c r="AW240" s="14"/>
      <c r="AX240" s="14"/>
      <c r="AY240" s="14"/>
      <c r="AZ240" s="14"/>
      <c r="BA240" s="14"/>
      <c r="BB240" s="14"/>
      <c r="BC240" s="14"/>
      <c r="BD240" s="14"/>
      <c r="BE240" s="14"/>
      <c r="BF240" s="14"/>
      <c r="BG240" s="14"/>
      <c r="BH240" s="14"/>
      <c r="BI240" s="14"/>
    </row>
    <row r="241" spans="1:6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67">
        <v>46290</v>
      </c>
      <c r="AK241" s="14">
        <v>771.35</v>
      </c>
      <c r="AL241" s="14" t="s">
        <v>562</v>
      </c>
      <c r="AM241" s="14" t="s">
        <v>154</v>
      </c>
      <c r="AN241" s="14">
        <f>IF('ETF Data'!$H$2,IF(ISNUMBER(AK241),AK241,NA()),NA())</f>
        <v>771.35</v>
      </c>
      <c r="AO241" s="14"/>
      <c r="AP241" s="14"/>
      <c r="AQ241" s="14"/>
      <c r="AR241" s="14"/>
      <c r="AS241" s="14"/>
      <c r="AT241" s="14"/>
      <c r="AU241" s="14"/>
      <c r="AV241" s="14"/>
      <c r="AW241" s="14"/>
      <c r="AX241" s="14"/>
      <c r="AY241" s="14"/>
      <c r="AZ241" s="14"/>
      <c r="BA241" s="14"/>
      <c r="BB241" s="14"/>
      <c r="BC241" s="14"/>
      <c r="BD241" s="14"/>
      <c r="BE241" s="14"/>
      <c r="BF241" s="14"/>
      <c r="BG241" s="14"/>
      <c r="BH241" s="14"/>
      <c r="BI241" s="14"/>
    </row>
    <row r="242" spans="1:6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67">
        <v>46293</v>
      </c>
      <c r="AK242" s="14">
        <v>765.61</v>
      </c>
      <c r="AL242" s="14" t="s">
        <v>562</v>
      </c>
      <c r="AM242" s="14" t="s">
        <v>154</v>
      </c>
      <c r="AN242" s="14">
        <f>IF('ETF Data'!$H$2,IF(ISNUMBER(AK242),AK242,NA()),NA())</f>
        <v>765.61</v>
      </c>
      <c r="AO242" s="14"/>
      <c r="AP242" s="14"/>
      <c r="AQ242" s="14"/>
      <c r="AR242" s="14"/>
      <c r="AS242" s="14"/>
      <c r="AT242" s="14"/>
      <c r="AU242" s="14"/>
      <c r="AV242" s="14"/>
      <c r="AW242" s="14"/>
      <c r="AX242" s="14"/>
      <c r="AY242" s="14"/>
      <c r="AZ242" s="14"/>
      <c r="BA242" s="14"/>
      <c r="BB242" s="14"/>
      <c r="BC242" s="14"/>
      <c r="BD242" s="14"/>
      <c r="BE242" s="14"/>
      <c r="BF242" s="14"/>
      <c r="BG242" s="14"/>
      <c r="BH242" s="14"/>
      <c r="BI242" s="14"/>
    </row>
    <row r="243" spans="1:6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67">
        <v>46294</v>
      </c>
      <c r="AK243" s="14">
        <v>764.2</v>
      </c>
      <c r="AL243" s="14" t="s">
        <v>562</v>
      </c>
      <c r="AM243" s="14" t="s">
        <v>154</v>
      </c>
      <c r="AN243" s="14">
        <f>IF('ETF Data'!$H$2,IF(ISNUMBER(AK243),AK243,NA()),NA())</f>
        <v>764.2</v>
      </c>
      <c r="AO243" s="14"/>
      <c r="AP243" s="14"/>
      <c r="AQ243" s="14"/>
      <c r="AR243" s="14"/>
      <c r="AS243" s="14"/>
      <c r="AT243" s="14"/>
      <c r="AU243" s="14"/>
      <c r="AV243" s="14"/>
      <c r="AW243" s="14"/>
      <c r="AX243" s="14"/>
      <c r="AY243" s="14"/>
      <c r="AZ243" s="14"/>
      <c r="BA243" s="14"/>
      <c r="BB243" s="14"/>
      <c r="BC243" s="14"/>
      <c r="BD243" s="14"/>
      <c r="BE243" s="14"/>
      <c r="BF243" s="14"/>
      <c r="BG243" s="14"/>
      <c r="BH243" s="14"/>
      <c r="BI243" s="14"/>
    </row>
    <row r="244" spans="1:6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67">
        <v>46295</v>
      </c>
      <c r="AK244" s="14">
        <v>762.63</v>
      </c>
      <c r="AL244" s="14" t="s">
        <v>562</v>
      </c>
      <c r="AM244" s="14" t="s">
        <v>154</v>
      </c>
      <c r="AN244" s="14">
        <f>IF('ETF Data'!$H$2,IF(ISNUMBER(AK244),AK244,NA()),NA())</f>
        <v>762.63</v>
      </c>
      <c r="AO244" s="14"/>
      <c r="AP244" s="14"/>
      <c r="AQ244" s="14"/>
      <c r="AR244" s="14"/>
      <c r="AS244" s="14"/>
      <c r="AT244" s="14"/>
      <c r="AU244" s="14"/>
      <c r="AV244" s="14"/>
      <c r="AW244" s="14"/>
      <c r="AX244" s="14"/>
      <c r="AY244" s="14"/>
      <c r="AZ244" s="14"/>
      <c r="BA244" s="14"/>
      <c r="BB244" s="14"/>
      <c r="BC244" s="14"/>
      <c r="BD244" s="14"/>
      <c r="BE244" s="14"/>
      <c r="BF244" s="14"/>
      <c r="BG244" s="14"/>
      <c r="BH244" s="14"/>
      <c r="BI244" s="14"/>
    </row>
    <row r="245" spans="1:6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67">
        <v>46296</v>
      </c>
      <c r="AK245" s="14">
        <v>763.99</v>
      </c>
      <c r="AL245" s="14" t="s">
        <v>562</v>
      </c>
      <c r="AM245" s="14" t="s">
        <v>154</v>
      </c>
      <c r="AN245" s="14">
        <f>IF('ETF Data'!$H$2,IF(ISNUMBER(AK245),AK245,NA()),NA())</f>
        <v>763.99</v>
      </c>
      <c r="AO245" s="14"/>
      <c r="AP245" s="14"/>
      <c r="AQ245" s="14"/>
      <c r="AR245" s="14"/>
      <c r="AS245" s="14"/>
      <c r="AT245" s="14"/>
      <c r="AU245" s="14"/>
      <c r="AV245" s="14"/>
      <c r="AW245" s="14"/>
      <c r="AX245" s="14"/>
      <c r="AY245" s="14"/>
      <c r="AZ245" s="14"/>
      <c r="BA245" s="14"/>
      <c r="BB245" s="14"/>
      <c r="BC245" s="14"/>
      <c r="BD245" s="14"/>
      <c r="BE245" s="14"/>
      <c r="BF245" s="14"/>
      <c r="BG245" s="14"/>
      <c r="BH245" s="14"/>
      <c r="BI245" s="14"/>
    </row>
    <row r="246" spans="1:6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67">
        <v>46297</v>
      </c>
      <c r="AK246" s="14">
        <v>769.64</v>
      </c>
      <c r="AL246" s="14" t="s">
        <v>562</v>
      </c>
      <c r="AM246" s="14" t="s">
        <v>154</v>
      </c>
      <c r="AN246" s="14">
        <f>IF('ETF Data'!$H$2,IF(ISNUMBER(AK246),AK246,NA()),NA())</f>
        <v>769.64</v>
      </c>
      <c r="AO246" s="14"/>
      <c r="AP246" s="14"/>
      <c r="AQ246" s="14"/>
      <c r="AR246" s="14"/>
      <c r="AS246" s="14"/>
      <c r="AT246" s="14"/>
      <c r="AU246" s="14"/>
      <c r="AV246" s="14"/>
      <c r="AW246" s="14"/>
      <c r="AX246" s="14"/>
      <c r="AY246" s="14"/>
      <c r="AZ246" s="14"/>
      <c r="BA246" s="14"/>
      <c r="BB246" s="14"/>
      <c r="BC246" s="14"/>
      <c r="BD246" s="14"/>
      <c r="BE246" s="14"/>
      <c r="BF246" s="14"/>
      <c r="BG246" s="14"/>
      <c r="BH246" s="14"/>
      <c r="BI246" s="14"/>
    </row>
    <row r="247" spans="1:6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67">
        <v>46300</v>
      </c>
      <c r="AK247" s="14">
        <v>774.83</v>
      </c>
      <c r="AL247" s="14" t="s">
        <v>562</v>
      </c>
      <c r="AM247" s="14" t="s">
        <v>154</v>
      </c>
      <c r="AN247" s="14">
        <f>IF('ETF Data'!$H$2,IF(ISNUMBER(AK247),AK247,NA()),NA())</f>
        <v>774.83</v>
      </c>
      <c r="AO247" s="14"/>
      <c r="AP247" s="14"/>
      <c r="AQ247" s="14"/>
      <c r="AR247" s="14"/>
      <c r="AS247" s="14"/>
      <c r="AT247" s="14"/>
      <c r="AU247" s="14"/>
      <c r="AV247" s="14"/>
      <c r="AW247" s="14"/>
      <c r="AX247" s="14"/>
      <c r="AY247" s="14"/>
      <c r="AZ247" s="14"/>
      <c r="BA247" s="14"/>
      <c r="BB247" s="14"/>
      <c r="BC247" s="14"/>
      <c r="BD247" s="14"/>
      <c r="BE247" s="14"/>
      <c r="BF247" s="14"/>
      <c r="BG247" s="14"/>
      <c r="BH247" s="14"/>
      <c r="BI247" s="14"/>
    </row>
    <row r="248" spans="1:6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67">
        <v>46301</v>
      </c>
      <c r="AK248" s="14">
        <v>779.09</v>
      </c>
      <c r="AL248" s="14" t="s">
        <v>562</v>
      </c>
      <c r="AM248" s="14" t="s">
        <v>154</v>
      </c>
      <c r="AN248" s="14">
        <f>IF('ETF Data'!$H$2,IF(ISNUMBER(AK248),AK248,NA()),NA())</f>
        <v>779.09</v>
      </c>
      <c r="AO248" s="14"/>
      <c r="AP248" s="14"/>
      <c r="AQ248" s="14"/>
      <c r="AR248" s="14"/>
      <c r="AS248" s="14"/>
      <c r="AT248" s="14"/>
      <c r="AU248" s="14"/>
      <c r="AV248" s="14"/>
      <c r="AW248" s="14"/>
      <c r="AX248" s="14"/>
      <c r="AY248" s="14"/>
      <c r="AZ248" s="14"/>
      <c r="BA248" s="14"/>
      <c r="BB248" s="14"/>
      <c r="BC248" s="14"/>
      <c r="BD248" s="14"/>
      <c r="BE248" s="14"/>
      <c r="BF248" s="14"/>
      <c r="BG248" s="14"/>
      <c r="BH248" s="14"/>
      <c r="BI248" s="14"/>
    </row>
    <row r="249" spans="1:6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67">
        <v>46302</v>
      </c>
      <c r="AK249" s="14">
        <v>777.22</v>
      </c>
      <c r="AL249" s="14" t="s">
        <v>562</v>
      </c>
      <c r="AM249" s="14" t="s">
        <v>154</v>
      </c>
      <c r="AN249" s="14">
        <f>IF('ETF Data'!$H$2,IF(ISNUMBER(AK249),AK249,NA()),NA())</f>
        <v>777.22</v>
      </c>
      <c r="AO249" s="14"/>
      <c r="AP249" s="14"/>
      <c r="AQ249" s="14"/>
      <c r="AR249" s="14"/>
      <c r="AS249" s="14"/>
      <c r="AT249" s="14"/>
      <c r="AU249" s="14"/>
      <c r="AV249" s="14"/>
      <c r="AW249" s="14"/>
      <c r="AX249" s="14"/>
      <c r="AY249" s="14"/>
      <c r="AZ249" s="14"/>
      <c r="BA249" s="14"/>
      <c r="BB249" s="14"/>
      <c r="BC249" s="14"/>
      <c r="BD249" s="14"/>
      <c r="BE249" s="14"/>
      <c r="BF249" s="14"/>
      <c r="BG249" s="14"/>
      <c r="BH249" s="14"/>
      <c r="BI249" s="14"/>
    </row>
    <row r="250" spans="1:6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67">
        <v>46303</v>
      </c>
      <c r="AK250" s="14">
        <v>773.93</v>
      </c>
      <c r="AL250" s="14" t="s">
        <v>562</v>
      </c>
      <c r="AM250" s="14" t="s">
        <v>154</v>
      </c>
      <c r="AN250" s="14">
        <f>IF('ETF Data'!$H$2,IF(ISNUMBER(AK250),AK250,NA()),NA())</f>
        <v>773.93</v>
      </c>
      <c r="AO250" s="14"/>
      <c r="AP250" s="14"/>
      <c r="AQ250" s="14"/>
      <c r="AR250" s="14"/>
      <c r="AS250" s="14"/>
      <c r="AT250" s="14"/>
      <c r="AU250" s="14"/>
      <c r="AV250" s="14"/>
      <c r="AW250" s="14"/>
      <c r="AX250" s="14"/>
      <c r="AY250" s="14"/>
      <c r="AZ250" s="14"/>
      <c r="BA250" s="14"/>
      <c r="BB250" s="14"/>
      <c r="BC250" s="14"/>
      <c r="BD250" s="14"/>
      <c r="BE250" s="14"/>
      <c r="BF250" s="14"/>
      <c r="BG250" s="14"/>
      <c r="BH250" s="14"/>
      <c r="BI250" s="14"/>
    </row>
    <row r="251" spans="1:6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67">
        <v>46304</v>
      </c>
      <c r="AK251" s="14">
        <v>778.57</v>
      </c>
      <c r="AL251" s="14" t="s">
        <v>562</v>
      </c>
      <c r="AM251" s="14" t="s">
        <v>154</v>
      </c>
      <c r="AN251" s="14">
        <f>IF('ETF Data'!$H$2,IF(ISNUMBER(AK251),AK251,NA()),NA())</f>
        <v>778.57</v>
      </c>
      <c r="AO251" s="14"/>
      <c r="AP251" s="14"/>
      <c r="AQ251" s="14"/>
      <c r="AR251" s="14"/>
      <c r="AS251" s="14"/>
      <c r="AT251" s="14"/>
      <c r="AU251" s="14"/>
      <c r="AV251" s="14"/>
      <c r="AW251" s="14"/>
      <c r="AX251" s="14"/>
      <c r="AY251" s="14"/>
      <c r="AZ251" s="14"/>
      <c r="BA251" s="14"/>
      <c r="BB251" s="14"/>
      <c r="BC251" s="14"/>
      <c r="BD251" s="14"/>
      <c r="BE251" s="14"/>
      <c r="BF251" s="14"/>
      <c r="BG251" s="14"/>
      <c r="BH251" s="14"/>
      <c r="BI251" s="14"/>
    </row>
    <row r="252" spans="1:6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67"/>
      <c r="AK252" s="14"/>
      <c r="AL252" s="14"/>
      <c r="AM252" s="14"/>
      <c r="AN252" s="14" t="e">
        <f>IF('ETF Data'!$H$2,IF(ISNUMBER(AK252),AK252,NA()),NA())</f>
        <v>#N/A</v>
      </c>
      <c r="AO252" s="14"/>
      <c r="AP252" s="14"/>
      <c r="AQ252" s="14"/>
      <c r="AR252" s="14"/>
      <c r="AS252" s="14"/>
      <c r="AT252" s="14"/>
      <c r="AU252" s="14"/>
      <c r="AV252" s="14"/>
      <c r="AW252" s="14"/>
      <c r="AX252" s="14"/>
      <c r="AY252" s="14"/>
      <c r="AZ252" s="14"/>
      <c r="BA252" s="14"/>
      <c r="BB252" s="14"/>
      <c r="BC252" s="14"/>
      <c r="BD252" s="14"/>
      <c r="BE252" s="14"/>
      <c r="BF252" s="14"/>
      <c r="BG252" s="14"/>
      <c r="BH252" s="14"/>
      <c r="BI252" s="14"/>
    </row>
    <row r="253" spans="1:6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67"/>
      <c r="AK253" s="14"/>
      <c r="AL253" s="14"/>
      <c r="AM253" s="14"/>
      <c r="AN253" s="14" t="e">
        <f>IF('ETF Data'!$H$2,IF(ISNUMBER(AK253),AK253,NA()),NA())</f>
        <v>#N/A</v>
      </c>
      <c r="AO253" s="14"/>
      <c r="AP253" s="14"/>
      <c r="AQ253" s="14"/>
      <c r="AR253" s="14"/>
      <c r="AS253" s="14"/>
      <c r="AT253" s="14"/>
      <c r="AU253" s="14"/>
      <c r="AV253" s="14"/>
      <c r="AW253" s="14"/>
      <c r="AX253" s="14"/>
      <c r="AY253" s="14"/>
      <c r="AZ253" s="14"/>
      <c r="BA253" s="14"/>
      <c r="BB253" s="14"/>
      <c r="BC253" s="14"/>
      <c r="BD253" s="14"/>
      <c r="BE253" s="14"/>
      <c r="BF253" s="14"/>
      <c r="BG253" s="14"/>
      <c r="BH253" s="14"/>
      <c r="BI253" s="14"/>
    </row>
    <row r="254" spans="1:6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67"/>
      <c r="AK254" s="14"/>
      <c r="AL254" s="14"/>
      <c r="AM254" s="14"/>
      <c r="AN254" s="14" t="e">
        <f>IF('ETF Data'!$H$2,IF(ISNUMBER(AK254),AK254,NA()),NA())</f>
        <v>#N/A</v>
      </c>
      <c r="AO254" s="14"/>
      <c r="AP254" s="14"/>
      <c r="AQ254" s="14"/>
      <c r="AR254" s="14"/>
      <c r="AS254" s="14"/>
      <c r="AT254" s="14"/>
      <c r="AU254" s="14"/>
      <c r="AV254" s="14"/>
      <c r="AW254" s="14"/>
      <c r="AX254" s="14"/>
      <c r="AY254" s="14"/>
      <c r="AZ254" s="14"/>
      <c r="BA254" s="14"/>
      <c r="BB254" s="14"/>
      <c r="BC254" s="14"/>
      <c r="BD254" s="14"/>
      <c r="BE254" s="14"/>
      <c r="BF254" s="14"/>
      <c r="BG254" s="14"/>
      <c r="BH254" s="14"/>
      <c r="BI254" s="14"/>
    </row>
    <row r="255" spans="1:6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67"/>
      <c r="AK255" s="14"/>
      <c r="AL255" s="14"/>
      <c r="AM255" s="14"/>
      <c r="AN255" s="14" t="e">
        <f>IF('ETF Data'!$H$2,IF(ISNUMBER(AK255),AK255,NA()),NA())</f>
        <v>#N/A</v>
      </c>
      <c r="AO255" s="14"/>
      <c r="AP255" s="14"/>
      <c r="AQ255" s="14"/>
      <c r="AR255" s="14"/>
      <c r="AS255" s="14"/>
      <c r="AT255" s="14"/>
      <c r="AU255" s="14"/>
      <c r="AV255" s="14"/>
      <c r="AW255" s="14"/>
      <c r="AX255" s="14"/>
      <c r="AY255" s="14"/>
      <c r="AZ255" s="14"/>
      <c r="BA255" s="14"/>
      <c r="BB255" s="14"/>
      <c r="BC255" s="14"/>
      <c r="BD255" s="14"/>
      <c r="BE255" s="14"/>
      <c r="BF255" s="14"/>
      <c r="BG255" s="14"/>
      <c r="BH255" s="14"/>
      <c r="BI255" s="14"/>
    </row>
    <row r="256" spans="1:6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67"/>
      <c r="AK256" s="14"/>
      <c r="AL256" s="14"/>
      <c r="AM256" s="14"/>
      <c r="AN256" s="14" t="e">
        <f>IF('ETF Data'!$H$2,IF(ISNUMBER(AK256),AK256,NA()),NA())</f>
        <v>#N/A</v>
      </c>
      <c r="AO256" s="14"/>
      <c r="AP256" s="14"/>
      <c r="AQ256" s="14"/>
      <c r="AR256" s="14"/>
      <c r="AS256" s="14"/>
      <c r="AT256" s="14"/>
      <c r="AU256" s="14"/>
      <c r="AV256" s="14"/>
      <c r="AW256" s="14"/>
      <c r="AX256" s="14"/>
      <c r="AY256" s="14"/>
      <c r="AZ256" s="14"/>
      <c r="BA256" s="14"/>
      <c r="BB256" s="14"/>
      <c r="BC256" s="14"/>
      <c r="BD256" s="14"/>
      <c r="BE256" s="14"/>
      <c r="BF256" s="14"/>
      <c r="BG256" s="14"/>
      <c r="BH256" s="14"/>
      <c r="BI256" s="14"/>
    </row>
    <row r="257" spans="1:6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67"/>
      <c r="AK257" s="14"/>
      <c r="AL257" s="14"/>
      <c r="AM257" s="14"/>
      <c r="AN257" s="14" t="e">
        <f>IF('ETF Data'!$H$2,IF(ISNUMBER(AK257),AK257,NA()),NA())</f>
        <v>#N/A</v>
      </c>
      <c r="AO257" s="14"/>
      <c r="AP257" s="14"/>
      <c r="AQ257" s="14"/>
      <c r="AR257" s="14"/>
      <c r="AS257" s="14"/>
      <c r="AT257" s="14"/>
      <c r="AU257" s="14"/>
      <c r="AV257" s="14"/>
      <c r="AW257" s="14"/>
      <c r="AX257" s="14"/>
      <c r="AY257" s="14"/>
      <c r="AZ257" s="14"/>
      <c r="BA257" s="14"/>
      <c r="BB257" s="14"/>
      <c r="BC257" s="14"/>
      <c r="BD257" s="14"/>
      <c r="BE257" s="14"/>
      <c r="BF257" s="14"/>
      <c r="BG257" s="14"/>
      <c r="BH257" s="14"/>
      <c r="BI257" s="14"/>
    </row>
    <row r="258" spans="1:6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67"/>
      <c r="AK258" s="14"/>
      <c r="AL258" s="14"/>
      <c r="AM258" s="14"/>
      <c r="AN258" s="14" t="e">
        <f>IF('ETF Data'!$H$2,IF(ISNUMBER(AK258),AK258,NA()),NA())</f>
        <v>#N/A</v>
      </c>
      <c r="AO258" s="14"/>
      <c r="AP258" s="14"/>
      <c r="AQ258" s="14"/>
      <c r="AR258" s="14"/>
      <c r="AS258" s="14"/>
      <c r="AT258" s="14"/>
      <c r="AU258" s="14"/>
      <c r="AV258" s="14"/>
      <c r="AW258" s="14"/>
      <c r="AX258" s="14"/>
      <c r="AY258" s="14"/>
      <c r="AZ258" s="14"/>
      <c r="BA258" s="14"/>
      <c r="BB258" s="14"/>
      <c r="BC258" s="14"/>
      <c r="BD258" s="14"/>
      <c r="BE258" s="14"/>
      <c r="BF258" s="14"/>
      <c r="BG258" s="14"/>
      <c r="BH258" s="14"/>
      <c r="BI258" s="14"/>
    </row>
    <row r="259" spans="1:6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67"/>
      <c r="AK259" s="14"/>
      <c r="AL259" s="14"/>
      <c r="AM259" s="14"/>
      <c r="AN259" s="14" t="e">
        <f>IF('ETF Data'!$H$2,IF(ISNUMBER(AK259),AK259,NA()),NA())</f>
        <v>#N/A</v>
      </c>
      <c r="AO259" s="14"/>
      <c r="AP259" s="14"/>
      <c r="AQ259" s="14"/>
      <c r="AR259" s="14"/>
      <c r="AS259" s="14"/>
      <c r="AT259" s="14"/>
      <c r="AU259" s="14"/>
      <c r="AV259" s="14"/>
      <c r="AW259" s="14"/>
      <c r="AX259" s="14"/>
      <c r="AY259" s="14"/>
      <c r="AZ259" s="14"/>
      <c r="BA259" s="14"/>
      <c r="BB259" s="14"/>
      <c r="BC259" s="14"/>
      <c r="BD259" s="14"/>
      <c r="BE259" s="14"/>
      <c r="BF259" s="14"/>
      <c r="BG259" s="14"/>
      <c r="BH259" s="14"/>
      <c r="BI259" s="14"/>
    </row>
    <row r="260" spans="1:6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67"/>
      <c r="AK260" s="14"/>
      <c r="AL260" s="14"/>
      <c r="AM260" s="14"/>
      <c r="AN260" s="14" t="e">
        <f>IF('ETF Data'!$H$2,IF(ISNUMBER(AK260),AK260,NA()),NA())</f>
        <v>#N/A</v>
      </c>
      <c r="AO260" s="14"/>
      <c r="AP260" s="14"/>
      <c r="AQ260" s="14"/>
      <c r="AR260" s="14"/>
      <c r="AS260" s="14"/>
      <c r="AT260" s="14"/>
      <c r="AU260" s="14"/>
      <c r="AV260" s="14"/>
      <c r="AW260" s="14"/>
      <c r="AX260" s="14"/>
      <c r="AY260" s="14"/>
      <c r="AZ260" s="14"/>
      <c r="BA260" s="14"/>
      <c r="BB260" s="14"/>
      <c r="BC260" s="14"/>
      <c r="BD260" s="14"/>
      <c r="BE260" s="14"/>
      <c r="BF260" s="14"/>
      <c r="BG260" s="14"/>
      <c r="BH260" s="14"/>
      <c r="BI260" s="14"/>
    </row>
    <row r="261" spans="1:6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67"/>
      <c r="AK261" s="14"/>
      <c r="AL261" s="14"/>
      <c r="AM261" s="14"/>
      <c r="AN261" s="14" t="e">
        <f>IF('ETF Data'!$H$2,IF(ISNUMBER(AK261),AK261,NA()),NA())</f>
        <v>#N/A</v>
      </c>
      <c r="AO261" s="14"/>
      <c r="AP261" s="14"/>
      <c r="AQ261" s="14"/>
      <c r="AR261" s="14"/>
      <c r="AS261" s="14"/>
      <c r="AT261" s="14"/>
      <c r="AU261" s="14"/>
      <c r="AV261" s="14"/>
      <c r="AW261" s="14"/>
      <c r="AX261" s="14"/>
      <c r="AY261" s="14"/>
      <c r="AZ261" s="14"/>
      <c r="BA261" s="14"/>
      <c r="BB261" s="14"/>
      <c r="BC261" s="14"/>
      <c r="BD261" s="14"/>
      <c r="BE261" s="14"/>
      <c r="BF261" s="14"/>
      <c r="BG261" s="14"/>
      <c r="BH261" s="14"/>
      <c r="BI261" s="14"/>
    </row>
    <row r="262" spans="1:6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67"/>
      <c r="AK262" s="14"/>
      <c r="AL262" s="14"/>
      <c r="AM262" s="14"/>
      <c r="AN262" s="14" t="e">
        <f>IF('ETF Data'!$H$2,IF(ISNUMBER(AK262),AK262,NA()),NA())</f>
        <v>#N/A</v>
      </c>
      <c r="AO262" s="14"/>
      <c r="AP262" s="14"/>
      <c r="AQ262" s="14"/>
      <c r="AR262" s="14"/>
      <c r="AS262" s="14"/>
      <c r="AT262" s="14"/>
      <c r="AU262" s="14"/>
      <c r="AV262" s="14"/>
      <c r="AW262" s="14"/>
      <c r="AX262" s="14"/>
      <c r="AY262" s="14"/>
      <c r="AZ262" s="14"/>
      <c r="BA262" s="14"/>
      <c r="BB262" s="14"/>
      <c r="BC262" s="14"/>
      <c r="BD262" s="14"/>
      <c r="BE262" s="14"/>
      <c r="BF262" s="14"/>
      <c r="BG262" s="14"/>
      <c r="BH262" s="14"/>
      <c r="BI262" s="14"/>
    </row>
    <row r="263" spans="1:6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67"/>
      <c r="AK263" s="14"/>
      <c r="AL263" s="14"/>
      <c r="AM263" s="14"/>
      <c r="AN263" s="14" t="e">
        <f>IF('ETF Data'!$H$2,IF(ISNUMBER(AK263),AK263,NA()),NA())</f>
        <v>#N/A</v>
      </c>
      <c r="AO263" s="14"/>
      <c r="AP263" s="14"/>
      <c r="AQ263" s="14"/>
      <c r="AR263" s="14"/>
      <c r="AS263" s="14"/>
      <c r="AT263" s="14"/>
      <c r="AU263" s="14"/>
      <c r="AV263" s="14"/>
      <c r="AW263" s="14"/>
      <c r="AX263" s="14"/>
      <c r="AY263" s="14"/>
      <c r="AZ263" s="14"/>
      <c r="BA263" s="14"/>
      <c r="BB263" s="14"/>
      <c r="BC263" s="14"/>
      <c r="BD263" s="14"/>
      <c r="BE263" s="14"/>
      <c r="BF263" s="14"/>
      <c r="BG263" s="14"/>
      <c r="BH263" s="14"/>
      <c r="BI263" s="14"/>
    </row>
    <row r="264" spans="1:6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67"/>
      <c r="AK264" s="14"/>
      <c r="AL264" s="14"/>
      <c r="AM264" s="14"/>
      <c r="AN264" s="14" t="e">
        <f>IF('ETF Data'!$H$2,IF(ISNUMBER(AK264),AK264,NA()),NA())</f>
        <v>#N/A</v>
      </c>
      <c r="AO264" s="14"/>
      <c r="AP264" s="14"/>
      <c r="AQ264" s="14"/>
      <c r="AR264" s="14"/>
      <c r="AS264" s="14"/>
      <c r="AT264" s="14"/>
      <c r="AU264" s="14"/>
      <c r="AV264" s="14"/>
      <c r="AW264" s="14"/>
      <c r="AX264" s="14"/>
      <c r="AY264" s="14"/>
      <c r="AZ264" s="14"/>
      <c r="BA264" s="14"/>
      <c r="BB264" s="14"/>
      <c r="BC264" s="14"/>
      <c r="BD264" s="14"/>
      <c r="BE264" s="14"/>
      <c r="BF264" s="14"/>
      <c r="BG264" s="14"/>
      <c r="BH264" s="14"/>
      <c r="BI264" s="14"/>
    </row>
    <row r="265" spans="1:6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67"/>
      <c r="AK265" s="14"/>
      <c r="AL265" s="14"/>
      <c r="AM265" s="14"/>
      <c r="AN265" s="14" t="e">
        <f>IF('ETF Data'!$H$2,IF(ISNUMBER(AK265),AK265,NA()),NA())</f>
        <v>#N/A</v>
      </c>
      <c r="AO265" s="14"/>
      <c r="AP265" s="14"/>
      <c r="AQ265" s="14"/>
      <c r="AR265" s="14"/>
      <c r="AS265" s="14"/>
      <c r="AT265" s="14"/>
      <c r="AU265" s="14"/>
      <c r="AV265" s="14"/>
      <c r="AW265" s="14"/>
      <c r="AX265" s="14"/>
      <c r="AY265" s="14"/>
      <c r="AZ265" s="14"/>
      <c r="BA265" s="14"/>
      <c r="BB265" s="14"/>
      <c r="BC265" s="14"/>
      <c r="BD265" s="14"/>
      <c r="BE265" s="14"/>
      <c r="BF265" s="14"/>
      <c r="BG265" s="14"/>
      <c r="BH265" s="14"/>
      <c r="BI265" s="14"/>
    </row>
    <row r="266" spans="1:6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67"/>
      <c r="AK266" s="14"/>
      <c r="AL266" s="14"/>
      <c r="AM266" s="14"/>
      <c r="AN266" s="14" t="e">
        <f>IF('ETF Data'!$H$2,IF(ISNUMBER(AK266),AK266,NA()),NA())</f>
        <v>#N/A</v>
      </c>
      <c r="AO266" s="14"/>
      <c r="AP266" s="14"/>
      <c r="AQ266" s="14"/>
      <c r="AR266" s="14"/>
      <c r="AS266" s="14"/>
      <c r="AT266" s="14"/>
      <c r="AU266" s="14"/>
      <c r="AV266" s="14"/>
      <c r="AW266" s="14"/>
      <c r="AX266" s="14"/>
      <c r="AY266" s="14"/>
      <c r="AZ266" s="14"/>
      <c r="BA266" s="14"/>
      <c r="BB266" s="14"/>
      <c r="BC266" s="14"/>
      <c r="BD266" s="14"/>
      <c r="BE266" s="14"/>
      <c r="BF266" s="14"/>
      <c r="BG266" s="14"/>
      <c r="BH266" s="14"/>
      <c r="BI266" s="14"/>
    </row>
    <row r="267" spans="1:6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67"/>
      <c r="AK267" s="14"/>
      <c r="AL267" s="14"/>
      <c r="AM267" s="14"/>
      <c r="AN267" s="14" t="e">
        <f>IF('ETF Data'!$H$2,IF(ISNUMBER(AK267),AK267,NA()),NA())</f>
        <v>#N/A</v>
      </c>
      <c r="AO267" s="14"/>
      <c r="AP267" s="14"/>
      <c r="AQ267" s="14"/>
      <c r="AR267" s="14"/>
      <c r="AS267" s="14"/>
      <c r="AT267" s="14"/>
      <c r="AU267" s="14"/>
      <c r="AV267" s="14"/>
      <c r="AW267" s="14"/>
      <c r="AX267" s="14"/>
      <c r="AY267" s="14"/>
      <c r="AZ267" s="14"/>
      <c r="BA267" s="14"/>
      <c r="BB267" s="14"/>
      <c r="BC267" s="14"/>
      <c r="BD267" s="14"/>
      <c r="BE267" s="14"/>
      <c r="BF267" s="14"/>
      <c r="BG267" s="14"/>
      <c r="BH267" s="14"/>
      <c r="BI267" s="14"/>
    </row>
    <row r="268" spans="1:6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67"/>
      <c r="AK268" s="14"/>
      <c r="AL268" s="14"/>
      <c r="AM268" s="14"/>
      <c r="AN268" s="14" t="e">
        <f>IF('ETF Data'!$H$2,IF(ISNUMBER(AK268),AK268,NA()),NA())</f>
        <v>#N/A</v>
      </c>
      <c r="AO268" s="14"/>
      <c r="AP268" s="14"/>
      <c r="AQ268" s="14"/>
      <c r="AR268" s="14"/>
      <c r="AS268" s="14"/>
      <c r="AT268" s="14"/>
      <c r="AU268" s="14"/>
      <c r="AV268" s="14"/>
      <c r="AW268" s="14"/>
      <c r="AX268" s="14"/>
      <c r="AY268" s="14"/>
      <c r="AZ268" s="14"/>
      <c r="BA268" s="14"/>
      <c r="BB268" s="14"/>
      <c r="BC268" s="14"/>
      <c r="BD268" s="14"/>
      <c r="BE268" s="14"/>
      <c r="BF268" s="14"/>
      <c r="BG268" s="14"/>
      <c r="BH268" s="14"/>
      <c r="BI268" s="14"/>
    </row>
    <row r="269" spans="1:6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67"/>
      <c r="AK269" s="14"/>
      <c r="AL269" s="14"/>
      <c r="AM269" s="14"/>
      <c r="AN269" s="14" t="e">
        <f>IF('ETF Data'!$H$2,IF(ISNUMBER(AK269),AK269,NA()),NA())</f>
        <v>#N/A</v>
      </c>
      <c r="AO269" s="14"/>
      <c r="AP269" s="14"/>
      <c r="AQ269" s="14"/>
      <c r="AR269" s="14"/>
      <c r="AS269" s="14"/>
      <c r="AT269" s="14"/>
      <c r="AU269" s="14"/>
      <c r="AV269" s="14"/>
      <c r="AW269" s="14"/>
      <c r="AX269" s="14"/>
      <c r="AY269" s="14"/>
      <c r="AZ269" s="14"/>
      <c r="BA269" s="14"/>
      <c r="BB269" s="14"/>
      <c r="BC269" s="14"/>
      <c r="BD269" s="14"/>
      <c r="BE269" s="14"/>
      <c r="BF269" s="14"/>
      <c r="BG269" s="14"/>
      <c r="BH269" s="14"/>
      <c r="BI269" s="14"/>
    </row>
    <row r="270" spans="1:6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67"/>
      <c r="AK270" s="14"/>
      <c r="AL270" s="14"/>
      <c r="AM270" s="14"/>
      <c r="AN270" s="14" t="e">
        <f>IF('ETF Data'!$H$2,IF(ISNUMBER(AK270),AK270,NA()),NA())</f>
        <v>#N/A</v>
      </c>
      <c r="AO270" s="14"/>
      <c r="AP270" s="14"/>
      <c r="AQ270" s="14"/>
      <c r="AR270" s="14"/>
      <c r="AS270" s="14"/>
      <c r="AT270" s="14"/>
      <c r="AU270" s="14"/>
      <c r="AV270" s="14"/>
      <c r="AW270" s="14"/>
      <c r="AX270" s="14"/>
      <c r="AY270" s="14"/>
      <c r="AZ270" s="14"/>
      <c r="BA270" s="14"/>
      <c r="BB270" s="14"/>
      <c r="BC270" s="14"/>
      <c r="BD270" s="14"/>
      <c r="BE270" s="14"/>
      <c r="BF270" s="14"/>
      <c r="BG270" s="14"/>
      <c r="BH270" s="14"/>
      <c r="BI270" s="14"/>
    </row>
    <row r="271" spans="1:6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67"/>
      <c r="AK271" s="14"/>
      <c r="AL271" s="14"/>
      <c r="AM271" s="14"/>
      <c r="AN271" s="14" t="e">
        <f>IF('ETF Data'!$H$2,IF(ISNUMBER(AK271),AK271,NA()),NA())</f>
        <v>#N/A</v>
      </c>
      <c r="AO271" s="14"/>
      <c r="AP271" s="14"/>
      <c r="AQ271" s="14"/>
      <c r="AR271" s="14"/>
      <c r="AS271" s="14"/>
      <c r="AT271" s="14"/>
      <c r="AU271" s="14"/>
      <c r="AV271" s="14"/>
      <c r="AW271" s="14"/>
      <c r="AX271" s="14"/>
      <c r="AY271" s="14"/>
      <c r="AZ271" s="14"/>
      <c r="BA271" s="14"/>
      <c r="BB271" s="14"/>
      <c r="BC271" s="14"/>
      <c r="BD271" s="14"/>
      <c r="BE271" s="14"/>
      <c r="BF271" s="14"/>
      <c r="BG271" s="14"/>
      <c r="BH271" s="14"/>
      <c r="BI271" s="14"/>
    </row>
    <row r="272" spans="1:6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67"/>
      <c r="AK272" s="14"/>
      <c r="AL272" s="14"/>
      <c r="AM272" s="14"/>
      <c r="AN272" s="14" t="e">
        <f>IF('ETF Data'!$H$2,IF(ISNUMBER(AK272),AK272,NA()),NA())</f>
        <v>#N/A</v>
      </c>
      <c r="AO272" s="14"/>
      <c r="AP272" s="14"/>
      <c r="AQ272" s="14"/>
      <c r="AR272" s="14"/>
      <c r="AS272" s="14"/>
      <c r="AT272" s="14"/>
      <c r="AU272" s="14"/>
      <c r="AV272" s="14"/>
      <c r="AW272" s="14"/>
      <c r="AX272" s="14"/>
      <c r="AY272" s="14"/>
      <c r="AZ272" s="14"/>
      <c r="BA272" s="14"/>
      <c r="BB272" s="14"/>
      <c r="BC272" s="14"/>
      <c r="BD272" s="14"/>
      <c r="BE272" s="14"/>
      <c r="BF272" s="14"/>
      <c r="BG272" s="14"/>
      <c r="BH272" s="14"/>
      <c r="BI272" s="14"/>
    </row>
    <row r="273" spans="1:6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67"/>
      <c r="AK273" s="14"/>
      <c r="AL273" s="14"/>
      <c r="AM273" s="14"/>
      <c r="AN273" s="14" t="e">
        <f>IF('ETF Data'!$H$2,IF(ISNUMBER(AK273),AK273,NA()),NA())</f>
        <v>#N/A</v>
      </c>
      <c r="AO273" s="14"/>
      <c r="AP273" s="14"/>
      <c r="AQ273" s="14"/>
      <c r="AR273" s="14"/>
      <c r="AS273" s="14"/>
      <c r="AT273" s="14"/>
      <c r="AU273" s="14"/>
      <c r="AV273" s="14"/>
      <c r="AW273" s="14"/>
      <c r="AX273" s="14"/>
      <c r="AY273" s="14"/>
      <c r="AZ273" s="14"/>
      <c r="BA273" s="14"/>
      <c r="BB273" s="14"/>
      <c r="BC273" s="14"/>
      <c r="BD273" s="14"/>
      <c r="BE273" s="14"/>
      <c r="BF273" s="14"/>
      <c r="BG273" s="14"/>
      <c r="BH273" s="14"/>
      <c r="BI273" s="14"/>
    </row>
    <row r="274" spans="1:6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67"/>
      <c r="AK274" s="14"/>
      <c r="AL274" s="14"/>
      <c r="AM274" s="14"/>
      <c r="AN274" s="14" t="e">
        <f>IF('ETF Data'!$H$2,IF(ISNUMBER(AK274),AK274,NA()),NA())</f>
        <v>#N/A</v>
      </c>
      <c r="AO274" s="14"/>
      <c r="AP274" s="14"/>
      <c r="AQ274" s="14"/>
      <c r="AR274" s="14"/>
      <c r="AS274" s="14"/>
      <c r="AT274" s="14"/>
      <c r="AU274" s="14"/>
      <c r="AV274" s="14"/>
      <c r="AW274" s="14"/>
      <c r="AX274" s="14"/>
      <c r="AY274" s="14"/>
      <c r="AZ274" s="14"/>
      <c r="BA274" s="14"/>
      <c r="BB274" s="14"/>
      <c r="BC274" s="14"/>
      <c r="BD274" s="14"/>
      <c r="BE274" s="14"/>
      <c r="BF274" s="14"/>
      <c r="BG274" s="14"/>
      <c r="BH274" s="14"/>
      <c r="BI274" s="14"/>
    </row>
    <row r="275" spans="1:6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67"/>
      <c r="AK275" s="14"/>
      <c r="AL275" s="14"/>
      <c r="AM275" s="14"/>
      <c r="AN275" s="14" t="e">
        <f>IF('ETF Data'!$H$2,IF(ISNUMBER(AK275),AK275,NA()),NA())</f>
        <v>#N/A</v>
      </c>
      <c r="AO275" s="14"/>
      <c r="AP275" s="14"/>
      <c r="AQ275" s="14"/>
      <c r="AR275" s="14"/>
      <c r="AS275" s="14"/>
      <c r="AT275" s="14"/>
      <c r="AU275" s="14"/>
      <c r="AV275" s="14"/>
      <c r="AW275" s="14"/>
      <c r="AX275" s="14"/>
      <c r="AY275" s="14"/>
      <c r="AZ275" s="14"/>
      <c r="BA275" s="14"/>
      <c r="BB275" s="14"/>
      <c r="BC275" s="14"/>
      <c r="BD275" s="14"/>
      <c r="BE275" s="14"/>
      <c r="BF275" s="14"/>
      <c r="BG275" s="14"/>
      <c r="BH275" s="14"/>
      <c r="BI275" s="14"/>
    </row>
    <row r="276" spans="1:6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67"/>
      <c r="AK276" s="14"/>
      <c r="AL276" s="14"/>
      <c r="AM276" s="14"/>
      <c r="AN276" s="14" t="e">
        <f>IF('ETF Data'!$H$2,IF(ISNUMBER(AK276),AK276,NA()),NA())</f>
        <v>#N/A</v>
      </c>
      <c r="AO276" s="14"/>
      <c r="AP276" s="14"/>
      <c r="AQ276" s="14"/>
      <c r="AR276" s="14"/>
      <c r="AS276" s="14"/>
      <c r="AT276" s="14"/>
      <c r="AU276" s="14"/>
      <c r="AV276" s="14"/>
      <c r="AW276" s="14"/>
      <c r="AX276" s="14"/>
      <c r="AY276" s="14"/>
      <c r="AZ276" s="14"/>
      <c r="BA276" s="14"/>
      <c r="BB276" s="14"/>
      <c r="BC276" s="14"/>
      <c r="BD276" s="14"/>
      <c r="BE276" s="14"/>
      <c r="BF276" s="14"/>
      <c r="BG276" s="14"/>
      <c r="BH276" s="14"/>
      <c r="BI276" s="14"/>
    </row>
    <row r="277" spans="1:6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67"/>
      <c r="AK277" s="14"/>
      <c r="AL277" s="14"/>
      <c r="AM277" s="14"/>
      <c r="AN277" s="14" t="e">
        <f>IF('ETF Data'!$H$2,IF(ISNUMBER(AK277),AK277,NA()),NA())</f>
        <v>#N/A</v>
      </c>
      <c r="AO277" s="14"/>
      <c r="AP277" s="14"/>
      <c r="AQ277" s="14"/>
      <c r="AR277" s="14"/>
      <c r="AS277" s="14"/>
      <c r="AT277" s="14"/>
      <c r="AU277" s="14"/>
      <c r="AV277" s="14"/>
      <c r="AW277" s="14"/>
      <c r="AX277" s="14"/>
      <c r="AY277" s="14"/>
      <c r="AZ277" s="14"/>
      <c r="BA277" s="14"/>
      <c r="BB277" s="14"/>
      <c r="BC277" s="14"/>
      <c r="BD277" s="14"/>
      <c r="BE277" s="14"/>
      <c r="BF277" s="14"/>
      <c r="BG277" s="14"/>
      <c r="BH277" s="14"/>
      <c r="BI277" s="14"/>
    </row>
    <row r="278" spans="1:6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67"/>
      <c r="AK278" s="14"/>
      <c r="AL278" s="14"/>
      <c r="AM278" s="14"/>
      <c r="AN278" s="14" t="e">
        <f>IF('ETF Data'!$H$2,IF(ISNUMBER(AK278),AK278,NA()),NA())</f>
        <v>#N/A</v>
      </c>
      <c r="AO278" s="14"/>
      <c r="AP278" s="14"/>
      <c r="AQ278" s="14"/>
      <c r="AR278" s="14"/>
      <c r="AS278" s="14"/>
      <c r="AT278" s="14"/>
      <c r="AU278" s="14"/>
      <c r="AV278" s="14"/>
      <c r="AW278" s="14"/>
      <c r="AX278" s="14"/>
      <c r="AY278" s="14"/>
      <c r="AZ278" s="14"/>
      <c r="BA278" s="14"/>
      <c r="BB278" s="14"/>
      <c r="BC278" s="14"/>
      <c r="BD278" s="14"/>
      <c r="BE278" s="14"/>
      <c r="BF278" s="14"/>
      <c r="BG278" s="14"/>
      <c r="BH278" s="14"/>
      <c r="BI278" s="14"/>
    </row>
    <row r="279" spans="1:6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67"/>
      <c r="AK279" s="14"/>
      <c r="AL279" s="14"/>
      <c r="AM279" s="14"/>
      <c r="AN279" s="14" t="e">
        <f>IF('ETF Data'!$H$2,IF(ISNUMBER(AK279),AK279,NA()),NA())</f>
        <v>#N/A</v>
      </c>
      <c r="AO279" s="14"/>
      <c r="AP279" s="14"/>
      <c r="AQ279" s="14"/>
      <c r="AR279" s="14"/>
      <c r="AS279" s="14"/>
      <c r="AT279" s="14"/>
      <c r="AU279" s="14"/>
      <c r="AV279" s="14"/>
      <c r="AW279" s="14"/>
      <c r="AX279" s="14"/>
      <c r="AY279" s="14"/>
      <c r="AZ279" s="14"/>
      <c r="BA279" s="14"/>
      <c r="BB279" s="14"/>
      <c r="BC279" s="14"/>
      <c r="BD279" s="14"/>
      <c r="BE279" s="14"/>
      <c r="BF279" s="14"/>
      <c r="BG279" s="14"/>
      <c r="BH279" s="14"/>
      <c r="BI279" s="14"/>
    </row>
    <row r="280" spans="1:6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67"/>
      <c r="AK280" s="14"/>
      <c r="AL280" s="14"/>
      <c r="AM280" s="14"/>
      <c r="AN280" s="14" t="e">
        <f>IF('ETF Data'!$H$2,IF(ISNUMBER(AK280),AK280,NA()),NA())</f>
        <v>#N/A</v>
      </c>
      <c r="AO280" s="14"/>
      <c r="AP280" s="14"/>
      <c r="AQ280" s="14"/>
      <c r="AR280" s="14"/>
      <c r="AS280" s="14"/>
      <c r="AT280" s="14"/>
      <c r="AU280" s="14"/>
      <c r="AV280" s="14"/>
      <c r="AW280" s="14"/>
      <c r="AX280" s="14"/>
      <c r="AY280" s="14"/>
      <c r="AZ280" s="14"/>
      <c r="BA280" s="14"/>
      <c r="BB280" s="14"/>
      <c r="BC280" s="14"/>
      <c r="BD280" s="14"/>
      <c r="BE280" s="14"/>
      <c r="BF280" s="14"/>
      <c r="BG280" s="14"/>
      <c r="BH280" s="14"/>
      <c r="BI280" s="14"/>
    </row>
    <row r="281" spans="1:6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67"/>
      <c r="AK281" s="14"/>
      <c r="AL281" s="14"/>
      <c r="AM281" s="14"/>
      <c r="AN281" s="14" t="e">
        <f>IF('ETF Data'!$H$2,IF(ISNUMBER(AK281),AK281,NA()),NA())</f>
        <v>#N/A</v>
      </c>
      <c r="AO281" s="14"/>
      <c r="AP281" s="14"/>
      <c r="AQ281" s="14"/>
      <c r="AR281" s="14"/>
      <c r="AS281" s="14"/>
      <c r="AT281" s="14"/>
      <c r="AU281" s="14"/>
      <c r="AV281" s="14"/>
      <c r="AW281" s="14"/>
      <c r="AX281" s="14"/>
      <c r="AY281" s="14"/>
      <c r="AZ281" s="14"/>
      <c r="BA281" s="14"/>
      <c r="BB281" s="14"/>
      <c r="BC281" s="14"/>
      <c r="BD281" s="14"/>
      <c r="BE281" s="14"/>
      <c r="BF281" s="14"/>
      <c r="BG281" s="14"/>
      <c r="BH281" s="14"/>
      <c r="BI281" s="14"/>
    </row>
    <row r="282" spans="1:6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67"/>
      <c r="AK282" s="14"/>
      <c r="AL282" s="14"/>
      <c r="AM282" s="14"/>
      <c r="AN282" s="14" t="e">
        <f>IF('ETF Data'!$H$2,IF(ISNUMBER(AK282),AK282,NA()),NA())</f>
        <v>#N/A</v>
      </c>
      <c r="AO282" s="14"/>
      <c r="AP282" s="14"/>
      <c r="AQ282" s="14"/>
      <c r="AR282" s="14"/>
      <c r="AS282" s="14"/>
      <c r="AT282" s="14"/>
      <c r="AU282" s="14"/>
      <c r="AV282" s="14"/>
      <c r="AW282" s="14"/>
      <c r="AX282" s="14"/>
      <c r="AY282" s="14"/>
      <c r="AZ282" s="14"/>
      <c r="BA282" s="14"/>
      <c r="BB282" s="14"/>
      <c r="BC282" s="14"/>
      <c r="BD282" s="14"/>
      <c r="BE282" s="14"/>
      <c r="BF282" s="14"/>
      <c r="BG282" s="14"/>
      <c r="BH282" s="14"/>
      <c r="BI282" s="14"/>
    </row>
    <row r="283" spans="1:6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67"/>
      <c r="AK283" s="14"/>
      <c r="AL283" s="14"/>
      <c r="AM283" s="14"/>
      <c r="AN283" s="14" t="e">
        <f>IF('ETF Data'!$H$2,IF(ISNUMBER(AK283),AK283,NA()),NA())</f>
        <v>#N/A</v>
      </c>
      <c r="AO283" s="14"/>
      <c r="AP283" s="14"/>
      <c r="AQ283" s="14"/>
      <c r="AR283" s="14"/>
      <c r="AS283" s="14"/>
      <c r="AT283" s="14"/>
      <c r="AU283" s="14"/>
      <c r="AV283" s="14"/>
      <c r="AW283" s="14"/>
      <c r="AX283" s="14"/>
      <c r="AY283" s="14"/>
      <c r="AZ283" s="14"/>
      <c r="BA283" s="14"/>
      <c r="BB283" s="14"/>
      <c r="BC283" s="14"/>
      <c r="BD283" s="14"/>
      <c r="BE283" s="14"/>
      <c r="BF283" s="14"/>
      <c r="BG283" s="14"/>
      <c r="BH283" s="14"/>
      <c r="BI283" s="14"/>
    </row>
    <row r="284" spans="1:6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67"/>
      <c r="AK284" s="14"/>
      <c r="AL284" s="14"/>
      <c r="AM284" s="14"/>
      <c r="AN284" s="14" t="e">
        <f>IF('ETF Data'!$H$2,IF(ISNUMBER(AK284),AK284,NA()),NA())</f>
        <v>#N/A</v>
      </c>
      <c r="AO284" s="14"/>
      <c r="AP284" s="14"/>
      <c r="AQ284" s="14"/>
      <c r="AR284" s="14"/>
      <c r="AS284" s="14"/>
      <c r="AT284" s="14"/>
      <c r="AU284" s="14"/>
      <c r="AV284" s="14"/>
      <c r="AW284" s="14"/>
      <c r="AX284" s="14"/>
      <c r="AY284" s="14"/>
      <c r="AZ284" s="14"/>
      <c r="BA284" s="14"/>
      <c r="BB284" s="14"/>
      <c r="BC284" s="14"/>
      <c r="BD284" s="14"/>
      <c r="BE284" s="14"/>
      <c r="BF284" s="14"/>
      <c r="BG284" s="14"/>
      <c r="BH284" s="14"/>
      <c r="BI284" s="14"/>
    </row>
    <row r="285" spans="1:6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67"/>
      <c r="AK285" s="14"/>
      <c r="AL285" s="14"/>
      <c r="AM285" s="14"/>
      <c r="AN285" s="14" t="e">
        <f>IF('ETF Data'!$H$2,IF(ISNUMBER(AK285),AK285,NA()),NA())</f>
        <v>#N/A</v>
      </c>
      <c r="AO285" s="14"/>
      <c r="AP285" s="14"/>
      <c r="AQ285" s="14"/>
      <c r="AR285" s="14"/>
      <c r="AS285" s="14"/>
      <c r="AT285" s="14"/>
      <c r="AU285" s="14"/>
      <c r="AV285" s="14"/>
      <c r="AW285" s="14"/>
      <c r="AX285" s="14"/>
      <c r="AY285" s="14"/>
      <c r="AZ285" s="14"/>
      <c r="BA285" s="14"/>
      <c r="BB285" s="14"/>
      <c r="BC285" s="14"/>
      <c r="BD285" s="14"/>
      <c r="BE285" s="14"/>
      <c r="BF285" s="14"/>
      <c r="BG285" s="14"/>
      <c r="BH285" s="14"/>
      <c r="BI285" s="14"/>
    </row>
    <row r="286" spans="1:6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67"/>
      <c r="AK286" s="14"/>
      <c r="AL286" s="14"/>
      <c r="AM286" s="14"/>
      <c r="AN286" s="14" t="e">
        <f>IF('ETF Data'!$H$2,IF(ISNUMBER(AK286),AK286,NA()),NA())</f>
        <v>#N/A</v>
      </c>
      <c r="AO286" s="14"/>
      <c r="AP286" s="14"/>
      <c r="AQ286" s="14"/>
      <c r="AR286" s="14"/>
      <c r="AS286" s="14"/>
      <c r="AT286" s="14"/>
      <c r="AU286" s="14"/>
      <c r="AV286" s="14"/>
      <c r="AW286" s="14"/>
      <c r="AX286" s="14"/>
      <c r="AY286" s="14"/>
      <c r="AZ286" s="14"/>
      <c r="BA286" s="14"/>
      <c r="BB286" s="14"/>
      <c r="BC286" s="14"/>
      <c r="BD286" s="14"/>
      <c r="BE286" s="14"/>
      <c r="BF286" s="14"/>
      <c r="BG286" s="14"/>
      <c r="BH286" s="14"/>
      <c r="BI286" s="14"/>
    </row>
    <row r="287" spans="1:6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67"/>
      <c r="AK287" s="14"/>
      <c r="AL287" s="14"/>
      <c r="AM287" s="14"/>
      <c r="AN287" s="14" t="e">
        <f>IF('ETF Data'!$H$2,IF(ISNUMBER(AK287),AK287,NA()),NA())</f>
        <v>#N/A</v>
      </c>
      <c r="AO287" s="14"/>
      <c r="AP287" s="14"/>
      <c r="AQ287" s="14"/>
      <c r="AR287" s="14"/>
      <c r="AS287" s="14"/>
      <c r="AT287" s="14"/>
      <c r="AU287" s="14"/>
      <c r="AV287" s="14"/>
      <c r="AW287" s="14"/>
      <c r="AX287" s="14"/>
      <c r="AY287" s="14"/>
      <c r="AZ287" s="14"/>
      <c r="BA287" s="14"/>
      <c r="BB287" s="14"/>
      <c r="BC287" s="14"/>
      <c r="BD287" s="14"/>
      <c r="BE287" s="14"/>
      <c r="BF287" s="14"/>
      <c r="BG287" s="14"/>
      <c r="BH287" s="14"/>
      <c r="BI287" s="14"/>
    </row>
    <row r="288" spans="1:6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67"/>
      <c r="AK288" s="14"/>
      <c r="AL288" s="14"/>
      <c r="AM288" s="14"/>
      <c r="AN288" s="14" t="e">
        <f>IF('ETF Data'!$H$2,IF(ISNUMBER(AK288),AK288,NA()),NA())</f>
        <v>#N/A</v>
      </c>
      <c r="AO288" s="14"/>
      <c r="AP288" s="14"/>
      <c r="AQ288" s="14"/>
      <c r="AR288" s="14"/>
      <c r="AS288" s="14"/>
      <c r="AT288" s="14"/>
      <c r="AU288" s="14"/>
      <c r="AV288" s="14"/>
      <c r="AW288" s="14"/>
      <c r="AX288" s="14"/>
      <c r="AY288" s="14"/>
      <c r="AZ288" s="14"/>
      <c r="BA288" s="14"/>
      <c r="BB288" s="14"/>
      <c r="BC288" s="14"/>
      <c r="BD288" s="14"/>
      <c r="BE288" s="14"/>
      <c r="BF288" s="14"/>
      <c r="BG288" s="14"/>
      <c r="BH288" s="14"/>
      <c r="BI288" s="14"/>
    </row>
    <row r="289" spans="1:6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67"/>
      <c r="AK289" s="14"/>
      <c r="AL289" s="14"/>
      <c r="AM289" s="14"/>
      <c r="AN289" s="14" t="e">
        <f>IF('ETF Data'!$H$2,IF(ISNUMBER(AK289),AK289,NA()),NA())</f>
        <v>#N/A</v>
      </c>
      <c r="AO289" s="14"/>
      <c r="AP289" s="14"/>
      <c r="AQ289" s="14"/>
      <c r="AR289" s="14"/>
      <c r="AS289" s="14"/>
      <c r="AT289" s="14"/>
      <c r="AU289" s="14"/>
      <c r="AV289" s="14"/>
      <c r="AW289" s="14"/>
      <c r="AX289" s="14"/>
      <c r="AY289" s="14"/>
      <c r="AZ289" s="14"/>
      <c r="BA289" s="14"/>
      <c r="BB289" s="14"/>
      <c r="BC289" s="14"/>
      <c r="BD289" s="14"/>
      <c r="BE289" s="14"/>
      <c r="BF289" s="14"/>
      <c r="BG289" s="14"/>
      <c r="BH289" s="14"/>
      <c r="BI289" s="14"/>
    </row>
    <row r="290" spans="1:6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67"/>
      <c r="AK290" s="14"/>
      <c r="AL290" s="14"/>
      <c r="AM290" s="14"/>
      <c r="AN290" s="14" t="e">
        <f>IF('ETF Data'!$H$2,IF(ISNUMBER(AK290),AK290,NA()),NA())</f>
        <v>#N/A</v>
      </c>
      <c r="AO290" s="14"/>
      <c r="AP290" s="14"/>
      <c r="AQ290" s="14"/>
      <c r="AR290" s="14"/>
      <c r="AS290" s="14"/>
      <c r="AT290" s="14"/>
      <c r="AU290" s="14"/>
      <c r="AV290" s="14"/>
      <c r="AW290" s="14"/>
      <c r="AX290" s="14"/>
      <c r="AY290" s="14"/>
      <c r="AZ290" s="14"/>
      <c r="BA290" s="14"/>
      <c r="BB290" s="14"/>
      <c r="BC290" s="14"/>
      <c r="BD290" s="14"/>
      <c r="BE290" s="14"/>
      <c r="BF290" s="14"/>
      <c r="BG290" s="14"/>
      <c r="BH290" s="14"/>
      <c r="BI290" s="14"/>
    </row>
    <row r="291" spans="1:6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67"/>
      <c r="AK291" s="14"/>
      <c r="AL291" s="14"/>
      <c r="AM291" s="14"/>
      <c r="AN291" s="14" t="e">
        <f>IF('ETF Data'!$H$2,IF(ISNUMBER(AK291),AK291,NA()),NA())</f>
        <v>#N/A</v>
      </c>
      <c r="AO291" s="14"/>
      <c r="AP291" s="14"/>
      <c r="AQ291" s="14"/>
      <c r="AR291" s="14"/>
      <c r="AS291" s="14"/>
      <c r="AT291" s="14"/>
      <c r="AU291" s="14"/>
      <c r="AV291" s="14"/>
      <c r="AW291" s="14"/>
      <c r="AX291" s="14"/>
      <c r="AY291" s="14"/>
      <c r="AZ291" s="14"/>
      <c r="BA291" s="14"/>
      <c r="BB291" s="14"/>
      <c r="BC291" s="14"/>
      <c r="BD291" s="14"/>
      <c r="BE291" s="14"/>
      <c r="BF291" s="14"/>
      <c r="BG291" s="14"/>
      <c r="BH291" s="14"/>
      <c r="BI291" s="14"/>
    </row>
    <row r="292" spans="1:6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67"/>
      <c r="AK292" s="14"/>
      <c r="AL292" s="14"/>
      <c r="AM292" s="14"/>
      <c r="AN292" s="14" t="e">
        <f>IF('ETF Data'!$H$2,IF(ISNUMBER(AK292),AK292,NA()),NA())</f>
        <v>#N/A</v>
      </c>
      <c r="AO292" s="14"/>
      <c r="AP292" s="14"/>
      <c r="AQ292" s="14"/>
      <c r="AR292" s="14"/>
      <c r="AS292" s="14"/>
      <c r="AT292" s="14"/>
      <c r="AU292" s="14"/>
      <c r="AV292" s="14"/>
      <c r="AW292" s="14"/>
      <c r="AX292" s="14"/>
      <c r="AY292" s="14"/>
      <c r="AZ292" s="14"/>
      <c r="BA292" s="14"/>
      <c r="BB292" s="14"/>
      <c r="BC292" s="14"/>
      <c r="BD292" s="14"/>
      <c r="BE292" s="14"/>
      <c r="BF292" s="14"/>
      <c r="BG292" s="14"/>
      <c r="BH292" s="14"/>
      <c r="BI292" s="14"/>
    </row>
    <row r="293" spans="1:6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67"/>
      <c r="AK293" s="14"/>
      <c r="AL293" s="14"/>
      <c r="AM293" s="14"/>
      <c r="AN293" s="14" t="e">
        <f>IF('ETF Data'!$H$2,IF(ISNUMBER(AK293),AK293,NA()),NA())</f>
        <v>#N/A</v>
      </c>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1:6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67"/>
      <c r="AK294" s="14"/>
      <c r="AL294" s="14"/>
      <c r="AM294" s="14"/>
      <c r="AN294" s="14" t="e">
        <f>IF('ETF Data'!$H$2,IF(ISNUMBER(AK294),AK294,NA()),NA())</f>
        <v>#N/A</v>
      </c>
      <c r="AO294" s="14"/>
      <c r="AP294" s="14"/>
      <c r="AQ294" s="14"/>
      <c r="AR294" s="14"/>
      <c r="AS294" s="14"/>
      <c r="AT294" s="14"/>
      <c r="AU294" s="14"/>
      <c r="AV294" s="14"/>
      <c r="AW294" s="14"/>
      <c r="AX294" s="14"/>
      <c r="AY294" s="14"/>
      <c r="AZ294" s="14"/>
      <c r="BA294" s="14"/>
      <c r="BB294" s="14"/>
      <c r="BC294" s="14"/>
      <c r="BD294" s="14"/>
      <c r="BE294" s="14"/>
      <c r="BF294" s="14"/>
      <c r="BG294" s="14"/>
      <c r="BH294" s="14"/>
      <c r="BI294" s="14"/>
    </row>
    <row r="295" spans="1:6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67"/>
      <c r="AK295" s="14"/>
      <c r="AL295" s="14"/>
      <c r="AM295" s="14"/>
      <c r="AN295" s="14" t="e">
        <f>IF('ETF Data'!$H$2,IF(ISNUMBER(AK295),AK295,NA()),NA())</f>
        <v>#N/A</v>
      </c>
      <c r="AO295" s="14"/>
      <c r="AP295" s="14"/>
      <c r="AQ295" s="14"/>
      <c r="AR295" s="14"/>
      <c r="AS295" s="14"/>
      <c r="AT295" s="14"/>
      <c r="AU295" s="14"/>
      <c r="AV295" s="14"/>
      <c r="AW295" s="14"/>
      <c r="AX295" s="14"/>
      <c r="AY295" s="14"/>
      <c r="AZ295" s="14"/>
      <c r="BA295" s="14"/>
      <c r="BB295" s="14"/>
      <c r="BC295" s="14"/>
      <c r="BD295" s="14"/>
      <c r="BE295" s="14"/>
      <c r="BF295" s="14"/>
      <c r="BG295" s="14"/>
      <c r="BH295" s="14"/>
      <c r="BI295" s="14"/>
    </row>
    <row r="296" spans="1:6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67"/>
      <c r="AK296" s="14"/>
      <c r="AL296" s="14"/>
      <c r="AM296" s="14"/>
      <c r="AN296" s="14" t="e">
        <f>IF('ETF Data'!$H$2,IF(ISNUMBER(AK296),AK296,NA()),NA())</f>
        <v>#N/A</v>
      </c>
      <c r="AO296" s="14"/>
      <c r="AP296" s="14"/>
      <c r="AQ296" s="14"/>
      <c r="AR296" s="14"/>
      <c r="AS296" s="14"/>
      <c r="AT296" s="14"/>
      <c r="AU296" s="14"/>
      <c r="AV296" s="14"/>
      <c r="AW296" s="14"/>
      <c r="AX296" s="14"/>
      <c r="AY296" s="14"/>
      <c r="AZ296" s="14"/>
      <c r="BA296" s="14"/>
      <c r="BB296" s="14"/>
      <c r="BC296" s="14"/>
      <c r="BD296" s="14"/>
      <c r="BE296" s="14"/>
      <c r="BF296" s="14"/>
      <c r="BG296" s="14"/>
      <c r="BH296" s="14"/>
      <c r="BI296" s="14"/>
    </row>
    <row r="297" spans="1:6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67"/>
      <c r="AK297" s="14"/>
      <c r="AL297" s="14"/>
      <c r="AM297" s="14"/>
      <c r="AN297" s="14" t="e">
        <f>IF('ETF Data'!$H$2,IF(ISNUMBER(AK297),AK297,NA()),NA())</f>
        <v>#N/A</v>
      </c>
      <c r="AO297" s="14"/>
      <c r="AP297" s="14"/>
      <c r="AQ297" s="14"/>
      <c r="AR297" s="14"/>
      <c r="AS297" s="14"/>
      <c r="AT297" s="14"/>
      <c r="AU297" s="14"/>
      <c r="AV297" s="14"/>
      <c r="AW297" s="14"/>
      <c r="AX297" s="14"/>
      <c r="AY297" s="14"/>
      <c r="AZ297" s="14"/>
      <c r="BA297" s="14"/>
      <c r="BB297" s="14"/>
      <c r="BC297" s="14"/>
      <c r="BD297" s="14"/>
      <c r="BE297" s="14"/>
      <c r="BF297" s="14"/>
      <c r="BG297" s="14"/>
      <c r="BH297" s="14"/>
      <c r="BI297" s="14"/>
    </row>
    <row r="298" spans="1:6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67"/>
      <c r="AK298" s="14"/>
      <c r="AL298" s="14"/>
      <c r="AM298" s="14"/>
      <c r="AN298" s="14" t="e">
        <f>IF('ETF Data'!$H$2,IF(ISNUMBER(AK298),AK298,NA()),NA())</f>
        <v>#N/A</v>
      </c>
      <c r="AO298" s="14"/>
      <c r="AP298" s="14"/>
      <c r="AQ298" s="14"/>
      <c r="AR298" s="14"/>
      <c r="AS298" s="14"/>
      <c r="AT298" s="14"/>
      <c r="AU298" s="14"/>
      <c r="AV298" s="14"/>
      <c r="AW298" s="14"/>
      <c r="AX298" s="14"/>
      <c r="AY298" s="14"/>
      <c r="AZ298" s="14"/>
      <c r="BA298" s="14"/>
      <c r="BB298" s="14"/>
      <c r="BC298" s="14"/>
      <c r="BD298" s="14"/>
      <c r="BE298" s="14"/>
      <c r="BF298" s="14"/>
      <c r="BG298" s="14"/>
      <c r="BH298" s="14"/>
      <c r="BI298" s="14"/>
    </row>
    <row r="299" spans="1:6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67"/>
      <c r="AK299" s="14"/>
      <c r="AL299" s="14"/>
      <c r="AM299" s="14"/>
      <c r="AN299" s="14" t="e">
        <f>IF('ETF Data'!$H$2,IF(ISNUMBER(AK299),AK299,NA()),NA())</f>
        <v>#N/A</v>
      </c>
      <c r="AO299" s="14"/>
      <c r="AP299" s="14"/>
      <c r="AQ299" s="14"/>
      <c r="AR299" s="14"/>
      <c r="AS299" s="14"/>
      <c r="AT299" s="14"/>
      <c r="AU299" s="14"/>
      <c r="AV299" s="14"/>
      <c r="AW299" s="14"/>
      <c r="AX299" s="14"/>
      <c r="AY299" s="14"/>
      <c r="AZ299" s="14"/>
      <c r="BA299" s="14"/>
      <c r="BB299" s="14"/>
      <c r="BC299" s="14"/>
      <c r="BD299" s="14"/>
      <c r="BE299" s="14"/>
      <c r="BF299" s="14"/>
      <c r="BG299" s="14"/>
      <c r="BH299" s="14"/>
      <c r="BI299" s="14"/>
    </row>
    <row r="300" spans="1:6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67"/>
      <c r="AK300" s="14"/>
      <c r="AL300" s="14"/>
      <c r="AM300" s="14"/>
      <c r="AN300" s="14" t="e">
        <f>IF('ETF Data'!$H$2,IF(ISNUMBER(AK300),AK300,NA()),NA())</f>
        <v>#N/A</v>
      </c>
      <c r="AO300" s="14"/>
      <c r="AP300" s="14"/>
      <c r="AQ300" s="14"/>
      <c r="AR300" s="14"/>
      <c r="AS300" s="14"/>
      <c r="AT300" s="14"/>
      <c r="AU300" s="14"/>
      <c r="AV300" s="14"/>
      <c r="AW300" s="14"/>
      <c r="AX300" s="14"/>
      <c r="AY300" s="14"/>
      <c r="AZ300" s="14"/>
      <c r="BA300" s="14"/>
      <c r="BB300" s="14"/>
      <c r="BC300" s="14"/>
      <c r="BD300" s="14"/>
      <c r="BE300" s="14"/>
      <c r="BF300" s="14"/>
      <c r="BG300" s="14"/>
      <c r="BH300" s="14"/>
      <c r="BI300" s="14"/>
    </row>
    <row r="301" spans="1:6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67"/>
      <c r="AK301" s="14"/>
      <c r="AL301" s="14"/>
      <c r="AM301" s="14"/>
      <c r="AN301" s="14" t="e">
        <f>IF('ETF Data'!$H$2,IF(ISNUMBER(AK301),AK301,NA()),NA())</f>
        <v>#N/A</v>
      </c>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1:6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67"/>
      <c r="AK302" s="14"/>
      <c r="AL302" s="14"/>
      <c r="AM302" s="14"/>
      <c r="AN302" s="14" t="e">
        <f>IF('ETF Data'!$H$2,IF(ISNUMBER(AK302),AK302,NA()),NA())</f>
        <v>#N/A</v>
      </c>
      <c r="AO302" s="14"/>
      <c r="AP302" s="14"/>
      <c r="AQ302" s="14"/>
      <c r="AR302" s="14"/>
      <c r="AS302" s="14"/>
      <c r="AT302" s="14"/>
      <c r="AU302" s="14"/>
      <c r="AV302" s="14"/>
      <c r="AW302" s="14"/>
      <c r="AX302" s="14"/>
      <c r="AY302" s="14"/>
      <c r="AZ302" s="14"/>
      <c r="BA302" s="14"/>
      <c r="BB302" s="14"/>
      <c r="BC302" s="14"/>
      <c r="BD302" s="14"/>
      <c r="BE302" s="14"/>
      <c r="BF302" s="14"/>
      <c r="BG302" s="14"/>
      <c r="BH302" s="14"/>
      <c r="BI302" s="14"/>
    </row>
    <row r="303" spans="1:6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67"/>
      <c r="AK303" s="14"/>
      <c r="AL303" s="14"/>
      <c r="AM303" s="14"/>
      <c r="AN303" s="14" t="e">
        <f>IF('ETF Data'!$H$2,IF(ISNUMBER(AK303),AK303,NA()),NA())</f>
        <v>#N/A</v>
      </c>
      <c r="AO303" s="14"/>
      <c r="AP303" s="14"/>
      <c r="AQ303" s="14"/>
      <c r="AR303" s="14"/>
      <c r="AS303" s="14"/>
      <c r="AT303" s="14"/>
      <c r="AU303" s="14"/>
      <c r="AV303" s="14"/>
      <c r="AW303" s="14"/>
      <c r="AX303" s="14"/>
      <c r="AY303" s="14"/>
      <c r="AZ303" s="14"/>
      <c r="BA303" s="14"/>
      <c r="BB303" s="14"/>
      <c r="BC303" s="14"/>
      <c r="BD303" s="14"/>
      <c r="BE303" s="14"/>
      <c r="BF303" s="14"/>
      <c r="BG303" s="14"/>
      <c r="BH303" s="14"/>
      <c r="BI303" s="14"/>
    </row>
    <row r="304" spans="1:6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67"/>
      <c r="AK304" s="14"/>
      <c r="AL304" s="14"/>
      <c r="AM304" s="14"/>
      <c r="AN304" s="14" t="e">
        <f>IF('ETF Data'!$H$2,IF(ISNUMBER(AK304),AK304,NA()),NA())</f>
        <v>#N/A</v>
      </c>
      <c r="AO304" s="14"/>
      <c r="AP304" s="14"/>
      <c r="AQ304" s="14"/>
      <c r="AR304" s="14"/>
      <c r="AS304" s="14"/>
      <c r="AT304" s="14"/>
      <c r="AU304" s="14"/>
      <c r="AV304" s="14"/>
      <c r="AW304" s="14"/>
      <c r="AX304" s="14"/>
      <c r="AY304" s="14"/>
      <c r="AZ304" s="14"/>
      <c r="BA304" s="14"/>
      <c r="BB304" s="14"/>
      <c r="BC304" s="14"/>
      <c r="BD304" s="14"/>
      <c r="BE304" s="14"/>
      <c r="BF304" s="14"/>
      <c r="BG304" s="14"/>
      <c r="BH304" s="14"/>
      <c r="BI304" s="14"/>
    </row>
    <row r="305" spans="1:6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67"/>
      <c r="AK305" s="14"/>
      <c r="AL305" s="14"/>
      <c r="AM305" s="14"/>
      <c r="AN305" s="14" t="e">
        <f>IF('ETF Data'!$H$2,IF(ISNUMBER(AK305),AK305,NA()),NA())</f>
        <v>#N/A</v>
      </c>
      <c r="AO305" s="14"/>
      <c r="AP305" s="14"/>
      <c r="AQ305" s="14"/>
      <c r="AR305" s="14"/>
      <c r="AS305" s="14"/>
      <c r="AT305" s="14"/>
      <c r="AU305" s="14"/>
      <c r="AV305" s="14"/>
      <c r="AW305" s="14"/>
      <c r="AX305" s="14"/>
      <c r="AY305" s="14"/>
      <c r="AZ305" s="14"/>
      <c r="BA305" s="14"/>
      <c r="BB305" s="14"/>
      <c r="BC305" s="14"/>
      <c r="BD305" s="14"/>
      <c r="BE305" s="14"/>
      <c r="BF305" s="14"/>
      <c r="BG305" s="14"/>
      <c r="BH305" s="14"/>
      <c r="BI305" s="14"/>
    </row>
    <row r="306" spans="1:6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67"/>
      <c r="AK306" s="14"/>
      <c r="AL306" s="14"/>
      <c r="AM306" s="14"/>
      <c r="AN306" s="14" t="e">
        <f>IF('ETF Data'!$H$2,IF(ISNUMBER(AK306),AK306,NA()),NA())</f>
        <v>#N/A</v>
      </c>
      <c r="AO306" s="14"/>
      <c r="AP306" s="14"/>
      <c r="AQ306" s="14"/>
      <c r="AR306" s="14"/>
      <c r="AS306" s="14"/>
      <c r="AT306" s="14"/>
      <c r="AU306" s="14"/>
      <c r="AV306" s="14"/>
      <c r="AW306" s="14"/>
      <c r="AX306" s="14"/>
      <c r="AY306" s="14"/>
      <c r="AZ306" s="14"/>
      <c r="BA306" s="14"/>
      <c r="BB306" s="14"/>
      <c r="BC306" s="14"/>
      <c r="BD306" s="14"/>
      <c r="BE306" s="14"/>
      <c r="BF306" s="14"/>
      <c r="BG306" s="14"/>
      <c r="BH306" s="14"/>
      <c r="BI306" s="14"/>
    </row>
    <row r="307" spans="1:6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67"/>
      <c r="AK307" s="14"/>
      <c r="AL307" s="14"/>
      <c r="AM307" s="14"/>
      <c r="AN307" s="14" t="e">
        <f>IF('ETF Data'!$H$2,IF(ISNUMBER(AK307),AK307,NA()),NA())</f>
        <v>#N/A</v>
      </c>
      <c r="AO307" s="14"/>
      <c r="AP307" s="14"/>
      <c r="AQ307" s="14"/>
      <c r="AR307" s="14"/>
      <c r="AS307" s="14"/>
      <c r="AT307" s="14"/>
      <c r="AU307" s="14"/>
      <c r="AV307" s="14"/>
      <c r="AW307" s="14"/>
      <c r="AX307" s="14"/>
      <c r="AY307" s="14"/>
      <c r="AZ307" s="14"/>
      <c r="BA307" s="14"/>
      <c r="BB307" s="14"/>
      <c r="BC307" s="14"/>
      <c r="BD307" s="14"/>
      <c r="BE307" s="14"/>
      <c r="BF307" s="14"/>
      <c r="BG307" s="14"/>
      <c r="BH307" s="14"/>
      <c r="BI307" s="14"/>
    </row>
    <row r="308" spans="1:6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67"/>
      <c r="AK308" s="14"/>
      <c r="AL308" s="14"/>
      <c r="AM308" s="14"/>
      <c r="AN308" s="14" t="e">
        <f>IF('ETF Data'!$H$2,IF(ISNUMBER(AK308),AK308,NA()),NA())</f>
        <v>#N/A</v>
      </c>
      <c r="AO308" s="14"/>
      <c r="AP308" s="14"/>
      <c r="AQ308" s="14"/>
      <c r="AR308" s="14"/>
      <c r="AS308" s="14"/>
      <c r="AT308" s="14"/>
      <c r="AU308" s="14"/>
      <c r="AV308" s="14"/>
      <c r="AW308" s="14"/>
      <c r="AX308" s="14"/>
      <c r="AY308" s="14"/>
      <c r="AZ308" s="14"/>
      <c r="BA308" s="14"/>
      <c r="BB308" s="14"/>
      <c r="BC308" s="14"/>
      <c r="BD308" s="14"/>
      <c r="BE308" s="14"/>
      <c r="BF308" s="14"/>
      <c r="BG308" s="14"/>
      <c r="BH308" s="14"/>
      <c r="BI308" s="14"/>
    </row>
    <row r="309" spans="1:6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67"/>
      <c r="AK309" s="14"/>
      <c r="AL309" s="14"/>
      <c r="AM309" s="14"/>
      <c r="AN309" s="14" t="e">
        <f>IF('ETF Data'!$H$2,IF(ISNUMBER(AK309),AK309,NA()),NA())</f>
        <v>#N/A</v>
      </c>
      <c r="AO309" s="14"/>
      <c r="AP309" s="14"/>
      <c r="AQ309" s="14"/>
      <c r="AR309" s="14"/>
      <c r="AS309" s="14"/>
      <c r="AT309" s="14"/>
      <c r="AU309" s="14"/>
      <c r="AV309" s="14"/>
      <c r="AW309" s="14"/>
      <c r="AX309" s="14"/>
      <c r="AY309" s="14"/>
      <c r="AZ309" s="14"/>
      <c r="BA309" s="14"/>
      <c r="BB309" s="14"/>
      <c r="BC309" s="14"/>
      <c r="BD309" s="14"/>
      <c r="BE309" s="14"/>
      <c r="BF309" s="14"/>
      <c r="BG309" s="14"/>
      <c r="BH309" s="14"/>
      <c r="BI309" s="14"/>
    </row>
    <row r="310" spans="1:6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67"/>
      <c r="AK310" s="14"/>
      <c r="AL310" s="14"/>
      <c r="AM310" s="14"/>
      <c r="AN310" s="14" t="e">
        <f>IF('ETF Data'!$H$2,IF(ISNUMBER(AK310),AK310,NA()),NA())</f>
        <v>#N/A</v>
      </c>
      <c r="AO310" s="14"/>
      <c r="AP310" s="14"/>
      <c r="AQ310" s="14"/>
      <c r="AR310" s="14"/>
      <c r="AS310" s="14"/>
      <c r="AT310" s="14"/>
      <c r="AU310" s="14"/>
      <c r="AV310" s="14"/>
      <c r="AW310" s="14"/>
      <c r="AX310" s="14"/>
      <c r="AY310" s="14"/>
      <c r="AZ310" s="14"/>
      <c r="BA310" s="14"/>
      <c r="BB310" s="14"/>
      <c r="BC310" s="14"/>
      <c r="BD310" s="14"/>
      <c r="BE310" s="14"/>
      <c r="BF310" s="14"/>
      <c r="BG310" s="14"/>
      <c r="BH310" s="14"/>
      <c r="BI310" s="14"/>
    </row>
    <row r="311" spans="1:6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67"/>
      <c r="AK311" s="14"/>
      <c r="AL311" s="14"/>
      <c r="AM311" s="14"/>
      <c r="AN311" s="14" t="e">
        <f>IF('ETF Data'!$H$2,IF(ISNUMBER(AK311),AK311,NA()),NA())</f>
        <v>#N/A</v>
      </c>
      <c r="AO311" s="14"/>
      <c r="AP311" s="14"/>
      <c r="AQ311" s="14"/>
      <c r="AR311" s="14"/>
      <c r="AS311" s="14"/>
      <c r="AT311" s="14"/>
      <c r="AU311" s="14"/>
      <c r="AV311" s="14"/>
      <c r="AW311" s="14"/>
      <c r="AX311" s="14"/>
      <c r="AY311" s="14"/>
      <c r="AZ311" s="14"/>
      <c r="BA311" s="14"/>
      <c r="BB311" s="14"/>
      <c r="BC311" s="14"/>
      <c r="BD311" s="14"/>
      <c r="BE311" s="14"/>
      <c r="BF311" s="14"/>
      <c r="BG311" s="14"/>
      <c r="BH311" s="14"/>
      <c r="BI311" s="14"/>
    </row>
    <row r="312" spans="1:6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67"/>
      <c r="AK312" s="14"/>
      <c r="AL312" s="14"/>
      <c r="AM312" s="14"/>
      <c r="AN312" s="14" t="e">
        <f>IF('ETF Data'!$H$2,IF(ISNUMBER(AK312),AK312,NA()),NA())</f>
        <v>#N/A</v>
      </c>
      <c r="AO312" s="14"/>
      <c r="AP312" s="14"/>
      <c r="AQ312" s="14"/>
      <c r="AR312" s="14"/>
      <c r="AS312" s="14"/>
      <c r="AT312" s="14"/>
      <c r="AU312" s="14"/>
      <c r="AV312" s="14"/>
      <c r="AW312" s="14"/>
      <c r="AX312" s="14"/>
      <c r="AY312" s="14"/>
      <c r="AZ312" s="14"/>
      <c r="BA312" s="14"/>
      <c r="BB312" s="14"/>
      <c r="BC312" s="14"/>
      <c r="BD312" s="14"/>
      <c r="BE312" s="14"/>
      <c r="BF312" s="14"/>
      <c r="BG312" s="14"/>
      <c r="BH312" s="14"/>
      <c r="BI312" s="14"/>
    </row>
    <row r="313" spans="1:6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67"/>
      <c r="AK313" s="14"/>
      <c r="AL313" s="14"/>
      <c r="AM313" s="14"/>
      <c r="AN313" s="14" t="e">
        <f>IF('ETF Data'!$H$2,IF(ISNUMBER(AK313),AK313,NA()),NA())</f>
        <v>#N/A</v>
      </c>
      <c r="AO313" s="14"/>
      <c r="AP313" s="14"/>
      <c r="AQ313" s="14"/>
      <c r="AR313" s="14"/>
      <c r="AS313" s="14"/>
      <c r="AT313" s="14"/>
      <c r="AU313" s="14"/>
      <c r="AV313" s="14"/>
      <c r="AW313" s="14"/>
      <c r="AX313" s="14"/>
      <c r="AY313" s="14"/>
      <c r="AZ313" s="14"/>
      <c r="BA313" s="14"/>
      <c r="BB313" s="14"/>
      <c r="BC313" s="14"/>
      <c r="BD313" s="14"/>
      <c r="BE313" s="14"/>
      <c r="BF313" s="14"/>
      <c r="BG313" s="14"/>
      <c r="BH313" s="14"/>
      <c r="BI313" s="14"/>
    </row>
    <row r="314" spans="1:6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67"/>
      <c r="AK314" s="14"/>
      <c r="AL314" s="14"/>
      <c r="AM314" s="14"/>
      <c r="AN314" s="14" t="e">
        <f>IF('ETF Data'!$H$2,IF(ISNUMBER(AK314),AK314,NA()),NA())</f>
        <v>#N/A</v>
      </c>
      <c r="AO314" s="14"/>
      <c r="AP314" s="14"/>
      <c r="AQ314" s="14"/>
      <c r="AR314" s="14"/>
      <c r="AS314" s="14"/>
      <c r="AT314" s="14"/>
      <c r="AU314" s="14"/>
      <c r="AV314" s="14"/>
      <c r="AW314" s="14"/>
      <c r="AX314" s="14"/>
      <c r="AY314" s="14"/>
      <c r="AZ314" s="14"/>
      <c r="BA314" s="14"/>
      <c r="BB314" s="14"/>
      <c r="BC314" s="14"/>
      <c r="BD314" s="14"/>
      <c r="BE314" s="14"/>
      <c r="BF314" s="14"/>
      <c r="BG314" s="14"/>
      <c r="BH314" s="14"/>
      <c r="BI314" s="14"/>
    </row>
    <row r="315" spans="1:6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67"/>
      <c r="AK315" s="14"/>
      <c r="AL315" s="14"/>
      <c r="AM315" s="14"/>
      <c r="AN315" s="14" t="e">
        <f>IF('ETF Data'!$H$2,IF(ISNUMBER(AK315),AK315,NA()),NA())</f>
        <v>#N/A</v>
      </c>
      <c r="AO315" s="14"/>
      <c r="AP315" s="14"/>
      <c r="AQ315" s="14"/>
      <c r="AR315" s="14"/>
      <c r="AS315" s="14"/>
      <c r="AT315" s="14"/>
      <c r="AU315" s="14"/>
      <c r="AV315" s="14"/>
      <c r="AW315" s="14"/>
      <c r="AX315" s="14"/>
      <c r="AY315" s="14"/>
      <c r="AZ315" s="14"/>
      <c r="BA315" s="14"/>
      <c r="BB315" s="14"/>
      <c r="BC315" s="14"/>
      <c r="BD315" s="14"/>
      <c r="BE315" s="14"/>
      <c r="BF315" s="14"/>
      <c r="BG315" s="14"/>
      <c r="BH315" s="14"/>
      <c r="BI315" s="14"/>
    </row>
    <row r="316" spans="1:6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67"/>
      <c r="AK316" s="14"/>
      <c r="AL316" s="14"/>
      <c r="AM316" s="14"/>
      <c r="AN316" s="14" t="e">
        <f>IF('ETF Data'!$H$2,IF(ISNUMBER(AK316),AK316,NA()),NA())</f>
        <v>#N/A</v>
      </c>
      <c r="AO316" s="14"/>
      <c r="AP316" s="14"/>
      <c r="AQ316" s="14"/>
      <c r="AR316" s="14"/>
      <c r="AS316" s="14"/>
      <c r="AT316" s="14"/>
      <c r="AU316" s="14"/>
      <c r="AV316" s="14"/>
      <c r="AW316" s="14"/>
      <c r="AX316" s="14"/>
      <c r="AY316" s="14"/>
      <c r="AZ316" s="14"/>
      <c r="BA316" s="14"/>
      <c r="BB316" s="14"/>
      <c r="BC316" s="14"/>
      <c r="BD316" s="14"/>
      <c r="BE316" s="14"/>
      <c r="BF316" s="14"/>
      <c r="BG316" s="14"/>
      <c r="BH316" s="14"/>
      <c r="BI316" s="14"/>
    </row>
    <row r="317" spans="1:6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67"/>
      <c r="AK317" s="14"/>
      <c r="AL317" s="14"/>
      <c r="AM317" s="14"/>
      <c r="AN317" s="14" t="e">
        <f>IF('ETF Data'!$H$2,IF(ISNUMBER(AK317),AK317,NA()),NA())</f>
        <v>#N/A</v>
      </c>
      <c r="AO317" s="14"/>
      <c r="AP317" s="14"/>
      <c r="AQ317" s="14"/>
      <c r="AR317" s="14"/>
      <c r="AS317" s="14"/>
      <c r="AT317" s="14"/>
      <c r="AU317" s="14"/>
      <c r="AV317" s="14"/>
      <c r="AW317" s="14"/>
      <c r="AX317" s="14"/>
      <c r="AY317" s="14"/>
      <c r="AZ317" s="14"/>
      <c r="BA317" s="14"/>
      <c r="BB317" s="14"/>
      <c r="BC317" s="14"/>
      <c r="BD317" s="14"/>
      <c r="BE317" s="14"/>
      <c r="BF317" s="14"/>
      <c r="BG317" s="14"/>
      <c r="BH317" s="14"/>
      <c r="BI317" s="14"/>
    </row>
    <row r="318" spans="1:6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67"/>
      <c r="AK318" s="14"/>
      <c r="AL318" s="14"/>
      <c r="AM318" s="14"/>
      <c r="AN318" s="14" t="e">
        <f>IF('ETF Data'!$H$2,IF(ISNUMBER(AK318),AK318,NA()),NA())</f>
        <v>#N/A</v>
      </c>
      <c r="AO318" s="14"/>
      <c r="AP318" s="14"/>
      <c r="AQ318" s="14"/>
      <c r="AR318" s="14"/>
      <c r="AS318" s="14"/>
      <c r="AT318" s="14"/>
      <c r="AU318" s="14"/>
      <c r="AV318" s="14"/>
      <c r="AW318" s="14"/>
      <c r="AX318" s="14"/>
      <c r="AY318" s="14"/>
      <c r="AZ318" s="14"/>
      <c r="BA318" s="14"/>
      <c r="BB318" s="14"/>
      <c r="BC318" s="14"/>
      <c r="BD318" s="14"/>
      <c r="BE318" s="14"/>
      <c r="BF318" s="14"/>
      <c r="BG318" s="14"/>
      <c r="BH318" s="14"/>
      <c r="BI318" s="14"/>
    </row>
    <row r="319" spans="1:6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67"/>
      <c r="AK319" s="14"/>
      <c r="AL319" s="14"/>
      <c r="AM319" s="14"/>
      <c r="AN319" s="14" t="e">
        <f>IF('ETF Data'!$H$2,IF(ISNUMBER(AK319),AK319,NA()),NA())</f>
        <v>#N/A</v>
      </c>
      <c r="AO319" s="14"/>
      <c r="AP319" s="14"/>
      <c r="AQ319" s="14"/>
      <c r="AR319" s="14"/>
      <c r="AS319" s="14"/>
      <c r="AT319" s="14"/>
      <c r="AU319" s="14"/>
      <c r="AV319" s="14"/>
      <c r="AW319" s="14"/>
      <c r="AX319" s="14"/>
      <c r="AY319" s="14"/>
      <c r="AZ319" s="14"/>
      <c r="BA319" s="14"/>
      <c r="BB319" s="14"/>
      <c r="BC319" s="14"/>
      <c r="BD319" s="14"/>
      <c r="BE319" s="14"/>
      <c r="BF319" s="14"/>
      <c r="BG319" s="14"/>
      <c r="BH319" s="14"/>
      <c r="BI319" s="14"/>
    </row>
    <row r="320" spans="1:6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67"/>
      <c r="AK320" s="14"/>
      <c r="AL320" s="14"/>
      <c r="AM320" s="14"/>
      <c r="AN320" s="14" t="e">
        <f>IF('ETF Data'!$H$2,IF(ISNUMBER(AK320),AK320,NA()),NA())</f>
        <v>#N/A</v>
      </c>
      <c r="AO320" s="14"/>
      <c r="AP320" s="14"/>
      <c r="AQ320" s="14"/>
      <c r="AR320" s="14"/>
      <c r="AS320" s="14"/>
      <c r="AT320" s="14"/>
      <c r="AU320" s="14"/>
      <c r="AV320" s="14"/>
      <c r="AW320" s="14"/>
      <c r="AX320" s="14"/>
      <c r="AY320" s="14"/>
      <c r="AZ320" s="14"/>
      <c r="BA320" s="14"/>
      <c r="BB320" s="14"/>
      <c r="BC320" s="14"/>
      <c r="BD320" s="14"/>
      <c r="BE320" s="14"/>
      <c r="BF320" s="14"/>
      <c r="BG320" s="14"/>
      <c r="BH320" s="14"/>
      <c r="BI320" s="14"/>
    </row>
    <row r="321" spans="1:6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67"/>
      <c r="AK321" s="14"/>
      <c r="AL321" s="14"/>
      <c r="AM321" s="14"/>
      <c r="AN321" s="14" t="e">
        <f>IF('ETF Data'!$H$2,IF(ISNUMBER(AK321),AK321,NA()),NA())</f>
        <v>#N/A</v>
      </c>
      <c r="AO321" s="14"/>
      <c r="AP321" s="14"/>
      <c r="AQ321" s="14"/>
      <c r="AR321" s="14"/>
      <c r="AS321" s="14"/>
      <c r="AT321" s="14"/>
      <c r="AU321" s="14"/>
      <c r="AV321" s="14"/>
      <c r="AW321" s="14"/>
      <c r="AX321" s="14"/>
      <c r="AY321" s="14"/>
      <c r="AZ321" s="14"/>
      <c r="BA321" s="14"/>
      <c r="BB321" s="14"/>
      <c r="BC321" s="14"/>
      <c r="BD321" s="14"/>
      <c r="BE321" s="14"/>
      <c r="BF321" s="14"/>
      <c r="BG321" s="14"/>
      <c r="BH321" s="14"/>
      <c r="BI321" s="14"/>
    </row>
    <row r="322" spans="1:6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67"/>
      <c r="AK322" s="14"/>
      <c r="AL322" s="14"/>
      <c r="AM322" s="14"/>
      <c r="AN322" s="14" t="e">
        <f>IF('ETF Data'!$H$2,IF(ISNUMBER(AK322),AK322,NA()),NA())</f>
        <v>#N/A</v>
      </c>
      <c r="AO322" s="14"/>
      <c r="AP322" s="14"/>
      <c r="AQ322" s="14"/>
      <c r="AR322" s="14"/>
      <c r="AS322" s="14"/>
      <c r="AT322" s="14"/>
      <c r="AU322" s="14"/>
      <c r="AV322" s="14"/>
      <c r="AW322" s="14"/>
      <c r="AX322" s="14"/>
      <c r="AY322" s="14"/>
      <c r="AZ322" s="14"/>
      <c r="BA322" s="14"/>
      <c r="BB322" s="14"/>
      <c r="BC322" s="14"/>
      <c r="BD322" s="14"/>
      <c r="BE322" s="14"/>
      <c r="BF322" s="14"/>
      <c r="BG322" s="14"/>
      <c r="BH322" s="14"/>
      <c r="BI322" s="14"/>
    </row>
    <row r="323" spans="1:6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67"/>
      <c r="AK323" s="14"/>
      <c r="AL323" s="14"/>
      <c r="AM323" s="14"/>
      <c r="AN323" s="14" t="e">
        <f>IF('ETF Data'!$H$2,IF(ISNUMBER(AK323),AK323,NA()),NA())</f>
        <v>#N/A</v>
      </c>
      <c r="AO323" s="14"/>
      <c r="AP323" s="14"/>
      <c r="AQ323" s="14"/>
      <c r="AR323" s="14"/>
      <c r="AS323" s="14"/>
      <c r="AT323" s="14"/>
      <c r="AU323" s="14"/>
      <c r="AV323" s="14"/>
      <c r="AW323" s="14"/>
      <c r="AX323" s="14"/>
      <c r="AY323" s="14"/>
      <c r="AZ323" s="14"/>
      <c r="BA323" s="14"/>
      <c r="BB323" s="14"/>
      <c r="BC323" s="14"/>
      <c r="BD323" s="14"/>
      <c r="BE323" s="14"/>
      <c r="BF323" s="14"/>
      <c r="BG323" s="14"/>
      <c r="BH323" s="14"/>
      <c r="BI323" s="14"/>
    </row>
    <row r="324" spans="1:6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67"/>
      <c r="AK324" s="14"/>
      <c r="AL324" s="14"/>
      <c r="AM324" s="14"/>
      <c r="AN324" s="14" t="e">
        <f>IF('ETF Data'!$H$2,IF(ISNUMBER(AK324),AK324,NA()),NA())</f>
        <v>#N/A</v>
      </c>
      <c r="AO324" s="14"/>
      <c r="AP324" s="14"/>
      <c r="AQ324" s="14"/>
      <c r="AR324" s="14"/>
      <c r="AS324" s="14"/>
      <c r="AT324" s="14"/>
      <c r="AU324" s="14"/>
      <c r="AV324" s="14"/>
      <c r="AW324" s="14"/>
      <c r="AX324" s="14"/>
      <c r="AY324" s="14"/>
      <c r="AZ324" s="14"/>
      <c r="BA324" s="14"/>
      <c r="BB324" s="14"/>
      <c r="BC324" s="14"/>
      <c r="BD324" s="14"/>
      <c r="BE324" s="14"/>
      <c r="BF324" s="14"/>
      <c r="BG324" s="14"/>
      <c r="BH324" s="14"/>
      <c r="BI324" s="14"/>
    </row>
    <row r="325" spans="1:6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67"/>
      <c r="AK325" s="14"/>
      <c r="AL325" s="14"/>
      <c r="AM325" s="14"/>
      <c r="AN325" s="14" t="e">
        <f>IF('ETF Data'!$H$2,IF(ISNUMBER(AK325),AK325,NA()),NA())</f>
        <v>#N/A</v>
      </c>
      <c r="AO325" s="14"/>
      <c r="AP325" s="14"/>
      <c r="AQ325" s="14"/>
      <c r="AR325" s="14"/>
      <c r="AS325" s="14"/>
      <c r="AT325" s="14"/>
      <c r="AU325" s="14"/>
      <c r="AV325" s="14"/>
      <c r="AW325" s="14"/>
      <c r="AX325" s="14"/>
      <c r="AY325" s="14"/>
      <c r="AZ325" s="14"/>
      <c r="BA325" s="14"/>
      <c r="BB325" s="14"/>
      <c r="BC325" s="14"/>
      <c r="BD325" s="14"/>
      <c r="BE325" s="14"/>
      <c r="BF325" s="14"/>
      <c r="BG325" s="14"/>
      <c r="BH325" s="14"/>
      <c r="BI325" s="14"/>
    </row>
    <row r="326" spans="1:6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67"/>
      <c r="AK326" s="14"/>
      <c r="AL326" s="14"/>
      <c r="AM326" s="14"/>
      <c r="AN326" s="14" t="e">
        <f>IF('ETF Data'!$H$2,IF(ISNUMBER(AK326),AK326,NA()),NA())</f>
        <v>#N/A</v>
      </c>
      <c r="AO326" s="14"/>
      <c r="AP326" s="14"/>
      <c r="AQ326" s="14"/>
      <c r="AR326" s="14"/>
      <c r="AS326" s="14"/>
      <c r="AT326" s="14"/>
      <c r="AU326" s="14"/>
      <c r="AV326" s="14"/>
      <c r="AW326" s="14"/>
      <c r="AX326" s="14"/>
      <c r="AY326" s="14"/>
      <c r="AZ326" s="14"/>
      <c r="BA326" s="14"/>
      <c r="BB326" s="14"/>
      <c r="BC326" s="14"/>
      <c r="BD326" s="14"/>
      <c r="BE326" s="14"/>
      <c r="BF326" s="14"/>
      <c r="BG326" s="14"/>
      <c r="BH326" s="14"/>
      <c r="BI326" s="14"/>
    </row>
    <row r="327" spans="1:6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67"/>
      <c r="AK327" s="14"/>
      <c r="AL327" s="14"/>
      <c r="AM327" s="14"/>
      <c r="AN327" s="14" t="e">
        <f>IF('ETF Data'!$H$2,IF(ISNUMBER(AK327),AK327,NA()),NA())</f>
        <v>#N/A</v>
      </c>
      <c r="AO327" s="14"/>
      <c r="AP327" s="14"/>
      <c r="AQ327" s="14"/>
      <c r="AR327" s="14"/>
      <c r="AS327" s="14"/>
      <c r="AT327" s="14"/>
      <c r="AU327" s="14"/>
      <c r="AV327" s="14"/>
      <c r="AW327" s="14"/>
      <c r="AX327" s="14"/>
      <c r="AY327" s="14"/>
      <c r="AZ327" s="14"/>
      <c r="BA327" s="14"/>
      <c r="BB327" s="14"/>
      <c r="BC327" s="14"/>
      <c r="BD327" s="14"/>
      <c r="BE327" s="14"/>
      <c r="BF327" s="14"/>
      <c r="BG327" s="14"/>
      <c r="BH327" s="14"/>
      <c r="BI327" s="14"/>
    </row>
    <row r="328" spans="1:6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67"/>
      <c r="AK328" s="14"/>
      <c r="AL328" s="14"/>
      <c r="AM328" s="14"/>
      <c r="AN328" s="14" t="e">
        <f>IF('ETF Data'!$H$2,IF(ISNUMBER(AK328),AK328,NA()),NA())</f>
        <v>#N/A</v>
      </c>
      <c r="AO328" s="14"/>
      <c r="AP328" s="14"/>
      <c r="AQ328" s="14"/>
      <c r="AR328" s="14"/>
      <c r="AS328" s="14"/>
      <c r="AT328" s="14"/>
      <c r="AU328" s="14"/>
      <c r="AV328" s="14"/>
      <c r="AW328" s="14"/>
      <c r="AX328" s="14"/>
      <c r="AY328" s="14"/>
      <c r="AZ328" s="14"/>
      <c r="BA328" s="14"/>
      <c r="BB328" s="14"/>
      <c r="BC328" s="14"/>
      <c r="BD328" s="14"/>
      <c r="BE328" s="14"/>
      <c r="BF328" s="14"/>
      <c r="BG328" s="14"/>
      <c r="BH328" s="14"/>
      <c r="BI328" s="14"/>
    </row>
    <row r="329" spans="1:6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67"/>
      <c r="AK329" s="14"/>
      <c r="AL329" s="14"/>
      <c r="AM329" s="14"/>
      <c r="AN329" s="14" t="e">
        <f>IF('ETF Data'!$H$2,IF(ISNUMBER(AK329),AK329,NA()),NA())</f>
        <v>#N/A</v>
      </c>
      <c r="AO329" s="14"/>
      <c r="AP329" s="14"/>
      <c r="AQ329" s="14"/>
      <c r="AR329" s="14"/>
      <c r="AS329" s="14"/>
      <c r="AT329" s="14"/>
      <c r="AU329" s="14"/>
      <c r="AV329" s="14"/>
      <c r="AW329" s="14"/>
      <c r="AX329" s="14"/>
      <c r="AY329" s="14"/>
      <c r="AZ329" s="14"/>
      <c r="BA329" s="14"/>
      <c r="BB329" s="14"/>
      <c r="BC329" s="14"/>
      <c r="BD329" s="14"/>
      <c r="BE329" s="14"/>
      <c r="BF329" s="14"/>
      <c r="BG329" s="14"/>
      <c r="BH329" s="14"/>
      <c r="BI329" s="14"/>
    </row>
    <row r="330" spans="1:6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67"/>
      <c r="AK330" s="14"/>
      <c r="AL330" s="14"/>
      <c r="AM330" s="14"/>
      <c r="AN330" s="14" t="e">
        <f>IF('ETF Data'!$H$2,IF(ISNUMBER(AK330),AK330,NA()),NA())</f>
        <v>#N/A</v>
      </c>
      <c r="AO330" s="14"/>
      <c r="AP330" s="14"/>
      <c r="AQ330" s="14"/>
      <c r="AR330" s="14"/>
      <c r="AS330" s="14"/>
      <c r="AT330" s="14"/>
      <c r="AU330" s="14"/>
      <c r="AV330" s="14"/>
      <c r="AW330" s="14"/>
      <c r="AX330" s="14"/>
      <c r="AY330" s="14"/>
      <c r="AZ330" s="14"/>
      <c r="BA330" s="14"/>
      <c r="BB330" s="14"/>
      <c r="BC330" s="14"/>
      <c r="BD330" s="14"/>
      <c r="BE330" s="14"/>
      <c r="BF330" s="14"/>
      <c r="BG330" s="14"/>
      <c r="BH330" s="14"/>
      <c r="BI330" s="14"/>
    </row>
    <row r="331" spans="1:6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67"/>
      <c r="AK331" s="14"/>
      <c r="AL331" s="14"/>
      <c r="AM331" s="14"/>
      <c r="AN331" s="14" t="e">
        <f>IF('ETF Data'!$H$2,IF(ISNUMBER(AK331),AK331,NA()),NA())</f>
        <v>#N/A</v>
      </c>
      <c r="AO331" s="14"/>
      <c r="AP331" s="14"/>
      <c r="AQ331" s="14"/>
      <c r="AR331" s="14"/>
      <c r="AS331" s="14"/>
      <c r="AT331" s="14"/>
      <c r="AU331" s="14"/>
      <c r="AV331" s="14"/>
      <c r="AW331" s="14"/>
      <c r="AX331" s="14"/>
      <c r="AY331" s="14"/>
      <c r="AZ331" s="14"/>
      <c r="BA331" s="14"/>
      <c r="BB331" s="14"/>
      <c r="BC331" s="14"/>
      <c r="BD331" s="14"/>
      <c r="BE331" s="14"/>
      <c r="BF331" s="14"/>
      <c r="BG331" s="14"/>
      <c r="BH331" s="14"/>
      <c r="BI331" s="14"/>
    </row>
    <row r="332" spans="1:6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67"/>
      <c r="AK332" s="14"/>
      <c r="AL332" s="14"/>
      <c r="AM332" s="14"/>
      <c r="AN332" s="14" t="e">
        <f>IF('ETF Data'!$H$2,IF(ISNUMBER(AK332),AK332,NA()),NA())</f>
        <v>#N/A</v>
      </c>
      <c r="AO332" s="14"/>
      <c r="AP332" s="14"/>
      <c r="AQ332" s="14"/>
      <c r="AR332" s="14"/>
      <c r="AS332" s="14"/>
      <c r="AT332" s="14"/>
      <c r="AU332" s="14"/>
      <c r="AV332" s="14"/>
      <c r="AW332" s="14"/>
      <c r="AX332" s="14"/>
      <c r="AY332" s="14"/>
      <c r="AZ332" s="14"/>
      <c r="BA332" s="14"/>
      <c r="BB332" s="14"/>
      <c r="BC332" s="14"/>
      <c r="BD332" s="14"/>
      <c r="BE332" s="14"/>
      <c r="BF332" s="14"/>
      <c r="BG332" s="14"/>
      <c r="BH332" s="14"/>
      <c r="BI332" s="14"/>
    </row>
    <row r="333" spans="1:6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67"/>
      <c r="AK333" s="14"/>
      <c r="AL333" s="14"/>
      <c r="AM333" s="14"/>
      <c r="AN333" s="14" t="e">
        <f>IF('ETF Data'!$H$2,IF(ISNUMBER(AK333),AK333,NA()),NA())</f>
        <v>#N/A</v>
      </c>
      <c r="AO333" s="14"/>
      <c r="AP333" s="14"/>
      <c r="AQ333" s="14"/>
      <c r="AR333" s="14"/>
      <c r="AS333" s="14"/>
      <c r="AT333" s="14"/>
      <c r="AU333" s="14"/>
      <c r="AV333" s="14"/>
      <c r="AW333" s="14"/>
      <c r="AX333" s="14"/>
      <c r="AY333" s="14"/>
      <c r="AZ333" s="14"/>
      <c r="BA333" s="14"/>
      <c r="BB333" s="14"/>
      <c r="BC333" s="14"/>
      <c r="BD333" s="14"/>
      <c r="BE333" s="14"/>
      <c r="BF333" s="14"/>
      <c r="BG333" s="14"/>
      <c r="BH333" s="14"/>
      <c r="BI333" s="14"/>
    </row>
    <row r="334" spans="1:6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67"/>
      <c r="AK334" s="14"/>
      <c r="AL334" s="14"/>
      <c r="AM334" s="14"/>
      <c r="AN334" s="14" t="e">
        <f>IF('ETF Data'!$H$2,IF(ISNUMBER(AK334),AK334,NA()),NA())</f>
        <v>#N/A</v>
      </c>
      <c r="AO334" s="14"/>
      <c r="AP334" s="14"/>
      <c r="AQ334" s="14"/>
      <c r="AR334" s="14"/>
      <c r="AS334" s="14"/>
      <c r="AT334" s="14"/>
      <c r="AU334" s="14"/>
      <c r="AV334" s="14"/>
      <c r="AW334" s="14"/>
      <c r="AX334" s="14"/>
      <c r="AY334" s="14"/>
      <c r="AZ334" s="14"/>
      <c r="BA334" s="14"/>
      <c r="BB334" s="14"/>
      <c r="BC334" s="14"/>
      <c r="BD334" s="14"/>
      <c r="BE334" s="14"/>
      <c r="BF334" s="14"/>
      <c r="BG334" s="14"/>
      <c r="BH334" s="14"/>
      <c r="BI334" s="14"/>
    </row>
    <row r="335" spans="1:6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67"/>
      <c r="AK335" s="14"/>
      <c r="AL335" s="14"/>
      <c r="AM335" s="14"/>
      <c r="AN335" s="14" t="e">
        <f>IF('ETF Data'!$H$2,IF(ISNUMBER(AK335),AK335,NA()),NA())</f>
        <v>#N/A</v>
      </c>
      <c r="AO335" s="14"/>
      <c r="AP335" s="14"/>
      <c r="AQ335" s="14"/>
      <c r="AR335" s="14"/>
      <c r="AS335" s="14"/>
      <c r="AT335" s="14"/>
      <c r="AU335" s="14"/>
      <c r="AV335" s="14"/>
      <c r="AW335" s="14"/>
      <c r="AX335" s="14"/>
      <c r="AY335" s="14"/>
      <c r="AZ335" s="14"/>
      <c r="BA335" s="14"/>
      <c r="BB335" s="14"/>
      <c r="BC335" s="14"/>
      <c r="BD335" s="14"/>
      <c r="BE335" s="14"/>
      <c r="BF335" s="14"/>
      <c r="BG335" s="14"/>
      <c r="BH335" s="14"/>
      <c r="BI335" s="14"/>
    </row>
    <row r="336" spans="1:6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67"/>
      <c r="AK336" s="14"/>
      <c r="AL336" s="14"/>
      <c r="AM336" s="14"/>
      <c r="AN336" s="14" t="e">
        <f>IF('ETF Data'!$H$2,IF(ISNUMBER(AK336),AK336,NA()),NA())</f>
        <v>#N/A</v>
      </c>
      <c r="AO336" s="14"/>
      <c r="AP336" s="14"/>
      <c r="AQ336" s="14"/>
      <c r="AR336" s="14"/>
      <c r="AS336" s="14"/>
      <c r="AT336" s="14"/>
      <c r="AU336" s="14"/>
      <c r="AV336" s="14"/>
      <c r="AW336" s="14"/>
      <c r="AX336" s="14"/>
      <c r="AY336" s="14"/>
      <c r="AZ336" s="14"/>
      <c r="BA336" s="14"/>
      <c r="BB336" s="14"/>
      <c r="BC336" s="14"/>
      <c r="BD336" s="14"/>
      <c r="BE336" s="14"/>
      <c r="BF336" s="14"/>
      <c r="BG336" s="14"/>
      <c r="BH336" s="14"/>
      <c r="BI336" s="14"/>
    </row>
    <row r="337" spans="1:6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67"/>
      <c r="AK337" s="14"/>
      <c r="AL337" s="14"/>
      <c r="AM337" s="14"/>
      <c r="AN337" s="14" t="e">
        <f>IF('ETF Data'!$H$2,IF(ISNUMBER(AK337),AK337,NA()),NA())</f>
        <v>#N/A</v>
      </c>
      <c r="AO337" s="14"/>
      <c r="AP337" s="14"/>
      <c r="AQ337" s="14"/>
      <c r="AR337" s="14"/>
      <c r="AS337" s="14"/>
      <c r="AT337" s="14"/>
      <c r="AU337" s="14"/>
      <c r="AV337" s="14"/>
      <c r="AW337" s="14"/>
      <c r="AX337" s="14"/>
      <c r="AY337" s="14"/>
      <c r="AZ337" s="14"/>
      <c r="BA337" s="14"/>
      <c r="BB337" s="14"/>
      <c r="BC337" s="14"/>
      <c r="BD337" s="14"/>
      <c r="BE337" s="14"/>
      <c r="BF337" s="14"/>
      <c r="BG337" s="14"/>
      <c r="BH337" s="14"/>
      <c r="BI337" s="14"/>
    </row>
    <row r="338" spans="1:6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67"/>
      <c r="AK338" s="14"/>
      <c r="AL338" s="14"/>
      <c r="AM338" s="14"/>
      <c r="AN338" s="14" t="e">
        <f>IF('ETF Data'!$H$2,IF(ISNUMBER(AK338),AK338,NA()),NA())</f>
        <v>#N/A</v>
      </c>
      <c r="AO338" s="14"/>
      <c r="AP338" s="14"/>
      <c r="AQ338" s="14"/>
      <c r="AR338" s="14"/>
      <c r="AS338" s="14"/>
      <c r="AT338" s="14"/>
      <c r="AU338" s="14"/>
      <c r="AV338" s="14"/>
      <c r="AW338" s="14"/>
      <c r="AX338" s="14"/>
      <c r="AY338" s="14"/>
      <c r="AZ338" s="14"/>
      <c r="BA338" s="14"/>
      <c r="BB338" s="14"/>
      <c r="BC338" s="14"/>
      <c r="BD338" s="14"/>
      <c r="BE338" s="14"/>
      <c r="BF338" s="14"/>
      <c r="BG338" s="14"/>
      <c r="BH338" s="14"/>
      <c r="BI338" s="14"/>
    </row>
    <row r="339" spans="1:6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67"/>
      <c r="AK339" s="14"/>
      <c r="AL339" s="14"/>
      <c r="AM339" s="14"/>
      <c r="AN339" s="14" t="e">
        <f>IF('ETF Data'!$H$2,IF(ISNUMBER(AK339),AK339,NA()),NA())</f>
        <v>#N/A</v>
      </c>
      <c r="AO339" s="14"/>
      <c r="AP339" s="14"/>
      <c r="AQ339" s="14"/>
      <c r="AR339" s="14"/>
      <c r="AS339" s="14"/>
      <c r="AT339" s="14"/>
      <c r="AU339" s="14"/>
      <c r="AV339" s="14"/>
      <c r="AW339" s="14"/>
      <c r="AX339" s="14"/>
      <c r="AY339" s="14"/>
      <c r="AZ339" s="14"/>
      <c r="BA339" s="14"/>
      <c r="BB339" s="14"/>
      <c r="BC339" s="14"/>
      <c r="BD339" s="14"/>
      <c r="BE339" s="14"/>
      <c r="BF339" s="14"/>
      <c r="BG339" s="14"/>
      <c r="BH339" s="14"/>
      <c r="BI339" s="14"/>
    </row>
    <row r="340" spans="1:6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67"/>
      <c r="AK340" s="14"/>
      <c r="AL340" s="14"/>
      <c r="AM340" s="14"/>
      <c r="AN340" s="14" t="e">
        <f>IF('ETF Data'!$H$2,IF(ISNUMBER(AK340),AK340,NA()),NA())</f>
        <v>#N/A</v>
      </c>
      <c r="AO340" s="14"/>
      <c r="AP340" s="14"/>
      <c r="AQ340" s="14"/>
      <c r="AR340" s="14"/>
      <c r="AS340" s="14"/>
      <c r="AT340" s="14"/>
      <c r="AU340" s="14"/>
      <c r="AV340" s="14"/>
      <c r="AW340" s="14"/>
      <c r="AX340" s="14"/>
      <c r="AY340" s="14"/>
      <c r="AZ340" s="14"/>
      <c r="BA340" s="14"/>
      <c r="BB340" s="14"/>
      <c r="BC340" s="14"/>
      <c r="BD340" s="14"/>
      <c r="BE340" s="14"/>
      <c r="BF340" s="14"/>
      <c r="BG340" s="14"/>
      <c r="BH340" s="14"/>
      <c r="BI340" s="14"/>
    </row>
    <row r="341" spans="1:6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67"/>
      <c r="AK341" s="14"/>
      <c r="AL341" s="14"/>
      <c r="AM341" s="14"/>
      <c r="AN341" s="14" t="e">
        <f>IF('ETF Data'!$H$2,IF(ISNUMBER(AK341),AK341,NA()),NA())</f>
        <v>#N/A</v>
      </c>
      <c r="AO341" s="14"/>
      <c r="AP341" s="14"/>
      <c r="AQ341" s="14"/>
      <c r="AR341" s="14"/>
      <c r="AS341" s="14"/>
      <c r="AT341" s="14"/>
      <c r="AU341" s="14"/>
      <c r="AV341" s="14"/>
      <c r="AW341" s="14"/>
      <c r="AX341" s="14"/>
      <c r="AY341" s="14"/>
      <c r="AZ341" s="14"/>
      <c r="BA341" s="14"/>
      <c r="BB341" s="14"/>
      <c r="BC341" s="14"/>
      <c r="BD341" s="14"/>
      <c r="BE341" s="14"/>
      <c r="BF341" s="14"/>
      <c r="BG341" s="14"/>
      <c r="BH341" s="14"/>
      <c r="BI341" s="14"/>
    </row>
    <row r="342" spans="1:6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67"/>
      <c r="AK342" s="14"/>
      <c r="AL342" s="14"/>
      <c r="AM342" s="14"/>
      <c r="AN342" s="14" t="e">
        <f>IF('ETF Data'!$H$2,IF(ISNUMBER(AK342),AK342,NA()),NA())</f>
        <v>#N/A</v>
      </c>
      <c r="AO342" s="14"/>
      <c r="AP342" s="14"/>
      <c r="AQ342" s="14"/>
      <c r="AR342" s="14"/>
      <c r="AS342" s="14"/>
      <c r="AT342" s="14"/>
      <c r="AU342" s="14"/>
      <c r="AV342" s="14"/>
      <c r="AW342" s="14"/>
      <c r="AX342" s="14"/>
      <c r="AY342" s="14"/>
      <c r="AZ342" s="14"/>
      <c r="BA342" s="14"/>
      <c r="BB342" s="14"/>
      <c r="BC342" s="14"/>
      <c r="BD342" s="14"/>
      <c r="BE342" s="14"/>
      <c r="BF342" s="14"/>
      <c r="BG342" s="14"/>
      <c r="BH342" s="14"/>
      <c r="BI342" s="14"/>
    </row>
    <row r="343" spans="1:6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67"/>
      <c r="AK343" s="14"/>
      <c r="AL343" s="14"/>
      <c r="AM343" s="14"/>
      <c r="AN343" s="14" t="e">
        <f>IF('ETF Data'!$H$2,IF(ISNUMBER(AK343),AK343,NA()),NA())</f>
        <v>#N/A</v>
      </c>
      <c r="AO343" s="14"/>
      <c r="AP343" s="14"/>
      <c r="AQ343" s="14"/>
      <c r="AR343" s="14"/>
      <c r="AS343" s="14"/>
      <c r="AT343" s="14"/>
      <c r="AU343" s="14"/>
      <c r="AV343" s="14"/>
      <c r="AW343" s="14"/>
      <c r="AX343" s="14"/>
      <c r="AY343" s="14"/>
      <c r="AZ343" s="14"/>
      <c r="BA343" s="14"/>
      <c r="BB343" s="14"/>
      <c r="BC343" s="14"/>
      <c r="BD343" s="14"/>
      <c r="BE343" s="14"/>
      <c r="BF343" s="14"/>
      <c r="BG343" s="14"/>
      <c r="BH343" s="14"/>
      <c r="BI343" s="14"/>
    </row>
    <row r="344" spans="1:6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67"/>
      <c r="AK344" s="14"/>
      <c r="AL344" s="14"/>
      <c r="AM344" s="14"/>
      <c r="AN344" s="14" t="e">
        <f>IF('ETF Data'!$H$2,IF(ISNUMBER(AK344),AK344,NA()),NA())</f>
        <v>#N/A</v>
      </c>
      <c r="AO344" s="14"/>
      <c r="AP344" s="14"/>
      <c r="AQ344" s="14"/>
      <c r="AR344" s="14"/>
      <c r="AS344" s="14"/>
      <c r="AT344" s="14"/>
      <c r="AU344" s="14"/>
      <c r="AV344" s="14"/>
      <c r="AW344" s="14"/>
      <c r="AX344" s="14"/>
      <c r="AY344" s="14"/>
      <c r="AZ344" s="14"/>
      <c r="BA344" s="14"/>
      <c r="BB344" s="14"/>
      <c r="BC344" s="14"/>
      <c r="BD344" s="14"/>
      <c r="BE344" s="14"/>
      <c r="BF344" s="14"/>
      <c r="BG344" s="14"/>
      <c r="BH344" s="14"/>
      <c r="BI344" s="14"/>
    </row>
    <row r="345" spans="1:6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67"/>
      <c r="AK345" s="14"/>
      <c r="AL345" s="14"/>
      <c r="AM345" s="14"/>
      <c r="AN345" s="14" t="e">
        <f>IF('ETF Data'!$H$2,IF(ISNUMBER(AK345),AK345,NA()),NA())</f>
        <v>#N/A</v>
      </c>
      <c r="AO345" s="14"/>
      <c r="AP345" s="14"/>
      <c r="AQ345" s="14"/>
      <c r="AR345" s="14"/>
      <c r="AS345" s="14"/>
      <c r="AT345" s="14"/>
      <c r="AU345" s="14"/>
      <c r="AV345" s="14"/>
      <c r="AW345" s="14"/>
      <c r="AX345" s="14"/>
      <c r="AY345" s="14"/>
      <c r="AZ345" s="14"/>
      <c r="BA345" s="14"/>
      <c r="BB345" s="14"/>
      <c r="BC345" s="14"/>
      <c r="BD345" s="14"/>
      <c r="BE345" s="14"/>
      <c r="BF345" s="14"/>
      <c r="BG345" s="14"/>
      <c r="BH345" s="14"/>
      <c r="BI345" s="14"/>
    </row>
    <row r="346" spans="1:6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67"/>
      <c r="AK346" s="14"/>
      <c r="AL346" s="14"/>
      <c r="AM346" s="14"/>
      <c r="AN346" s="14" t="e">
        <f>IF('ETF Data'!$H$2,IF(ISNUMBER(AK346),AK346,NA()),NA())</f>
        <v>#N/A</v>
      </c>
      <c r="AO346" s="14"/>
      <c r="AP346" s="14"/>
      <c r="AQ346" s="14"/>
      <c r="AR346" s="14"/>
      <c r="AS346" s="14"/>
      <c r="AT346" s="14"/>
      <c r="AU346" s="14"/>
      <c r="AV346" s="14"/>
      <c r="AW346" s="14"/>
      <c r="AX346" s="14"/>
      <c r="AY346" s="14"/>
      <c r="AZ346" s="14"/>
      <c r="BA346" s="14"/>
      <c r="BB346" s="14"/>
      <c r="BC346" s="14"/>
      <c r="BD346" s="14"/>
      <c r="BE346" s="14"/>
      <c r="BF346" s="14"/>
      <c r="BG346" s="14"/>
      <c r="BH346" s="14"/>
      <c r="BI346" s="14"/>
    </row>
    <row r="347" spans="1:6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67"/>
      <c r="AK347" s="14"/>
      <c r="AL347" s="14"/>
      <c r="AM347" s="14"/>
      <c r="AN347" s="14" t="e">
        <f>IF('ETF Data'!$H$2,IF(ISNUMBER(AK347),AK347,NA()),NA())</f>
        <v>#N/A</v>
      </c>
      <c r="AO347" s="14"/>
      <c r="AP347" s="14"/>
      <c r="AQ347" s="14"/>
      <c r="AR347" s="14"/>
      <c r="AS347" s="14"/>
      <c r="AT347" s="14"/>
      <c r="AU347" s="14"/>
      <c r="AV347" s="14"/>
      <c r="AW347" s="14"/>
      <c r="AX347" s="14"/>
      <c r="AY347" s="14"/>
      <c r="AZ347" s="14"/>
      <c r="BA347" s="14"/>
      <c r="BB347" s="14"/>
      <c r="BC347" s="14"/>
      <c r="BD347" s="14"/>
      <c r="BE347" s="14"/>
      <c r="BF347" s="14"/>
      <c r="BG347" s="14"/>
      <c r="BH347" s="14"/>
      <c r="BI347" s="14"/>
    </row>
    <row r="348" spans="1:6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67"/>
      <c r="AK348" s="14"/>
      <c r="AL348" s="14"/>
      <c r="AM348" s="14"/>
      <c r="AN348" s="14" t="e">
        <f>IF('ETF Data'!$H$2,IF(ISNUMBER(AK348),AK348,NA()),NA())</f>
        <v>#N/A</v>
      </c>
      <c r="AO348" s="14"/>
      <c r="AP348" s="14"/>
      <c r="AQ348" s="14"/>
      <c r="AR348" s="14"/>
      <c r="AS348" s="14"/>
      <c r="AT348" s="14"/>
      <c r="AU348" s="14"/>
      <c r="AV348" s="14"/>
      <c r="AW348" s="14"/>
      <c r="AX348" s="14"/>
      <c r="AY348" s="14"/>
      <c r="AZ348" s="14"/>
      <c r="BA348" s="14"/>
      <c r="BB348" s="14"/>
      <c r="BC348" s="14"/>
      <c r="BD348" s="14"/>
      <c r="BE348" s="14"/>
      <c r="BF348" s="14"/>
      <c r="BG348" s="14"/>
      <c r="BH348" s="14"/>
      <c r="BI348" s="14"/>
    </row>
    <row r="349" spans="1:6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67"/>
      <c r="AK349" s="14"/>
      <c r="AL349" s="14"/>
      <c r="AM349" s="14"/>
      <c r="AN349" s="14" t="e">
        <f>IF('ETF Data'!$H$2,IF(ISNUMBER(AK349),AK349,NA()),NA())</f>
        <v>#N/A</v>
      </c>
      <c r="AO349" s="14"/>
      <c r="AP349" s="14"/>
      <c r="AQ349" s="14"/>
      <c r="AR349" s="14"/>
      <c r="AS349" s="14"/>
      <c r="AT349" s="14"/>
      <c r="AU349" s="14"/>
      <c r="AV349" s="14"/>
      <c r="AW349" s="14"/>
      <c r="AX349" s="14"/>
      <c r="AY349" s="14"/>
      <c r="AZ349" s="14"/>
      <c r="BA349" s="14"/>
      <c r="BB349" s="14"/>
      <c r="BC349" s="14"/>
      <c r="BD349" s="14"/>
      <c r="BE349" s="14"/>
      <c r="BF349" s="14"/>
      <c r="BG349" s="14"/>
      <c r="BH349" s="14"/>
      <c r="BI349" s="14"/>
    </row>
    <row r="350" spans="1:6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67"/>
      <c r="AK350" s="14"/>
      <c r="AL350" s="14"/>
      <c r="AM350" s="14"/>
      <c r="AN350" s="14" t="e">
        <f>IF('ETF Data'!$H$2,IF(ISNUMBER(AK350),AK350,NA()),NA())</f>
        <v>#N/A</v>
      </c>
      <c r="AO350" s="14"/>
      <c r="AP350" s="14"/>
      <c r="AQ350" s="14"/>
      <c r="AR350" s="14"/>
      <c r="AS350" s="14"/>
      <c r="AT350" s="14"/>
      <c r="AU350" s="14"/>
      <c r="AV350" s="14"/>
      <c r="AW350" s="14"/>
      <c r="AX350" s="14"/>
      <c r="AY350" s="14"/>
      <c r="AZ350" s="14"/>
      <c r="BA350" s="14"/>
      <c r="BB350" s="14"/>
      <c r="BC350" s="14"/>
      <c r="BD350" s="14"/>
      <c r="BE350" s="14"/>
      <c r="BF350" s="14"/>
      <c r="BG350" s="14"/>
      <c r="BH350" s="14"/>
      <c r="BI350" s="14"/>
    </row>
    <row r="351" spans="1:6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67"/>
      <c r="AK351" s="14"/>
      <c r="AL351" s="14"/>
      <c r="AM351" s="14"/>
      <c r="AN351" s="14" t="e">
        <f>IF('ETF Data'!$H$2,IF(ISNUMBER(AK351),AK351,NA()),NA())</f>
        <v>#N/A</v>
      </c>
      <c r="AO351" s="14"/>
      <c r="AP351" s="14"/>
      <c r="AQ351" s="14"/>
      <c r="AR351" s="14"/>
      <c r="AS351" s="14"/>
      <c r="AT351" s="14"/>
      <c r="AU351" s="14"/>
      <c r="AV351" s="14"/>
      <c r="AW351" s="14"/>
      <c r="AX351" s="14"/>
      <c r="AY351" s="14"/>
      <c r="AZ351" s="14"/>
      <c r="BA351" s="14"/>
      <c r="BB351" s="14"/>
      <c r="BC351" s="14"/>
      <c r="BD351" s="14"/>
      <c r="BE351" s="14"/>
      <c r="BF351" s="14"/>
      <c r="BG351" s="14"/>
      <c r="BH351" s="14"/>
      <c r="BI351" s="14"/>
    </row>
    <row r="352" spans="1:6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67"/>
      <c r="AK352" s="14"/>
      <c r="AL352" s="14"/>
      <c r="AM352" s="14"/>
      <c r="AN352" s="14" t="e">
        <f>IF('ETF Data'!$H$2,IF(ISNUMBER(AK352),AK352,NA()),NA())</f>
        <v>#N/A</v>
      </c>
      <c r="AO352" s="14"/>
      <c r="AP352" s="14"/>
      <c r="AQ352" s="14"/>
      <c r="AR352" s="14"/>
      <c r="AS352" s="14"/>
      <c r="AT352" s="14"/>
      <c r="AU352" s="14"/>
      <c r="AV352" s="14"/>
      <c r="AW352" s="14"/>
      <c r="AX352" s="14"/>
      <c r="AY352" s="14"/>
      <c r="AZ352" s="14"/>
      <c r="BA352" s="14"/>
      <c r="BB352" s="14"/>
      <c r="BC352" s="14"/>
      <c r="BD352" s="14"/>
      <c r="BE352" s="14"/>
      <c r="BF352" s="14"/>
      <c r="BG352" s="14"/>
      <c r="BH352" s="14"/>
      <c r="BI352" s="14"/>
    </row>
    <row r="353" spans="1:6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67"/>
      <c r="AK353" s="14"/>
      <c r="AL353" s="14"/>
      <c r="AM353" s="14"/>
      <c r="AN353" s="14" t="e">
        <f>IF('ETF Data'!$H$2,IF(ISNUMBER(AK353),AK353,NA()),NA())</f>
        <v>#N/A</v>
      </c>
      <c r="AO353" s="14"/>
      <c r="AP353" s="14"/>
      <c r="AQ353" s="14"/>
      <c r="AR353" s="14"/>
      <c r="AS353" s="14"/>
      <c r="AT353" s="14"/>
      <c r="AU353" s="14"/>
      <c r="AV353" s="14"/>
      <c r="AW353" s="14"/>
      <c r="AX353" s="14"/>
      <c r="AY353" s="14"/>
      <c r="AZ353" s="14"/>
      <c r="BA353" s="14"/>
      <c r="BB353" s="14"/>
      <c r="BC353" s="14"/>
      <c r="BD353" s="14"/>
      <c r="BE353" s="14"/>
      <c r="BF353" s="14"/>
      <c r="BG353" s="14"/>
      <c r="BH353" s="14"/>
      <c r="BI353" s="14"/>
    </row>
    <row r="354" spans="1:6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67"/>
      <c r="AK354" s="14"/>
      <c r="AL354" s="14"/>
      <c r="AM354" s="14"/>
      <c r="AN354" s="14" t="e">
        <f>IF('ETF Data'!$H$2,IF(ISNUMBER(AK354),AK354,NA()),NA())</f>
        <v>#N/A</v>
      </c>
      <c r="AO354" s="14"/>
      <c r="AP354" s="14"/>
      <c r="AQ354" s="14"/>
      <c r="AR354" s="14"/>
      <c r="AS354" s="14"/>
      <c r="AT354" s="14"/>
      <c r="AU354" s="14"/>
      <c r="AV354" s="14"/>
      <c r="AW354" s="14"/>
      <c r="AX354" s="14"/>
      <c r="AY354" s="14"/>
      <c r="AZ354" s="14"/>
      <c r="BA354" s="14"/>
      <c r="BB354" s="14"/>
      <c r="BC354" s="14"/>
      <c r="BD354" s="14"/>
      <c r="BE354" s="14"/>
      <c r="BF354" s="14"/>
      <c r="BG354" s="14"/>
      <c r="BH354" s="14"/>
      <c r="BI354" s="14"/>
    </row>
    <row r="355" spans="1:6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67"/>
      <c r="AK355" s="14"/>
      <c r="AL355" s="14"/>
      <c r="AM355" s="14"/>
      <c r="AN355" s="14" t="e">
        <f>IF('ETF Data'!$H$2,IF(ISNUMBER(AK355),AK355,NA()),NA())</f>
        <v>#N/A</v>
      </c>
      <c r="AO355" s="14"/>
      <c r="AP355" s="14"/>
      <c r="AQ355" s="14"/>
      <c r="AR355" s="14"/>
      <c r="AS355" s="14"/>
      <c r="AT355" s="14"/>
      <c r="AU355" s="14"/>
      <c r="AV355" s="14"/>
      <c r="AW355" s="14"/>
      <c r="AX355" s="14"/>
      <c r="AY355" s="14"/>
      <c r="AZ355" s="14"/>
      <c r="BA355" s="14"/>
      <c r="BB355" s="14"/>
      <c r="BC355" s="14"/>
      <c r="BD355" s="14"/>
      <c r="BE355" s="14"/>
      <c r="BF355" s="14"/>
      <c r="BG355" s="14"/>
      <c r="BH355" s="14"/>
      <c r="BI355" s="14"/>
    </row>
    <row r="356" spans="1:6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67"/>
      <c r="AK356" s="14"/>
      <c r="AL356" s="14"/>
      <c r="AM356" s="14"/>
      <c r="AN356" s="14" t="e">
        <f>IF('ETF Data'!$H$2,IF(ISNUMBER(AK356),AK356,NA()),NA())</f>
        <v>#N/A</v>
      </c>
      <c r="AO356" s="14"/>
      <c r="AP356" s="14"/>
      <c r="AQ356" s="14"/>
      <c r="AR356" s="14"/>
      <c r="AS356" s="14"/>
      <c r="AT356" s="14"/>
      <c r="AU356" s="14"/>
      <c r="AV356" s="14"/>
      <c r="AW356" s="14"/>
      <c r="AX356" s="14"/>
      <c r="AY356" s="14"/>
      <c r="AZ356" s="14"/>
      <c r="BA356" s="14"/>
      <c r="BB356" s="14"/>
      <c r="BC356" s="14"/>
      <c r="BD356" s="14"/>
      <c r="BE356" s="14"/>
      <c r="BF356" s="14"/>
      <c r="BG356" s="14"/>
      <c r="BH356" s="14"/>
      <c r="BI356" s="14"/>
    </row>
    <row r="357" spans="1:6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67"/>
      <c r="AK357" s="14"/>
      <c r="AL357" s="14"/>
      <c r="AM357" s="14"/>
      <c r="AN357" s="14" t="e">
        <f>IF('ETF Data'!$H$2,IF(ISNUMBER(AK357),AK357,NA()),NA())</f>
        <v>#N/A</v>
      </c>
      <c r="AO357" s="14"/>
      <c r="AP357" s="14"/>
      <c r="AQ357" s="14"/>
      <c r="AR357" s="14"/>
      <c r="AS357" s="14"/>
      <c r="AT357" s="14"/>
      <c r="AU357" s="14"/>
      <c r="AV357" s="14"/>
      <c r="AW357" s="14"/>
      <c r="AX357" s="14"/>
      <c r="AY357" s="14"/>
      <c r="AZ357" s="14"/>
      <c r="BA357" s="14"/>
      <c r="BB357" s="14"/>
      <c r="BC357" s="14"/>
      <c r="BD357" s="14"/>
      <c r="BE357" s="14"/>
      <c r="BF357" s="14"/>
      <c r="BG357" s="14"/>
      <c r="BH357" s="14"/>
      <c r="BI357" s="14"/>
    </row>
    <row r="358" spans="1:6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67"/>
      <c r="AK358" s="14"/>
      <c r="AL358" s="14"/>
      <c r="AM358" s="14"/>
      <c r="AN358" s="14" t="e">
        <f>IF('ETF Data'!$H$2,IF(ISNUMBER(AK358),AK358,NA()),NA())</f>
        <v>#N/A</v>
      </c>
      <c r="AO358" s="14"/>
      <c r="AP358" s="14"/>
      <c r="AQ358" s="14"/>
      <c r="AR358" s="14"/>
      <c r="AS358" s="14"/>
      <c r="AT358" s="14"/>
      <c r="AU358" s="14"/>
      <c r="AV358" s="14"/>
      <c r="AW358" s="14"/>
      <c r="AX358" s="14"/>
      <c r="AY358" s="14"/>
      <c r="AZ358" s="14"/>
      <c r="BA358" s="14"/>
      <c r="BB358" s="14"/>
      <c r="BC358" s="14"/>
      <c r="BD358" s="14"/>
      <c r="BE358" s="14"/>
      <c r="BF358" s="14"/>
      <c r="BG358" s="14"/>
      <c r="BH358" s="14"/>
      <c r="BI358" s="14"/>
    </row>
    <row r="359" spans="1:6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67"/>
      <c r="AK359" s="14"/>
      <c r="AL359" s="14"/>
      <c r="AM359" s="14"/>
      <c r="AN359" s="14" t="e">
        <f>IF('ETF Data'!$H$2,IF(ISNUMBER(AK359),AK359,NA()),NA())</f>
        <v>#N/A</v>
      </c>
      <c r="AO359" s="14"/>
      <c r="AP359" s="14"/>
      <c r="AQ359" s="14"/>
      <c r="AR359" s="14"/>
      <c r="AS359" s="14"/>
      <c r="AT359" s="14"/>
      <c r="AU359" s="14"/>
      <c r="AV359" s="14"/>
      <c r="AW359" s="14"/>
      <c r="AX359" s="14"/>
      <c r="AY359" s="14"/>
      <c r="AZ359" s="14"/>
      <c r="BA359" s="14"/>
      <c r="BB359" s="14"/>
      <c r="BC359" s="14"/>
      <c r="BD359" s="14"/>
      <c r="BE359" s="14"/>
      <c r="BF359" s="14"/>
      <c r="BG359" s="14"/>
      <c r="BH359" s="14"/>
      <c r="BI359" s="14"/>
    </row>
    <row r="360" spans="1:6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67"/>
      <c r="AK360" s="14"/>
      <c r="AL360" s="14"/>
      <c r="AM360" s="14"/>
      <c r="AN360" s="14" t="e">
        <f>IF('ETF Data'!$H$2,IF(ISNUMBER(AK360),AK360,NA()),NA())</f>
        <v>#N/A</v>
      </c>
      <c r="AO360" s="14"/>
      <c r="AP360" s="14"/>
      <c r="AQ360" s="14"/>
      <c r="AR360" s="14"/>
      <c r="AS360" s="14"/>
      <c r="AT360" s="14"/>
      <c r="AU360" s="14"/>
      <c r="AV360" s="14"/>
      <c r="AW360" s="14"/>
      <c r="AX360" s="14"/>
      <c r="AY360" s="14"/>
      <c r="AZ360" s="14"/>
      <c r="BA360" s="14"/>
      <c r="BB360" s="14"/>
      <c r="BC360" s="14"/>
      <c r="BD360" s="14"/>
      <c r="BE360" s="14"/>
      <c r="BF360" s="14"/>
      <c r="BG360" s="14"/>
      <c r="BH360" s="14"/>
      <c r="BI360" s="14"/>
    </row>
    <row r="361" spans="1:6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67"/>
      <c r="AK361" s="14"/>
      <c r="AL361" s="14"/>
      <c r="AM361" s="14"/>
      <c r="AN361" s="14" t="e">
        <f>IF('ETF Data'!$H$2,IF(ISNUMBER(AK361),AK361,NA()),NA())</f>
        <v>#N/A</v>
      </c>
      <c r="AO361" s="14"/>
      <c r="AP361" s="14"/>
      <c r="AQ361" s="14"/>
      <c r="AR361" s="14"/>
      <c r="AS361" s="14"/>
      <c r="AT361" s="14"/>
      <c r="AU361" s="14"/>
      <c r="AV361" s="14"/>
      <c r="AW361" s="14"/>
      <c r="AX361" s="14"/>
      <c r="AY361" s="14"/>
      <c r="AZ361" s="14"/>
      <c r="BA361" s="14"/>
      <c r="BB361" s="14"/>
      <c r="BC361" s="14"/>
      <c r="BD361" s="14"/>
      <c r="BE361" s="14"/>
      <c r="BF361" s="14"/>
      <c r="BG361" s="14"/>
      <c r="BH361" s="14"/>
      <c r="BI361" s="14"/>
    </row>
    <row r="362" spans="1:6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67"/>
      <c r="AK362" s="14"/>
      <c r="AL362" s="14"/>
      <c r="AM362" s="14"/>
      <c r="AN362" s="14" t="e">
        <f>IF('ETF Data'!$H$2,IF(ISNUMBER(AK362),AK362,NA()),NA())</f>
        <v>#N/A</v>
      </c>
      <c r="AO362" s="14"/>
      <c r="AP362" s="14"/>
      <c r="AQ362" s="14"/>
      <c r="AR362" s="14"/>
      <c r="AS362" s="14"/>
      <c r="AT362" s="14"/>
      <c r="AU362" s="14"/>
      <c r="AV362" s="14"/>
      <c r="AW362" s="14"/>
      <c r="AX362" s="14"/>
      <c r="AY362" s="14"/>
      <c r="AZ362" s="14"/>
      <c r="BA362" s="14"/>
      <c r="BB362" s="14"/>
      <c r="BC362" s="14"/>
      <c r="BD362" s="14"/>
      <c r="BE362" s="14"/>
      <c r="BF362" s="14"/>
      <c r="BG362" s="14"/>
      <c r="BH362" s="14"/>
      <c r="BI362" s="14"/>
    </row>
    <row r="363" spans="1:6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67"/>
      <c r="AK363" s="14"/>
      <c r="AL363" s="14"/>
      <c r="AM363" s="14"/>
      <c r="AN363" s="14" t="e">
        <f>IF('ETF Data'!$H$2,IF(ISNUMBER(AK363),AK363,NA()),NA())</f>
        <v>#N/A</v>
      </c>
      <c r="AO363" s="14"/>
      <c r="AP363" s="14"/>
      <c r="AQ363" s="14"/>
      <c r="AR363" s="14"/>
      <c r="AS363" s="14"/>
      <c r="AT363" s="14"/>
      <c r="AU363" s="14"/>
      <c r="AV363" s="14"/>
      <c r="AW363" s="14"/>
      <c r="AX363" s="14"/>
      <c r="AY363" s="14"/>
      <c r="AZ363" s="14"/>
      <c r="BA363" s="14"/>
      <c r="BB363" s="14"/>
      <c r="BC363" s="14"/>
      <c r="BD363" s="14"/>
      <c r="BE363" s="14"/>
      <c r="BF363" s="14"/>
      <c r="BG363" s="14"/>
      <c r="BH363" s="14"/>
      <c r="BI363" s="14"/>
    </row>
    <row r="364" spans="1:6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67"/>
      <c r="AK364" s="14"/>
      <c r="AL364" s="14"/>
      <c r="AM364" s="14"/>
      <c r="AN364" s="14" t="e">
        <f>IF('ETF Data'!$H$2,IF(ISNUMBER(AK364),AK364,NA()),NA())</f>
        <v>#N/A</v>
      </c>
      <c r="AO364" s="14"/>
      <c r="AP364" s="14"/>
      <c r="AQ364" s="14"/>
      <c r="AR364" s="14"/>
      <c r="AS364" s="14"/>
      <c r="AT364" s="14"/>
      <c r="AU364" s="14"/>
      <c r="AV364" s="14"/>
      <c r="AW364" s="14"/>
      <c r="AX364" s="14"/>
      <c r="AY364" s="14"/>
      <c r="AZ364" s="14"/>
      <c r="BA364" s="14"/>
      <c r="BB364" s="14"/>
      <c r="BC364" s="14"/>
      <c r="BD364" s="14"/>
      <c r="BE364" s="14"/>
      <c r="BF364" s="14"/>
      <c r="BG364" s="14"/>
      <c r="BH364" s="14"/>
      <c r="BI364" s="14"/>
    </row>
    <row r="365" spans="1:6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67"/>
      <c r="AK365" s="14"/>
      <c r="AL365" s="14"/>
      <c r="AM365" s="14"/>
      <c r="AN365" s="14" t="e">
        <f>IF('ETF Data'!$H$2,IF(ISNUMBER(AK365),AK365,NA()),NA())</f>
        <v>#N/A</v>
      </c>
      <c r="AO365" s="14"/>
      <c r="AP365" s="14"/>
      <c r="AQ365" s="14"/>
      <c r="AR365" s="14"/>
      <c r="AS365" s="14"/>
      <c r="AT365" s="14"/>
      <c r="AU365" s="14"/>
      <c r="AV365" s="14"/>
      <c r="AW365" s="14"/>
      <c r="AX365" s="14"/>
      <c r="AY365" s="14"/>
      <c r="AZ365" s="14"/>
      <c r="BA365" s="14"/>
      <c r="BB365" s="14"/>
      <c r="BC365" s="14"/>
      <c r="BD365" s="14"/>
      <c r="BE365" s="14"/>
      <c r="BF365" s="14"/>
      <c r="BG365" s="14"/>
      <c r="BH365" s="14"/>
      <c r="BI365" s="14"/>
    </row>
    <row r="366" spans="1:6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67"/>
      <c r="AK366" s="14"/>
      <c r="AL366" s="14"/>
      <c r="AM366" s="14"/>
      <c r="AN366" s="14" t="e">
        <f>IF('ETF Data'!$H$2,IF(ISNUMBER(AK366),AK366,NA()),NA())</f>
        <v>#N/A</v>
      </c>
      <c r="AO366" s="14"/>
      <c r="AP366" s="14"/>
      <c r="AQ366" s="14"/>
      <c r="AR366" s="14"/>
      <c r="AS366" s="14"/>
      <c r="AT366" s="14"/>
      <c r="AU366" s="14"/>
      <c r="AV366" s="14"/>
      <c r="AW366" s="14"/>
      <c r="AX366" s="14"/>
      <c r="AY366" s="14"/>
      <c r="AZ366" s="14"/>
      <c r="BA366" s="14"/>
      <c r="BB366" s="14"/>
      <c r="BC366" s="14"/>
      <c r="BD366" s="14"/>
      <c r="BE366" s="14"/>
      <c r="BF366" s="14"/>
      <c r="BG366" s="14"/>
      <c r="BH366" s="14"/>
      <c r="BI366" s="14"/>
    </row>
    <row r="367" spans="1:6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67"/>
      <c r="AK367" s="14"/>
      <c r="AL367" s="14"/>
      <c r="AM367" s="14"/>
      <c r="AN367" s="14" t="e">
        <f>IF('ETF Data'!$H$2,IF(ISNUMBER(AK367),AK367,NA()),NA())</f>
        <v>#N/A</v>
      </c>
      <c r="AO367" s="14"/>
      <c r="AP367" s="14"/>
      <c r="AQ367" s="14"/>
      <c r="AR367" s="14"/>
      <c r="AS367" s="14"/>
      <c r="AT367" s="14"/>
      <c r="AU367" s="14"/>
      <c r="AV367" s="14"/>
      <c r="AW367" s="14"/>
      <c r="AX367" s="14"/>
      <c r="AY367" s="14"/>
      <c r="AZ367" s="14"/>
      <c r="BA367" s="14"/>
      <c r="BB367" s="14"/>
      <c r="BC367" s="14"/>
      <c r="BD367" s="14"/>
      <c r="BE367" s="14"/>
      <c r="BF367" s="14"/>
      <c r="BG367" s="14"/>
      <c r="BH367" s="14"/>
      <c r="BI367" s="14"/>
    </row>
    <row r="368" spans="1:6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67"/>
      <c r="AK368" s="14"/>
      <c r="AL368" s="14"/>
      <c r="AM368" s="14"/>
      <c r="AN368" s="14" t="e">
        <f>IF('ETF Data'!$H$2,IF(ISNUMBER(AK368),AK368,NA()),NA())</f>
        <v>#N/A</v>
      </c>
      <c r="AO368" s="14"/>
      <c r="AP368" s="14"/>
      <c r="AQ368" s="14"/>
      <c r="AR368" s="14"/>
      <c r="AS368" s="14"/>
      <c r="AT368" s="14"/>
      <c r="AU368" s="14"/>
      <c r="AV368" s="14"/>
      <c r="AW368" s="14"/>
      <c r="AX368" s="14"/>
      <c r="AY368" s="14"/>
      <c r="AZ368" s="14"/>
      <c r="BA368" s="14"/>
      <c r="BB368" s="14"/>
      <c r="BC368" s="14"/>
      <c r="BD368" s="14"/>
      <c r="BE368" s="14"/>
      <c r="BF368" s="14"/>
      <c r="BG368" s="14"/>
      <c r="BH368" s="14"/>
      <c r="BI368" s="14"/>
    </row>
    <row r="369" spans="1:6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67"/>
      <c r="AK369" s="14"/>
      <c r="AL369" s="14"/>
      <c r="AM369" s="14"/>
      <c r="AN369" s="14" t="e">
        <f>IF('ETF Data'!$H$2,IF(ISNUMBER(AK369),AK369,NA()),NA())</f>
        <v>#N/A</v>
      </c>
      <c r="AO369" s="14"/>
      <c r="AP369" s="14"/>
      <c r="AQ369" s="14"/>
      <c r="AR369" s="14"/>
      <c r="AS369" s="14"/>
      <c r="AT369" s="14"/>
      <c r="AU369" s="14"/>
      <c r="AV369" s="14"/>
      <c r="AW369" s="14"/>
      <c r="AX369" s="14"/>
      <c r="AY369" s="14"/>
      <c r="AZ369" s="14"/>
      <c r="BA369" s="14"/>
      <c r="BB369" s="14"/>
      <c r="BC369" s="14"/>
      <c r="BD369" s="14"/>
      <c r="BE369" s="14"/>
      <c r="BF369" s="14"/>
      <c r="BG369" s="14"/>
      <c r="BH369" s="14"/>
      <c r="BI369" s="14"/>
    </row>
    <row r="370" spans="1:6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67"/>
      <c r="AK370" s="14"/>
      <c r="AL370" s="14"/>
      <c r="AM370" s="14"/>
      <c r="AN370" s="14" t="e">
        <f>IF('ETF Data'!$H$2,IF(ISNUMBER(AK370),AK370,NA()),NA())</f>
        <v>#N/A</v>
      </c>
      <c r="AO370" s="14"/>
      <c r="AP370" s="14"/>
      <c r="AQ370" s="14"/>
      <c r="AR370" s="14"/>
      <c r="AS370" s="14"/>
      <c r="AT370" s="14"/>
      <c r="AU370" s="14"/>
      <c r="AV370" s="14"/>
      <c r="AW370" s="14"/>
      <c r="AX370" s="14"/>
      <c r="AY370" s="14"/>
      <c r="AZ370" s="14"/>
      <c r="BA370" s="14"/>
      <c r="BB370" s="14"/>
      <c r="BC370" s="14"/>
      <c r="BD370" s="14"/>
      <c r="BE370" s="14"/>
      <c r="BF370" s="14"/>
      <c r="BG370" s="14"/>
      <c r="BH370" s="14"/>
      <c r="BI370" s="14"/>
    </row>
    <row r="371" spans="1:6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67"/>
      <c r="AK371" s="14"/>
      <c r="AL371" s="14"/>
      <c r="AM371" s="14"/>
      <c r="AN371" s="14" t="e">
        <f>IF('ETF Data'!$H$2,IF(ISNUMBER(AK371),AK371,NA()),NA())</f>
        <v>#N/A</v>
      </c>
      <c r="AO371" s="14"/>
      <c r="AP371" s="14"/>
      <c r="AQ371" s="14"/>
      <c r="AR371" s="14"/>
      <c r="AS371" s="14"/>
      <c r="AT371" s="14"/>
      <c r="AU371" s="14"/>
      <c r="AV371" s="14"/>
      <c r="AW371" s="14"/>
      <c r="AX371" s="14"/>
      <c r="AY371" s="14"/>
      <c r="AZ371" s="14"/>
      <c r="BA371" s="14"/>
      <c r="BB371" s="14"/>
      <c r="BC371" s="14"/>
      <c r="BD371" s="14"/>
      <c r="BE371" s="14"/>
      <c r="BF371" s="14"/>
      <c r="BG371" s="14"/>
      <c r="BH371" s="14"/>
      <c r="BI371" s="14"/>
    </row>
    <row r="372" spans="1:6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67"/>
      <c r="AK372" s="14"/>
      <c r="AL372" s="14"/>
      <c r="AM372" s="14"/>
      <c r="AN372" s="14" t="e">
        <f>IF('ETF Data'!$H$2,IF(ISNUMBER(AK372),AK372,NA()),NA())</f>
        <v>#N/A</v>
      </c>
      <c r="AO372" s="14"/>
      <c r="AP372" s="14"/>
      <c r="AQ372" s="14"/>
      <c r="AR372" s="14"/>
      <c r="AS372" s="14"/>
      <c r="AT372" s="14"/>
      <c r="AU372" s="14"/>
      <c r="AV372" s="14"/>
      <c r="AW372" s="14"/>
      <c r="AX372" s="14"/>
      <c r="AY372" s="14"/>
      <c r="AZ372" s="14"/>
      <c r="BA372" s="14"/>
      <c r="BB372" s="14"/>
      <c r="BC372" s="14"/>
      <c r="BD372" s="14"/>
      <c r="BE372" s="14"/>
      <c r="BF372" s="14"/>
      <c r="BG372" s="14"/>
      <c r="BH372" s="14"/>
      <c r="BI372" s="14"/>
    </row>
    <row r="373" spans="1:6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67"/>
      <c r="AK373" s="14"/>
      <c r="AL373" s="14"/>
      <c r="AM373" s="14"/>
      <c r="AN373" s="14" t="e">
        <f>IF('ETF Data'!$H$2,IF(ISNUMBER(AK373),AK373,NA()),NA())</f>
        <v>#N/A</v>
      </c>
      <c r="AO373" s="14"/>
      <c r="AP373" s="14"/>
      <c r="AQ373" s="14"/>
      <c r="AR373" s="14"/>
      <c r="AS373" s="14"/>
      <c r="AT373" s="14"/>
      <c r="AU373" s="14"/>
      <c r="AV373" s="14"/>
      <c r="AW373" s="14"/>
      <c r="AX373" s="14"/>
      <c r="AY373" s="14"/>
      <c r="AZ373" s="14"/>
      <c r="BA373" s="14"/>
      <c r="BB373" s="14"/>
      <c r="BC373" s="14"/>
      <c r="BD373" s="14"/>
      <c r="BE373" s="14"/>
      <c r="BF373" s="14"/>
      <c r="BG373" s="14"/>
      <c r="BH373" s="14"/>
      <c r="BI373" s="14"/>
    </row>
    <row r="374" spans="1:6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67"/>
      <c r="AK374" s="14"/>
      <c r="AL374" s="14"/>
      <c r="AM374" s="14"/>
      <c r="AN374" s="14" t="e">
        <f>IF('ETF Data'!$H$2,IF(ISNUMBER(AK374),AK374,NA()),NA())</f>
        <v>#N/A</v>
      </c>
      <c r="AO374" s="14"/>
      <c r="AP374" s="14"/>
      <c r="AQ374" s="14"/>
      <c r="AR374" s="14"/>
      <c r="AS374" s="14"/>
      <c r="AT374" s="14"/>
      <c r="AU374" s="14"/>
      <c r="AV374" s="14"/>
      <c r="AW374" s="14"/>
      <c r="AX374" s="14"/>
      <c r="AY374" s="14"/>
      <c r="AZ374" s="14"/>
      <c r="BA374" s="14"/>
      <c r="BB374" s="14"/>
      <c r="BC374" s="14"/>
      <c r="BD374" s="14"/>
      <c r="BE374" s="14"/>
      <c r="BF374" s="14"/>
      <c r="BG374" s="14"/>
      <c r="BH374" s="14"/>
      <c r="BI374" s="14"/>
    </row>
    <row r="375" spans="1:6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67"/>
      <c r="AK375" s="14"/>
      <c r="AL375" s="14"/>
      <c r="AM375" s="14"/>
      <c r="AN375" s="14" t="e">
        <f>IF('ETF Data'!$H$2,IF(ISNUMBER(AK375),AK375,NA()),NA())</f>
        <v>#N/A</v>
      </c>
      <c r="AO375" s="14"/>
      <c r="AP375" s="14"/>
      <c r="AQ375" s="14"/>
      <c r="AR375" s="14"/>
      <c r="AS375" s="14"/>
      <c r="AT375" s="14"/>
      <c r="AU375" s="14"/>
      <c r="AV375" s="14"/>
      <c r="AW375" s="14"/>
      <c r="AX375" s="14"/>
      <c r="AY375" s="14"/>
      <c r="AZ375" s="14"/>
      <c r="BA375" s="14"/>
      <c r="BB375" s="14"/>
      <c r="BC375" s="14"/>
      <c r="BD375" s="14"/>
      <c r="BE375" s="14"/>
      <c r="BF375" s="14"/>
      <c r="BG375" s="14"/>
      <c r="BH375" s="14"/>
      <c r="BI375" s="14"/>
    </row>
    <row r="376" spans="1:6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67"/>
      <c r="AK376" s="14"/>
      <c r="AL376" s="14"/>
      <c r="AM376" s="14"/>
      <c r="AN376" s="14" t="e">
        <f>IF('ETF Data'!$H$2,IF(ISNUMBER(AK376),AK376,NA()),NA())</f>
        <v>#N/A</v>
      </c>
      <c r="AO376" s="14"/>
      <c r="AP376" s="14"/>
      <c r="AQ376" s="14"/>
      <c r="AR376" s="14"/>
      <c r="AS376" s="14"/>
      <c r="AT376" s="14"/>
      <c r="AU376" s="14"/>
      <c r="AV376" s="14"/>
      <c r="AW376" s="14"/>
      <c r="AX376" s="14"/>
      <c r="AY376" s="14"/>
      <c r="AZ376" s="14"/>
      <c r="BA376" s="14"/>
      <c r="BB376" s="14"/>
      <c r="BC376" s="14"/>
      <c r="BD376" s="14"/>
      <c r="BE376" s="14"/>
      <c r="BF376" s="14"/>
      <c r="BG376" s="14"/>
      <c r="BH376" s="14"/>
      <c r="BI376" s="14"/>
    </row>
    <row r="377" spans="1:6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67"/>
      <c r="AK377" s="14"/>
      <c r="AL377" s="14"/>
      <c r="AM377" s="14"/>
      <c r="AN377" s="14" t="e">
        <f>IF('ETF Data'!$H$2,IF(ISNUMBER(AK377),AK377,NA()),NA())</f>
        <v>#N/A</v>
      </c>
      <c r="AO377" s="14"/>
      <c r="AP377" s="14"/>
      <c r="AQ377" s="14"/>
      <c r="AR377" s="14"/>
      <c r="AS377" s="14"/>
      <c r="AT377" s="14"/>
      <c r="AU377" s="14"/>
      <c r="AV377" s="14"/>
      <c r="AW377" s="14"/>
      <c r="AX377" s="14"/>
      <c r="AY377" s="14"/>
      <c r="AZ377" s="14"/>
      <c r="BA377" s="14"/>
      <c r="BB377" s="14"/>
      <c r="BC377" s="14"/>
      <c r="BD377" s="14"/>
      <c r="BE377" s="14"/>
      <c r="BF377" s="14"/>
      <c r="BG377" s="14"/>
      <c r="BH377" s="14"/>
      <c r="BI377" s="14"/>
    </row>
    <row r="378" spans="1:6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67"/>
      <c r="AK378" s="14"/>
      <c r="AL378" s="14"/>
      <c r="AM378" s="14"/>
      <c r="AN378" s="14" t="e">
        <f>IF('ETF Data'!$H$2,IF(ISNUMBER(AK378),AK378,NA()),NA())</f>
        <v>#N/A</v>
      </c>
      <c r="AO378" s="14"/>
      <c r="AP378" s="14"/>
      <c r="AQ378" s="14"/>
      <c r="AR378" s="14"/>
      <c r="AS378" s="14"/>
      <c r="AT378" s="14"/>
      <c r="AU378" s="14"/>
      <c r="AV378" s="14"/>
      <c r="AW378" s="14"/>
      <c r="AX378" s="14"/>
      <c r="AY378" s="14"/>
      <c r="AZ378" s="14"/>
      <c r="BA378" s="14"/>
      <c r="BB378" s="14"/>
      <c r="BC378" s="14"/>
      <c r="BD378" s="14"/>
      <c r="BE378" s="14"/>
      <c r="BF378" s="14"/>
      <c r="BG378" s="14"/>
      <c r="BH378" s="14"/>
      <c r="BI378" s="14"/>
    </row>
    <row r="379" spans="1:6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67"/>
      <c r="AK379" s="14"/>
      <c r="AL379" s="14"/>
      <c r="AM379" s="14"/>
      <c r="AN379" s="14" t="e">
        <f>IF('ETF Data'!$H$2,IF(ISNUMBER(AK379),AK379,NA()),NA())</f>
        <v>#N/A</v>
      </c>
      <c r="AO379" s="14"/>
      <c r="AP379" s="14"/>
      <c r="AQ379" s="14"/>
      <c r="AR379" s="14"/>
      <c r="AS379" s="14"/>
      <c r="AT379" s="14"/>
      <c r="AU379" s="14"/>
      <c r="AV379" s="14"/>
      <c r="AW379" s="14"/>
      <c r="AX379" s="14"/>
      <c r="AY379" s="14"/>
      <c r="AZ379" s="14"/>
      <c r="BA379" s="14"/>
      <c r="BB379" s="14"/>
      <c r="BC379" s="14"/>
      <c r="BD379" s="14"/>
      <c r="BE379" s="14"/>
      <c r="BF379" s="14"/>
      <c r="BG379" s="14"/>
      <c r="BH379" s="14"/>
      <c r="BI379" s="14"/>
    </row>
    <row r="380" spans="1:6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67"/>
      <c r="AK380" s="14"/>
      <c r="AL380" s="14"/>
      <c r="AM380" s="14"/>
      <c r="AN380" s="14" t="e">
        <f>IF('ETF Data'!$H$2,IF(ISNUMBER(AK380),AK380,NA()),NA())</f>
        <v>#N/A</v>
      </c>
      <c r="AO380" s="14"/>
      <c r="AP380" s="14"/>
      <c r="AQ380" s="14"/>
      <c r="AR380" s="14"/>
      <c r="AS380" s="14"/>
      <c r="AT380" s="14"/>
      <c r="AU380" s="14"/>
      <c r="AV380" s="14"/>
      <c r="AW380" s="14"/>
      <c r="AX380" s="14"/>
      <c r="AY380" s="14"/>
      <c r="AZ380" s="14"/>
      <c r="BA380" s="14"/>
      <c r="BB380" s="14"/>
      <c r="BC380" s="14"/>
      <c r="BD380" s="14"/>
      <c r="BE380" s="14"/>
      <c r="BF380" s="14"/>
      <c r="BG380" s="14"/>
      <c r="BH380" s="14"/>
      <c r="BI380" s="14"/>
    </row>
    <row r="381" spans="1:6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67"/>
      <c r="AK381" s="14"/>
      <c r="AL381" s="14"/>
      <c r="AM381" s="14"/>
      <c r="AN381" s="14" t="e">
        <f>IF('ETF Data'!$H$2,IF(ISNUMBER(AK381),AK381,NA()),NA())</f>
        <v>#N/A</v>
      </c>
      <c r="AO381" s="14"/>
      <c r="AP381" s="14"/>
      <c r="AQ381" s="14"/>
      <c r="AR381" s="14"/>
      <c r="AS381" s="14"/>
      <c r="AT381" s="14"/>
      <c r="AU381" s="14"/>
      <c r="AV381" s="14"/>
      <c r="AW381" s="14"/>
      <c r="AX381" s="14"/>
      <c r="AY381" s="14"/>
      <c r="AZ381" s="14"/>
      <c r="BA381" s="14"/>
      <c r="BB381" s="14"/>
      <c r="BC381" s="14"/>
      <c r="BD381" s="14"/>
      <c r="BE381" s="14"/>
      <c r="BF381" s="14"/>
      <c r="BG381" s="14"/>
      <c r="BH381" s="14"/>
      <c r="BI381" s="14"/>
    </row>
    <row r="382" spans="1:6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67"/>
      <c r="AK382" s="14"/>
      <c r="AL382" s="14"/>
      <c r="AM382" s="14"/>
      <c r="AN382" s="14" t="e">
        <f>IF('ETF Data'!$H$2,IF(ISNUMBER(AK382),AK382,NA()),NA())</f>
        <v>#N/A</v>
      </c>
      <c r="AO382" s="14"/>
      <c r="AP382" s="14"/>
      <c r="AQ382" s="14"/>
      <c r="AR382" s="14"/>
      <c r="AS382" s="14"/>
      <c r="AT382" s="14"/>
      <c r="AU382" s="14"/>
      <c r="AV382" s="14"/>
      <c r="AW382" s="14"/>
      <c r="AX382" s="14"/>
      <c r="AY382" s="14"/>
      <c r="AZ382" s="14"/>
      <c r="BA382" s="14"/>
      <c r="BB382" s="14"/>
      <c r="BC382" s="14"/>
      <c r="BD382" s="14"/>
      <c r="BE382" s="14"/>
      <c r="BF382" s="14"/>
      <c r="BG382" s="14"/>
      <c r="BH382" s="14"/>
      <c r="BI382" s="14"/>
    </row>
    <row r="383" spans="1:6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67"/>
      <c r="AK383" s="14"/>
      <c r="AL383" s="14"/>
      <c r="AM383" s="14"/>
      <c r="AN383" s="14" t="e">
        <f>IF('ETF Data'!$H$2,IF(ISNUMBER(AK383),AK383,NA()),NA())</f>
        <v>#N/A</v>
      </c>
      <c r="AO383" s="14"/>
      <c r="AP383" s="14"/>
      <c r="AQ383" s="14"/>
      <c r="AR383" s="14"/>
      <c r="AS383" s="14"/>
      <c r="AT383" s="14"/>
      <c r="AU383" s="14"/>
      <c r="AV383" s="14"/>
      <c r="AW383" s="14"/>
      <c r="AX383" s="14"/>
      <c r="AY383" s="14"/>
      <c r="AZ383" s="14"/>
      <c r="BA383" s="14"/>
      <c r="BB383" s="14"/>
      <c r="BC383" s="14"/>
      <c r="BD383" s="14"/>
      <c r="BE383" s="14"/>
      <c r="BF383" s="14"/>
      <c r="BG383" s="14"/>
      <c r="BH383" s="14"/>
      <c r="BI383" s="14"/>
    </row>
    <row r="384" spans="1:6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67"/>
      <c r="AK384" s="14"/>
      <c r="AL384" s="14"/>
      <c r="AM384" s="14"/>
      <c r="AN384" s="14" t="e">
        <f>IF('ETF Data'!$H$2,IF(ISNUMBER(AK384),AK384,NA()),NA())</f>
        <v>#N/A</v>
      </c>
      <c r="AO384" s="14"/>
      <c r="AP384" s="14"/>
      <c r="AQ384" s="14"/>
      <c r="AR384" s="14"/>
      <c r="AS384" s="14"/>
      <c r="AT384" s="14"/>
      <c r="AU384" s="14"/>
      <c r="AV384" s="14"/>
      <c r="AW384" s="14"/>
      <c r="AX384" s="14"/>
      <c r="AY384" s="14"/>
      <c r="AZ384" s="14"/>
      <c r="BA384" s="14"/>
      <c r="BB384" s="14"/>
      <c r="BC384" s="14"/>
      <c r="BD384" s="14"/>
      <c r="BE384" s="14"/>
      <c r="BF384" s="14"/>
      <c r="BG384" s="14"/>
      <c r="BH384" s="14"/>
      <c r="BI384" s="14"/>
    </row>
    <row r="385" spans="1:6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67"/>
      <c r="AK385" s="14"/>
      <c r="AL385" s="14"/>
      <c r="AM385" s="14"/>
      <c r="AN385" s="14" t="e">
        <f>IF('ETF Data'!$H$2,IF(ISNUMBER(AK385),AK385,NA()),NA())</f>
        <v>#N/A</v>
      </c>
      <c r="AO385" s="14"/>
      <c r="AP385" s="14"/>
      <c r="AQ385" s="14"/>
      <c r="AR385" s="14"/>
      <c r="AS385" s="14"/>
      <c r="AT385" s="14"/>
      <c r="AU385" s="14"/>
      <c r="AV385" s="14"/>
      <c r="AW385" s="14"/>
      <c r="AX385" s="14"/>
      <c r="AY385" s="14"/>
      <c r="AZ385" s="14"/>
      <c r="BA385" s="14"/>
      <c r="BB385" s="14"/>
      <c r="BC385" s="14"/>
      <c r="BD385" s="14"/>
      <c r="BE385" s="14"/>
      <c r="BF385" s="14"/>
      <c r="BG385" s="14"/>
      <c r="BH385" s="14"/>
      <c r="BI385" s="14"/>
    </row>
    <row r="386" spans="1:6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67"/>
      <c r="AK386" s="14"/>
      <c r="AL386" s="14"/>
      <c r="AM386" s="14"/>
      <c r="AN386" s="14" t="e">
        <f>IF('ETF Data'!$H$2,IF(ISNUMBER(AK386),AK386,NA()),NA())</f>
        <v>#N/A</v>
      </c>
      <c r="AO386" s="14"/>
      <c r="AP386" s="14"/>
      <c r="AQ386" s="14"/>
      <c r="AR386" s="14"/>
      <c r="AS386" s="14"/>
      <c r="AT386" s="14"/>
      <c r="AU386" s="14"/>
      <c r="AV386" s="14"/>
      <c r="AW386" s="14"/>
      <c r="AX386" s="14"/>
      <c r="AY386" s="14"/>
      <c r="AZ386" s="14"/>
      <c r="BA386" s="14"/>
      <c r="BB386" s="14"/>
      <c r="BC386" s="14"/>
      <c r="BD386" s="14"/>
      <c r="BE386" s="14"/>
      <c r="BF386" s="14"/>
      <c r="BG386" s="14"/>
      <c r="BH386" s="14"/>
      <c r="BI386" s="14"/>
    </row>
    <row r="387" spans="1:6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67"/>
      <c r="AK387" s="14"/>
      <c r="AL387" s="14"/>
      <c r="AM387" s="14"/>
      <c r="AN387" s="14" t="e">
        <f>IF('ETF Data'!$H$2,IF(ISNUMBER(AK387),AK387,NA()),NA())</f>
        <v>#N/A</v>
      </c>
      <c r="AO387" s="14"/>
      <c r="AP387" s="14"/>
      <c r="AQ387" s="14"/>
      <c r="AR387" s="14"/>
      <c r="AS387" s="14"/>
      <c r="AT387" s="14"/>
      <c r="AU387" s="14"/>
      <c r="AV387" s="14"/>
      <c r="AW387" s="14"/>
      <c r="AX387" s="14"/>
      <c r="AY387" s="14"/>
      <c r="AZ387" s="14"/>
      <c r="BA387" s="14"/>
      <c r="BB387" s="14"/>
      <c r="BC387" s="14"/>
      <c r="BD387" s="14"/>
      <c r="BE387" s="14"/>
      <c r="BF387" s="14"/>
      <c r="BG387" s="14"/>
      <c r="BH387" s="14"/>
      <c r="BI387" s="14"/>
    </row>
    <row r="388" spans="1:6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67"/>
      <c r="AK388" s="14"/>
      <c r="AL388" s="14"/>
      <c r="AM388" s="14"/>
      <c r="AN388" s="14" t="e">
        <f>IF('ETF Data'!$H$2,IF(ISNUMBER(AK388),AK388,NA()),NA())</f>
        <v>#N/A</v>
      </c>
      <c r="AO388" s="14"/>
      <c r="AP388" s="14"/>
      <c r="AQ388" s="14"/>
      <c r="AR388" s="14"/>
      <c r="AS388" s="14"/>
      <c r="AT388" s="14"/>
      <c r="AU388" s="14"/>
      <c r="AV388" s="14"/>
      <c r="AW388" s="14"/>
      <c r="AX388" s="14"/>
      <c r="AY388" s="14"/>
      <c r="AZ388" s="14"/>
      <c r="BA388" s="14"/>
      <c r="BB388" s="14"/>
      <c r="BC388" s="14"/>
      <c r="BD388" s="14"/>
      <c r="BE388" s="14"/>
      <c r="BF388" s="14"/>
      <c r="BG388" s="14"/>
      <c r="BH388" s="14"/>
      <c r="BI388" s="14"/>
    </row>
    <row r="389" spans="1:6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67"/>
      <c r="AK389" s="14"/>
      <c r="AL389" s="14"/>
      <c r="AM389" s="14"/>
      <c r="AN389" s="14" t="e">
        <f>IF('ETF Data'!$H$2,IF(ISNUMBER(AK389),AK389,NA()),NA())</f>
        <v>#N/A</v>
      </c>
      <c r="AO389" s="14"/>
      <c r="AP389" s="14"/>
      <c r="AQ389" s="14"/>
      <c r="AR389" s="14"/>
      <c r="AS389" s="14"/>
      <c r="AT389" s="14"/>
      <c r="AU389" s="14"/>
      <c r="AV389" s="14"/>
      <c r="AW389" s="14"/>
      <c r="AX389" s="14"/>
      <c r="AY389" s="14"/>
      <c r="AZ389" s="14"/>
      <c r="BA389" s="14"/>
      <c r="BB389" s="14"/>
      <c r="BC389" s="14"/>
      <c r="BD389" s="14"/>
      <c r="BE389" s="14"/>
      <c r="BF389" s="14"/>
      <c r="BG389" s="14"/>
      <c r="BH389" s="14"/>
      <c r="BI389" s="14"/>
    </row>
    <row r="390" spans="1:6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67"/>
      <c r="AK390" s="14"/>
      <c r="AL390" s="14"/>
      <c r="AM390" s="14"/>
      <c r="AN390" s="14" t="e">
        <f>IF('ETF Data'!$H$2,IF(ISNUMBER(AK390),AK390,NA()),NA())</f>
        <v>#N/A</v>
      </c>
      <c r="AO390" s="14"/>
      <c r="AP390" s="14"/>
      <c r="AQ390" s="14"/>
      <c r="AR390" s="14"/>
      <c r="AS390" s="14"/>
      <c r="AT390" s="14"/>
      <c r="AU390" s="14"/>
      <c r="AV390" s="14"/>
      <c r="AW390" s="14"/>
      <c r="AX390" s="14"/>
      <c r="AY390" s="14"/>
      <c r="AZ390" s="14"/>
      <c r="BA390" s="14"/>
      <c r="BB390" s="14"/>
      <c r="BC390" s="14"/>
      <c r="BD390" s="14"/>
      <c r="BE390" s="14"/>
      <c r="BF390" s="14"/>
      <c r="BG390" s="14"/>
      <c r="BH390" s="14"/>
      <c r="BI390" s="14"/>
    </row>
    <row r="391" spans="1:6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67"/>
      <c r="AK391" s="14"/>
      <c r="AL391" s="14"/>
      <c r="AM391" s="14"/>
      <c r="AN391" s="14" t="e">
        <f>IF('ETF Data'!$H$2,IF(ISNUMBER(AK391),AK391,NA()),NA())</f>
        <v>#N/A</v>
      </c>
      <c r="AO391" s="14"/>
      <c r="AP391" s="14"/>
      <c r="AQ391" s="14"/>
      <c r="AR391" s="14"/>
      <c r="AS391" s="14"/>
      <c r="AT391" s="14"/>
      <c r="AU391" s="14"/>
      <c r="AV391" s="14"/>
      <c r="AW391" s="14"/>
      <c r="AX391" s="14"/>
      <c r="AY391" s="14"/>
      <c r="AZ391" s="14"/>
      <c r="BA391" s="14"/>
      <c r="BB391" s="14"/>
      <c r="BC391" s="14"/>
      <c r="BD391" s="14"/>
      <c r="BE391" s="14"/>
      <c r="BF391" s="14"/>
      <c r="BG391" s="14"/>
      <c r="BH391" s="14"/>
      <c r="BI391" s="14"/>
    </row>
    <row r="392" spans="1:6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67"/>
      <c r="AK392" s="14"/>
      <c r="AL392" s="14"/>
      <c r="AM392" s="14"/>
      <c r="AN392" s="14" t="e">
        <f>IF('ETF Data'!$H$2,IF(ISNUMBER(AK392),AK392,NA()),NA())</f>
        <v>#N/A</v>
      </c>
      <c r="AO392" s="14"/>
      <c r="AP392" s="14"/>
      <c r="AQ392" s="14"/>
      <c r="AR392" s="14"/>
      <c r="AS392" s="14"/>
      <c r="AT392" s="14"/>
      <c r="AU392" s="14"/>
      <c r="AV392" s="14"/>
      <c r="AW392" s="14"/>
      <c r="AX392" s="14"/>
      <c r="AY392" s="14"/>
      <c r="AZ392" s="14"/>
      <c r="BA392" s="14"/>
      <c r="BB392" s="14"/>
      <c r="BC392" s="14"/>
      <c r="BD392" s="14"/>
      <c r="BE392" s="14"/>
      <c r="BF392" s="14"/>
      <c r="BG392" s="14"/>
      <c r="BH392" s="14"/>
      <c r="BI392" s="14"/>
    </row>
    <row r="393" spans="1:6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67"/>
      <c r="AK393" s="14"/>
      <c r="AL393" s="14"/>
      <c r="AM393" s="14"/>
      <c r="AN393" s="14" t="e">
        <f>IF('ETF Data'!$H$2,IF(ISNUMBER(AK393),AK393,NA()),NA())</f>
        <v>#N/A</v>
      </c>
      <c r="AO393" s="14"/>
      <c r="AP393" s="14"/>
      <c r="AQ393" s="14"/>
      <c r="AR393" s="14"/>
      <c r="AS393" s="14"/>
      <c r="AT393" s="14"/>
      <c r="AU393" s="14"/>
      <c r="AV393" s="14"/>
      <c r="AW393" s="14"/>
      <c r="AX393" s="14"/>
      <c r="AY393" s="14"/>
      <c r="AZ393" s="14"/>
      <c r="BA393" s="14"/>
      <c r="BB393" s="14"/>
      <c r="BC393" s="14"/>
      <c r="BD393" s="14"/>
      <c r="BE393" s="14"/>
      <c r="BF393" s="14"/>
      <c r="BG393" s="14"/>
      <c r="BH393" s="14"/>
      <c r="BI393" s="14"/>
    </row>
    <row r="394" spans="1:6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67"/>
      <c r="AK394" s="14"/>
      <c r="AL394" s="14"/>
      <c r="AM394" s="14"/>
      <c r="AN394" s="14" t="e">
        <f>IF('ETF Data'!$H$2,IF(ISNUMBER(AK394),AK394,NA()),NA())</f>
        <v>#N/A</v>
      </c>
      <c r="AO394" s="14"/>
      <c r="AP394" s="14"/>
      <c r="AQ394" s="14"/>
      <c r="AR394" s="14"/>
      <c r="AS394" s="14"/>
      <c r="AT394" s="14"/>
      <c r="AU394" s="14"/>
      <c r="AV394" s="14"/>
      <c r="AW394" s="14"/>
      <c r="AX394" s="14"/>
      <c r="AY394" s="14"/>
      <c r="AZ394" s="14"/>
      <c r="BA394" s="14"/>
      <c r="BB394" s="14"/>
      <c r="BC394" s="14"/>
      <c r="BD394" s="14"/>
      <c r="BE394" s="14"/>
      <c r="BF394" s="14"/>
      <c r="BG394" s="14"/>
      <c r="BH394" s="14"/>
      <c r="BI394" s="14"/>
    </row>
    <row r="395" spans="1:6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67"/>
      <c r="AK395" s="14"/>
      <c r="AL395" s="14"/>
      <c r="AM395" s="14"/>
      <c r="AN395" s="14" t="e">
        <f>IF('ETF Data'!$H$2,IF(ISNUMBER(AK395),AK395,NA()),NA())</f>
        <v>#N/A</v>
      </c>
      <c r="AO395" s="14"/>
      <c r="AP395" s="14"/>
      <c r="AQ395" s="14"/>
      <c r="AR395" s="14"/>
      <c r="AS395" s="14"/>
      <c r="AT395" s="14"/>
      <c r="AU395" s="14"/>
      <c r="AV395" s="14"/>
      <c r="AW395" s="14"/>
      <c r="AX395" s="14"/>
      <c r="AY395" s="14"/>
      <c r="AZ395" s="14"/>
      <c r="BA395" s="14"/>
      <c r="BB395" s="14"/>
      <c r="BC395" s="14"/>
      <c r="BD395" s="14"/>
      <c r="BE395" s="14"/>
      <c r="BF395" s="14"/>
      <c r="BG395" s="14"/>
      <c r="BH395" s="14"/>
      <c r="BI395" s="14"/>
    </row>
    <row r="396" spans="1:6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67"/>
      <c r="AK396" s="14"/>
      <c r="AL396" s="14"/>
      <c r="AM396" s="14"/>
      <c r="AN396" s="14" t="e">
        <f>IF('ETF Data'!$H$2,IF(ISNUMBER(AK396),AK396,NA()),NA())</f>
        <v>#N/A</v>
      </c>
      <c r="AO396" s="14"/>
      <c r="AP396" s="14"/>
      <c r="AQ396" s="14"/>
      <c r="AR396" s="14"/>
      <c r="AS396" s="14"/>
      <c r="AT396" s="14"/>
      <c r="AU396" s="14"/>
      <c r="AV396" s="14"/>
      <c r="AW396" s="14"/>
      <c r="AX396" s="14"/>
      <c r="AY396" s="14"/>
      <c r="AZ396" s="14"/>
      <c r="BA396" s="14"/>
      <c r="BB396" s="14"/>
      <c r="BC396" s="14"/>
      <c r="BD396" s="14"/>
      <c r="BE396" s="14"/>
      <c r="BF396" s="14"/>
      <c r="BG396" s="14"/>
      <c r="BH396" s="14"/>
      <c r="BI396" s="14"/>
    </row>
    <row r="397" spans="1:6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67"/>
      <c r="AK397" s="14"/>
      <c r="AL397" s="14"/>
      <c r="AM397" s="14"/>
      <c r="AN397" s="14" t="e">
        <f>IF('ETF Data'!$H$2,IF(ISNUMBER(AK397),AK397,NA()),NA())</f>
        <v>#N/A</v>
      </c>
      <c r="AO397" s="14"/>
      <c r="AP397" s="14"/>
      <c r="AQ397" s="14"/>
      <c r="AR397" s="14"/>
      <c r="AS397" s="14"/>
      <c r="AT397" s="14"/>
      <c r="AU397" s="14"/>
      <c r="AV397" s="14"/>
      <c r="AW397" s="14"/>
      <c r="AX397" s="14"/>
      <c r="AY397" s="14"/>
      <c r="AZ397" s="14"/>
      <c r="BA397" s="14"/>
      <c r="BB397" s="14"/>
      <c r="BC397" s="14"/>
      <c r="BD397" s="14"/>
      <c r="BE397" s="14"/>
      <c r="BF397" s="14"/>
      <c r="BG397" s="14"/>
      <c r="BH397" s="14"/>
      <c r="BI397" s="14"/>
    </row>
    <row r="398" spans="1:6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67"/>
      <c r="AK398" s="14"/>
      <c r="AL398" s="14"/>
      <c r="AM398" s="14"/>
      <c r="AN398" s="14" t="e">
        <f>IF('ETF Data'!$H$2,IF(ISNUMBER(AK398),AK398,NA()),NA())</f>
        <v>#N/A</v>
      </c>
      <c r="AO398" s="14"/>
      <c r="AP398" s="14"/>
      <c r="AQ398" s="14"/>
      <c r="AR398" s="14"/>
      <c r="AS398" s="14"/>
      <c r="AT398" s="14"/>
      <c r="AU398" s="14"/>
      <c r="AV398" s="14"/>
      <c r="AW398" s="14"/>
      <c r="AX398" s="14"/>
      <c r="AY398" s="14"/>
      <c r="AZ398" s="14"/>
      <c r="BA398" s="14"/>
      <c r="BB398" s="14"/>
      <c r="BC398" s="14"/>
      <c r="BD398" s="14"/>
      <c r="BE398" s="14"/>
      <c r="BF398" s="14"/>
      <c r="BG398" s="14"/>
      <c r="BH398" s="14"/>
      <c r="BI398" s="14"/>
    </row>
    <row r="399" spans="1:6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67"/>
      <c r="AK399" s="14"/>
      <c r="AL399" s="14"/>
      <c r="AM399" s="14"/>
      <c r="AN399" s="14" t="e">
        <f>IF('ETF Data'!$H$2,IF(ISNUMBER(AK399),AK399,NA()),NA())</f>
        <v>#N/A</v>
      </c>
      <c r="AO399" s="14"/>
      <c r="AP399" s="14"/>
      <c r="AQ399" s="14"/>
      <c r="AR399" s="14"/>
      <c r="AS399" s="14"/>
      <c r="AT399" s="14"/>
      <c r="AU399" s="14"/>
      <c r="AV399" s="14"/>
      <c r="AW399" s="14"/>
      <c r="AX399" s="14"/>
      <c r="AY399" s="14"/>
      <c r="AZ399" s="14"/>
      <c r="BA399" s="14"/>
      <c r="BB399" s="14"/>
      <c r="BC399" s="14"/>
      <c r="BD399" s="14"/>
      <c r="BE399" s="14"/>
      <c r="BF399" s="14"/>
      <c r="BG399" s="14"/>
      <c r="BH399" s="14"/>
      <c r="BI399" s="14"/>
    </row>
    <row r="400" spans="1:6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67"/>
      <c r="AK400" s="14"/>
      <c r="AL400" s="14"/>
      <c r="AM400" s="14"/>
      <c r="AN400" s="14" t="e">
        <f>IF('ETF Data'!$H$2,IF(ISNUMBER(AK400),AK400,NA()),NA())</f>
        <v>#N/A</v>
      </c>
      <c r="AO400" s="14"/>
      <c r="AP400" s="14"/>
      <c r="AQ400" s="14"/>
      <c r="AR400" s="14"/>
      <c r="AS400" s="14"/>
      <c r="AT400" s="14"/>
      <c r="AU400" s="14"/>
      <c r="AV400" s="14"/>
      <c r="AW400" s="14"/>
      <c r="AX400" s="14"/>
      <c r="AY400" s="14"/>
      <c r="AZ400" s="14"/>
      <c r="BA400" s="14"/>
      <c r="BB400" s="14"/>
      <c r="BC400" s="14"/>
      <c r="BD400" s="14"/>
      <c r="BE400" s="14"/>
      <c r="BF400" s="14"/>
      <c r="BG400" s="14"/>
      <c r="BH400" s="14"/>
      <c r="BI400" s="14"/>
    </row>
    <row r="401" spans="1:6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67"/>
      <c r="AK401" s="14"/>
      <c r="AL401" s="14"/>
      <c r="AM401" s="14"/>
      <c r="AN401" s="14" t="e">
        <f>IF('ETF Data'!$H$2,IF(ISNUMBER(AK401),AK401,NA()),NA())</f>
        <v>#N/A</v>
      </c>
      <c r="AO401" s="14"/>
      <c r="AP401" s="14"/>
      <c r="AQ401" s="14"/>
      <c r="AR401" s="14"/>
      <c r="AS401" s="14"/>
      <c r="AT401" s="14"/>
      <c r="AU401" s="14"/>
      <c r="AV401" s="14"/>
      <c r="AW401" s="14"/>
      <c r="AX401" s="14"/>
      <c r="AY401" s="14"/>
      <c r="AZ401" s="14"/>
      <c r="BA401" s="14"/>
      <c r="BB401" s="14"/>
      <c r="BC401" s="14"/>
      <c r="BD401" s="14"/>
      <c r="BE401" s="14"/>
      <c r="BF401" s="14"/>
      <c r="BG401" s="14"/>
      <c r="BH401" s="14"/>
      <c r="BI401" s="14"/>
    </row>
    <row r="402" spans="1:6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67"/>
      <c r="AK402" s="14"/>
      <c r="AL402" s="14"/>
      <c r="AM402" s="14"/>
      <c r="AN402" s="14" t="e">
        <f>IF('ETF Data'!$H$2,IF(ISNUMBER(AK402),AK402,NA()),NA())</f>
        <v>#N/A</v>
      </c>
      <c r="AO402" s="14"/>
      <c r="AP402" s="14"/>
      <c r="AQ402" s="14"/>
      <c r="AR402" s="14"/>
      <c r="AS402" s="14"/>
      <c r="AT402" s="14"/>
      <c r="AU402" s="14"/>
      <c r="AV402" s="14"/>
      <c r="AW402" s="14"/>
      <c r="AX402" s="14"/>
      <c r="AY402" s="14"/>
      <c r="AZ402" s="14"/>
      <c r="BA402" s="14"/>
      <c r="BB402" s="14"/>
      <c r="BC402" s="14"/>
      <c r="BD402" s="14"/>
      <c r="BE402" s="14"/>
      <c r="BF402" s="14"/>
      <c r="BG402" s="14"/>
      <c r="BH402" s="14"/>
      <c r="BI402" s="14"/>
    </row>
    <row r="403" spans="1:6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67"/>
      <c r="AK403" s="14"/>
      <c r="AL403" s="14"/>
      <c r="AM403" s="14"/>
      <c r="AN403" s="14" t="e">
        <f>IF('ETF Data'!$H$2,IF(ISNUMBER(AK403),AK403,NA()),NA())</f>
        <v>#N/A</v>
      </c>
      <c r="AO403" s="14"/>
      <c r="AP403" s="14"/>
      <c r="AQ403" s="14"/>
      <c r="AR403" s="14"/>
      <c r="AS403" s="14"/>
      <c r="AT403" s="14"/>
      <c r="AU403" s="14"/>
      <c r="AV403" s="14"/>
      <c r="AW403" s="14"/>
      <c r="AX403" s="14"/>
      <c r="AY403" s="14"/>
      <c r="AZ403" s="14"/>
      <c r="BA403" s="14"/>
      <c r="BB403" s="14"/>
      <c r="BC403" s="14"/>
      <c r="BD403" s="14"/>
      <c r="BE403" s="14"/>
      <c r="BF403" s="14"/>
      <c r="BG403" s="14"/>
      <c r="BH403" s="14"/>
      <c r="BI403" s="14"/>
    </row>
    <row r="404" spans="1:6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67"/>
      <c r="AK404" s="14"/>
      <c r="AL404" s="14"/>
      <c r="AM404" s="14"/>
      <c r="AN404" s="14" t="e">
        <f>IF('ETF Data'!$H$2,IF(ISNUMBER(AK404),AK404,NA()),NA())</f>
        <v>#N/A</v>
      </c>
      <c r="AO404" s="14"/>
      <c r="AP404" s="14"/>
      <c r="AQ404" s="14"/>
      <c r="AR404" s="14"/>
      <c r="AS404" s="14"/>
      <c r="AT404" s="14"/>
      <c r="AU404" s="14"/>
      <c r="AV404" s="14"/>
      <c r="AW404" s="14"/>
      <c r="AX404" s="14"/>
      <c r="AY404" s="14"/>
      <c r="AZ404" s="14"/>
      <c r="BA404" s="14"/>
      <c r="BB404" s="14"/>
      <c r="BC404" s="14"/>
      <c r="BD404" s="14"/>
      <c r="BE404" s="14"/>
      <c r="BF404" s="14"/>
      <c r="BG404" s="14"/>
      <c r="BH404" s="14"/>
      <c r="BI404" s="14"/>
    </row>
    <row r="405" spans="1:6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67"/>
      <c r="AK405" s="14"/>
      <c r="AL405" s="14"/>
      <c r="AM405" s="14"/>
      <c r="AN405" s="14" t="e">
        <f>IF('ETF Data'!$H$2,IF(ISNUMBER(AK405),AK405,NA()),NA())</f>
        <v>#N/A</v>
      </c>
      <c r="AO405" s="14"/>
      <c r="AP405" s="14"/>
      <c r="AQ405" s="14"/>
      <c r="AR405" s="14"/>
      <c r="AS405" s="14"/>
      <c r="AT405" s="14"/>
      <c r="AU405" s="14"/>
      <c r="AV405" s="14"/>
      <c r="AW405" s="14"/>
      <c r="AX405" s="14"/>
      <c r="AY405" s="14"/>
      <c r="AZ405" s="14"/>
      <c r="BA405" s="14"/>
      <c r="BB405" s="14"/>
      <c r="BC405" s="14"/>
      <c r="BD405" s="14"/>
      <c r="BE405" s="14"/>
      <c r="BF405" s="14"/>
      <c r="BG405" s="14"/>
      <c r="BH405" s="14"/>
      <c r="BI405" s="14"/>
    </row>
    <row r="406" spans="1:6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67"/>
      <c r="AK406" s="14"/>
      <c r="AL406" s="14"/>
      <c r="AM406" s="14"/>
      <c r="AN406" s="14" t="e">
        <f>IF('ETF Data'!$H$2,IF(ISNUMBER(AK406),AK406,NA()),NA())</f>
        <v>#N/A</v>
      </c>
      <c r="AO406" s="14"/>
      <c r="AP406" s="14"/>
      <c r="AQ406" s="14"/>
      <c r="AR406" s="14"/>
      <c r="AS406" s="14"/>
      <c r="AT406" s="14"/>
      <c r="AU406" s="14"/>
      <c r="AV406" s="14"/>
      <c r="AW406" s="14"/>
      <c r="AX406" s="14"/>
      <c r="AY406" s="14"/>
      <c r="AZ406" s="14"/>
      <c r="BA406" s="14"/>
      <c r="BB406" s="14"/>
      <c r="BC406" s="14"/>
      <c r="BD406" s="14"/>
      <c r="BE406" s="14"/>
      <c r="BF406" s="14"/>
      <c r="BG406" s="14"/>
      <c r="BH406" s="14"/>
      <c r="BI406" s="14"/>
    </row>
    <row r="407" spans="1:6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67"/>
      <c r="AK407" s="14"/>
      <c r="AL407" s="14"/>
      <c r="AM407" s="14"/>
      <c r="AN407" s="14" t="e">
        <f>IF('ETF Data'!$H$2,IF(ISNUMBER(AK407),AK407,NA()),NA())</f>
        <v>#N/A</v>
      </c>
      <c r="AO407" s="14"/>
      <c r="AP407" s="14"/>
      <c r="AQ407" s="14"/>
      <c r="AR407" s="14"/>
      <c r="AS407" s="14"/>
      <c r="AT407" s="14"/>
      <c r="AU407" s="14"/>
      <c r="AV407" s="14"/>
      <c r="AW407" s="14"/>
      <c r="AX407" s="14"/>
      <c r="AY407" s="14"/>
      <c r="AZ407" s="14"/>
      <c r="BA407" s="14"/>
      <c r="BB407" s="14"/>
      <c r="BC407" s="14"/>
      <c r="BD407" s="14"/>
      <c r="BE407" s="14"/>
      <c r="BF407" s="14"/>
      <c r="BG407" s="14"/>
      <c r="BH407" s="14"/>
      <c r="BI407" s="14"/>
    </row>
    <row r="408" spans="1:6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67"/>
      <c r="AK408" s="14"/>
      <c r="AL408" s="14"/>
      <c r="AM408" s="14"/>
      <c r="AN408" s="14" t="e">
        <f>IF('ETF Data'!$H$2,IF(ISNUMBER(AK408),AK408,NA()),NA())</f>
        <v>#N/A</v>
      </c>
      <c r="AO408" s="14"/>
      <c r="AP408" s="14"/>
      <c r="AQ408" s="14"/>
      <c r="AR408" s="14"/>
      <c r="AS408" s="14"/>
      <c r="AT408" s="14"/>
      <c r="AU408" s="14"/>
      <c r="AV408" s="14"/>
      <c r="AW408" s="14"/>
      <c r="AX408" s="14"/>
      <c r="AY408" s="14"/>
      <c r="AZ408" s="14"/>
      <c r="BA408" s="14"/>
      <c r="BB408" s="14"/>
      <c r="BC408" s="14"/>
      <c r="BD408" s="14"/>
      <c r="BE408" s="14"/>
      <c r="BF408" s="14"/>
      <c r="BG408" s="14"/>
      <c r="BH408" s="14"/>
      <c r="BI408" s="14"/>
    </row>
    <row r="409" spans="1:6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67"/>
      <c r="AK409" s="14"/>
      <c r="AL409" s="14"/>
      <c r="AM409" s="14"/>
      <c r="AN409" s="14" t="e">
        <f>IF('ETF Data'!$H$2,IF(ISNUMBER(AK409),AK409,NA()),NA())</f>
        <v>#N/A</v>
      </c>
      <c r="AO409" s="14"/>
      <c r="AP409" s="14"/>
      <c r="AQ409" s="14"/>
      <c r="AR409" s="14"/>
      <c r="AS409" s="14"/>
      <c r="AT409" s="14"/>
      <c r="AU409" s="14"/>
      <c r="AV409" s="14"/>
      <c r="AW409" s="14"/>
      <c r="AX409" s="14"/>
      <c r="AY409" s="14"/>
      <c r="AZ409" s="14"/>
      <c r="BA409" s="14"/>
      <c r="BB409" s="14"/>
      <c r="BC409" s="14"/>
      <c r="BD409" s="14"/>
      <c r="BE409" s="14"/>
      <c r="BF409" s="14"/>
      <c r="BG409" s="14"/>
      <c r="BH409" s="14"/>
      <c r="BI409" s="14"/>
    </row>
    <row r="410" spans="1:6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67"/>
      <c r="AK410" s="14"/>
      <c r="AL410" s="14"/>
      <c r="AM410" s="14"/>
      <c r="AN410" s="14" t="e">
        <f>IF('ETF Data'!$H$2,IF(ISNUMBER(AK410),AK410,NA()),NA())</f>
        <v>#N/A</v>
      </c>
      <c r="AO410" s="14"/>
      <c r="AP410" s="14"/>
      <c r="AQ410" s="14"/>
      <c r="AR410" s="14"/>
      <c r="AS410" s="14"/>
      <c r="AT410" s="14"/>
      <c r="AU410" s="14"/>
      <c r="AV410" s="14"/>
      <c r="AW410" s="14"/>
      <c r="AX410" s="14"/>
      <c r="AY410" s="14"/>
      <c r="AZ410" s="14"/>
      <c r="BA410" s="14"/>
      <c r="BB410" s="14"/>
      <c r="BC410" s="14"/>
      <c r="BD410" s="14"/>
      <c r="BE410" s="14"/>
      <c r="BF410" s="14"/>
      <c r="BG410" s="14"/>
      <c r="BH410" s="14"/>
      <c r="BI410" s="14"/>
    </row>
    <row r="411" spans="1:6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67"/>
      <c r="AK411" s="14"/>
      <c r="AL411" s="14"/>
      <c r="AM411" s="14"/>
      <c r="AN411" s="14" t="e">
        <f>IF('ETF Data'!$H$2,IF(ISNUMBER(AK411),AK411,NA()),NA())</f>
        <v>#N/A</v>
      </c>
      <c r="AO411" s="14"/>
      <c r="AP411" s="14"/>
      <c r="AQ411" s="14"/>
      <c r="AR411" s="14"/>
      <c r="AS411" s="14"/>
      <c r="AT411" s="14"/>
      <c r="AU411" s="14"/>
      <c r="AV411" s="14"/>
      <c r="AW411" s="14"/>
      <c r="AX411" s="14"/>
      <c r="AY411" s="14"/>
      <c r="AZ411" s="14"/>
      <c r="BA411" s="14"/>
      <c r="BB411" s="14"/>
      <c r="BC411" s="14"/>
      <c r="BD411" s="14"/>
      <c r="BE411" s="14"/>
      <c r="BF411" s="14"/>
      <c r="BG411" s="14"/>
      <c r="BH411" s="14"/>
      <c r="BI411" s="14"/>
    </row>
    <row r="412" spans="1:6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67"/>
      <c r="AK412" s="14"/>
      <c r="AL412" s="14"/>
      <c r="AM412" s="14"/>
      <c r="AN412" s="14" t="e">
        <f>IF('ETF Data'!$H$2,IF(ISNUMBER(AK412),AK412,NA()),NA())</f>
        <v>#N/A</v>
      </c>
      <c r="AO412" s="14"/>
      <c r="AP412" s="14"/>
      <c r="AQ412" s="14"/>
      <c r="AR412" s="14"/>
      <c r="AS412" s="14"/>
      <c r="AT412" s="14"/>
      <c r="AU412" s="14"/>
      <c r="AV412" s="14"/>
      <c r="AW412" s="14"/>
      <c r="AX412" s="14"/>
      <c r="AY412" s="14"/>
      <c r="AZ412" s="14"/>
      <c r="BA412" s="14"/>
      <c r="BB412" s="14"/>
      <c r="BC412" s="14"/>
      <c r="BD412" s="14"/>
      <c r="BE412" s="14"/>
      <c r="BF412" s="14"/>
      <c r="BG412" s="14"/>
      <c r="BH412" s="14"/>
      <c r="BI412" s="14"/>
    </row>
    <row r="413" spans="1:6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67"/>
      <c r="AK413" s="14"/>
      <c r="AL413" s="14"/>
      <c r="AM413" s="14"/>
      <c r="AN413" s="14" t="e">
        <f>IF('ETF Data'!$H$2,IF(ISNUMBER(AK413),AK413,NA()),NA())</f>
        <v>#N/A</v>
      </c>
      <c r="AO413" s="14"/>
      <c r="AP413" s="14"/>
      <c r="AQ413" s="14"/>
      <c r="AR413" s="14"/>
      <c r="AS413" s="14"/>
      <c r="AT413" s="14"/>
      <c r="AU413" s="14"/>
      <c r="AV413" s="14"/>
      <c r="AW413" s="14"/>
      <c r="AX413" s="14"/>
      <c r="AY413" s="14"/>
      <c r="AZ413" s="14"/>
      <c r="BA413" s="14"/>
      <c r="BB413" s="14"/>
      <c r="BC413" s="14"/>
      <c r="BD413" s="14"/>
      <c r="BE413" s="14"/>
      <c r="BF413" s="14"/>
      <c r="BG413" s="14"/>
      <c r="BH413" s="14"/>
      <c r="BI413" s="14"/>
    </row>
    <row r="414" spans="1:6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67"/>
      <c r="AK414" s="14"/>
      <c r="AL414" s="14"/>
      <c r="AM414" s="14"/>
      <c r="AN414" s="14" t="e">
        <f>IF('ETF Data'!$H$2,IF(ISNUMBER(AK414),AK414,NA()),NA())</f>
        <v>#N/A</v>
      </c>
      <c r="AO414" s="14"/>
      <c r="AP414" s="14"/>
      <c r="AQ414" s="14"/>
      <c r="AR414" s="14"/>
      <c r="AS414" s="14"/>
      <c r="AT414" s="14"/>
      <c r="AU414" s="14"/>
      <c r="AV414" s="14"/>
      <c r="AW414" s="14"/>
      <c r="AX414" s="14"/>
      <c r="AY414" s="14"/>
      <c r="AZ414" s="14"/>
      <c r="BA414" s="14"/>
      <c r="BB414" s="14"/>
      <c r="BC414" s="14"/>
      <c r="BD414" s="14"/>
      <c r="BE414" s="14"/>
      <c r="BF414" s="14"/>
      <c r="BG414" s="14"/>
      <c r="BH414" s="14"/>
      <c r="BI414" s="14"/>
    </row>
    <row r="415" spans="1:6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67"/>
      <c r="AK415" s="14"/>
      <c r="AL415" s="14"/>
      <c r="AM415" s="14"/>
      <c r="AN415" s="14" t="e">
        <f>IF('ETF Data'!$H$2,IF(ISNUMBER(AK415),AK415,NA()),NA())</f>
        <v>#N/A</v>
      </c>
      <c r="AO415" s="14"/>
      <c r="AP415" s="14"/>
      <c r="AQ415" s="14"/>
      <c r="AR415" s="14"/>
      <c r="AS415" s="14"/>
      <c r="AT415" s="14"/>
      <c r="AU415" s="14"/>
      <c r="AV415" s="14"/>
      <c r="AW415" s="14"/>
      <c r="AX415" s="14"/>
      <c r="AY415" s="14"/>
      <c r="AZ415" s="14"/>
      <c r="BA415" s="14"/>
      <c r="BB415" s="14"/>
      <c r="BC415" s="14"/>
      <c r="BD415" s="14"/>
      <c r="BE415" s="14"/>
      <c r="BF415" s="14"/>
      <c r="BG415" s="14"/>
      <c r="BH415" s="14"/>
      <c r="BI415" s="14"/>
    </row>
    <row r="416" spans="1:6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67"/>
      <c r="AK416" s="14"/>
      <c r="AL416" s="14"/>
      <c r="AM416" s="14"/>
      <c r="AN416" s="14" t="e">
        <f>IF('ETF Data'!$H$2,IF(ISNUMBER(AK416),AK416,NA()),NA())</f>
        <v>#N/A</v>
      </c>
      <c r="AO416" s="14"/>
      <c r="AP416" s="14"/>
      <c r="AQ416" s="14"/>
      <c r="AR416" s="14"/>
      <c r="AS416" s="14"/>
      <c r="AT416" s="14"/>
      <c r="AU416" s="14"/>
      <c r="AV416" s="14"/>
      <c r="AW416" s="14"/>
      <c r="AX416" s="14"/>
      <c r="AY416" s="14"/>
      <c r="AZ416" s="14"/>
      <c r="BA416" s="14"/>
      <c r="BB416" s="14"/>
      <c r="BC416" s="14"/>
      <c r="BD416" s="14"/>
      <c r="BE416" s="14"/>
      <c r="BF416" s="14"/>
      <c r="BG416" s="14"/>
      <c r="BH416" s="14"/>
      <c r="BI416" s="14"/>
    </row>
    <row r="417" spans="1:6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67"/>
      <c r="AK417" s="14"/>
      <c r="AL417" s="14"/>
      <c r="AM417" s="14"/>
      <c r="AN417" s="14" t="e">
        <f>IF('ETF Data'!$H$2,IF(ISNUMBER(AK417),AK417,NA()),NA())</f>
        <v>#N/A</v>
      </c>
      <c r="AO417" s="14"/>
      <c r="AP417" s="14"/>
      <c r="AQ417" s="14"/>
      <c r="AR417" s="14"/>
      <c r="AS417" s="14"/>
      <c r="AT417" s="14"/>
      <c r="AU417" s="14"/>
      <c r="AV417" s="14"/>
      <c r="AW417" s="14"/>
      <c r="AX417" s="14"/>
      <c r="AY417" s="14"/>
      <c r="AZ417" s="14"/>
      <c r="BA417" s="14"/>
      <c r="BB417" s="14"/>
      <c r="BC417" s="14"/>
      <c r="BD417" s="14"/>
      <c r="BE417" s="14"/>
      <c r="BF417" s="14"/>
      <c r="BG417" s="14"/>
      <c r="BH417" s="14"/>
      <c r="BI417" s="14"/>
    </row>
    <row r="418" spans="1:6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67"/>
      <c r="AK418" s="14"/>
      <c r="AL418" s="14"/>
      <c r="AM418" s="14"/>
      <c r="AN418" s="14" t="e">
        <f>IF('ETF Data'!$H$2,IF(ISNUMBER(AK418),AK418,NA()),NA())</f>
        <v>#N/A</v>
      </c>
      <c r="AO418" s="14"/>
      <c r="AP418" s="14"/>
      <c r="AQ418" s="14"/>
      <c r="AR418" s="14"/>
      <c r="AS418" s="14"/>
      <c r="AT418" s="14"/>
      <c r="AU418" s="14"/>
      <c r="AV418" s="14"/>
      <c r="AW418" s="14"/>
      <c r="AX418" s="14"/>
      <c r="AY418" s="14"/>
      <c r="AZ418" s="14"/>
      <c r="BA418" s="14"/>
      <c r="BB418" s="14"/>
      <c r="BC418" s="14"/>
      <c r="BD418" s="14"/>
      <c r="BE418" s="14"/>
      <c r="BF418" s="14"/>
      <c r="BG418" s="14"/>
      <c r="BH418" s="14"/>
      <c r="BI418" s="14"/>
    </row>
    <row r="419" spans="1:6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67"/>
      <c r="AK419" s="14"/>
      <c r="AL419" s="14"/>
      <c r="AM419" s="14"/>
      <c r="AN419" s="14" t="e">
        <f>IF('ETF Data'!$H$2,IF(ISNUMBER(AK419),AK419,NA()),NA())</f>
        <v>#N/A</v>
      </c>
      <c r="AO419" s="14"/>
      <c r="AP419" s="14"/>
      <c r="AQ419" s="14"/>
      <c r="AR419" s="14"/>
      <c r="AS419" s="14"/>
      <c r="AT419" s="14"/>
      <c r="AU419" s="14"/>
      <c r="AV419" s="14"/>
      <c r="AW419" s="14"/>
      <c r="AX419" s="14"/>
      <c r="AY419" s="14"/>
      <c r="AZ419" s="14"/>
      <c r="BA419" s="14"/>
      <c r="BB419" s="14"/>
      <c r="BC419" s="14"/>
      <c r="BD419" s="14"/>
      <c r="BE419" s="14"/>
      <c r="BF419" s="14"/>
      <c r="BG419" s="14"/>
      <c r="BH419" s="14"/>
      <c r="BI419" s="14"/>
    </row>
    <row r="420" spans="1:6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67"/>
      <c r="AK420" s="14"/>
      <c r="AL420" s="14"/>
      <c r="AM420" s="14"/>
      <c r="AN420" s="14" t="e">
        <f>IF('ETF Data'!$H$2,IF(ISNUMBER(AK420),AK420,NA()),NA())</f>
        <v>#N/A</v>
      </c>
      <c r="AO420" s="14"/>
      <c r="AP420" s="14"/>
      <c r="AQ420" s="14"/>
      <c r="AR420" s="14"/>
      <c r="AS420" s="14"/>
      <c r="AT420" s="14"/>
      <c r="AU420" s="14"/>
      <c r="AV420" s="14"/>
      <c r="AW420" s="14"/>
      <c r="AX420" s="14"/>
      <c r="AY420" s="14"/>
      <c r="AZ420" s="14"/>
      <c r="BA420" s="14"/>
      <c r="BB420" s="14"/>
      <c r="BC420" s="14"/>
      <c r="BD420" s="14"/>
      <c r="BE420" s="14"/>
      <c r="BF420" s="14"/>
      <c r="BG420" s="14"/>
      <c r="BH420" s="14"/>
      <c r="BI420" s="14"/>
    </row>
    <row r="421" spans="1:6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67"/>
      <c r="AK421" s="14"/>
      <c r="AL421" s="14"/>
      <c r="AM421" s="14"/>
      <c r="AN421" s="14" t="e">
        <f>IF('ETF Data'!$H$2,IF(ISNUMBER(AK421),AK421,NA()),NA())</f>
        <v>#N/A</v>
      </c>
      <c r="AO421" s="14"/>
      <c r="AP421" s="14"/>
      <c r="AQ421" s="14"/>
      <c r="AR421" s="14"/>
      <c r="AS421" s="14"/>
      <c r="AT421" s="14"/>
      <c r="AU421" s="14"/>
      <c r="AV421" s="14"/>
      <c r="AW421" s="14"/>
      <c r="AX421" s="14"/>
      <c r="AY421" s="14"/>
      <c r="AZ421" s="14"/>
      <c r="BA421" s="14"/>
      <c r="BB421" s="14"/>
      <c r="BC421" s="14"/>
      <c r="BD421" s="14"/>
      <c r="BE421" s="14"/>
      <c r="BF421" s="14"/>
      <c r="BG421" s="14"/>
      <c r="BH421" s="14"/>
      <c r="BI421" s="14"/>
    </row>
    <row r="422" spans="1:6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67"/>
      <c r="AK422" s="14"/>
      <c r="AL422" s="14"/>
      <c r="AM422" s="14"/>
      <c r="AN422" s="14" t="e">
        <f>IF('ETF Data'!$H$2,IF(ISNUMBER(AK422),AK422,NA()),NA())</f>
        <v>#N/A</v>
      </c>
      <c r="AO422" s="14"/>
      <c r="AP422" s="14"/>
      <c r="AQ422" s="14"/>
      <c r="AR422" s="14"/>
      <c r="AS422" s="14"/>
      <c r="AT422" s="14"/>
      <c r="AU422" s="14"/>
      <c r="AV422" s="14"/>
      <c r="AW422" s="14"/>
      <c r="AX422" s="14"/>
      <c r="AY422" s="14"/>
      <c r="AZ422" s="14"/>
      <c r="BA422" s="14"/>
      <c r="BB422" s="14"/>
      <c r="BC422" s="14"/>
      <c r="BD422" s="14"/>
      <c r="BE422" s="14"/>
      <c r="BF422" s="14"/>
      <c r="BG422" s="14"/>
      <c r="BH422" s="14"/>
      <c r="BI422" s="14"/>
    </row>
    <row r="423" spans="1:6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67"/>
      <c r="AK423" s="14"/>
      <c r="AL423" s="14"/>
      <c r="AM423" s="14"/>
      <c r="AN423" s="14" t="e">
        <f>IF('ETF Data'!$H$2,IF(ISNUMBER(AK423),AK423,NA()),NA())</f>
        <v>#N/A</v>
      </c>
      <c r="AO423" s="14"/>
      <c r="AP423" s="14"/>
      <c r="AQ423" s="14"/>
      <c r="AR423" s="14"/>
      <c r="AS423" s="14"/>
      <c r="AT423" s="14"/>
      <c r="AU423" s="14"/>
      <c r="AV423" s="14"/>
      <c r="AW423" s="14"/>
      <c r="AX423" s="14"/>
      <c r="AY423" s="14"/>
      <c r="AZ423" s="14"/>
      <c r="BA423" s="14"/>
      <c r="BB423" s="14"/>
      <c r="BC423" s="14"/>
      <c r="BD423" s="14"/>
      <c r="BE423" s="14"/>
      <c r="BF423" s="14"/>
      <c r="BG423" s="14"/>
      <c r="BH423" s="14"/>
      <c r="BI423" s="14"/>
    </row>
    <row r="424" spans="1:6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67"/>
      <c r="AK424" s="14"/>
      <c r="AL424" s="14"/>
      <c r="AM424" s="14"/>
      <c r="AN424" s="14" t="e">
        <f>IF('ETF Data'!$H$2,IF(ISNUMBER(AK424),AK424,NA()),NA())</f>
        <v>#N/A</v>
      </c>
      <c r="AO424" s="14"/>
      <c r="AP424" s="14"/>
      <c r="AQ424" s="14"/>
      <c r="AR424" s="14"/>
      <c r="AS424" s="14"/>
      <c r="AT424" s="14"/>
      <c r="AU424" s="14"/>
      <c r="AV424" s="14"/>
      <c r="AW424" s="14"/>
      <c r="AX424" s="14"/>
      <c r="AY424" s="14"/>
      <c r="AZ424" s="14"/>
      <c r="BA424" s="14"/>
      <c r="BB424" s="14"/>
      <c r="BC424" s="14"/>
      <c r="BD424" s="14"/>
      <c r="BE424" s="14"/>
      <c r="BF424" s="14"/>
      <c r="BG424" s="14"/>
      <c r="BH424" s="14"/>
      <c r="BI424" s="14"/>
    </row>
    <row r="425" spans="1:6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67"/>
      <c r="AK425" s="14"/>
      <c r="AL425" s="14"/>
      <c r="AM425" s="14"/>
      <c r="AN425" s="14" t="e">
        <f>IF('ETF Data'!$H$2,IF(ISNUMBER(AK425),AK425,NA()),NA())</f>
        <v>#N/A</v>
      </c>
      <c r="AO425" s="14"/>
      <c r="AP425" s="14"/>
      <c r="AQ425" s="14"/>
      <c r="AR425" s="14"/>
      <c r="AS425" s="14"/>
      <c r="AT425" s="14"/>
      <c r="AU425" s="14"/>
      <c r="AV425" s="14"/>
      <c r="AW425" s="14"/>
      <c r="AX425" s="14"/>
      <c r="AY425" s="14"/>
      <c r="AZ425" s="14"/>
      <c r="BA425" s="14"/>
      <c r="BB425" s="14"/>
      <c r="BC425" s="14"/>
      <c r="BD425" s="14"/>
      <c r="BE425" s="14"/>
      <c r="BF425" s="14"/>
      <c r="BG425" s="14"/>
      <c r="BH425" s="14"/>
      <c r="BI425" s="14"/>
    </row>
    <row r="426" spans="1:6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67"/>
      <c r="AK426" s="14"/>
      <c r="AL426" s="14"/>
      <c r="AM426" s="14"/>
      <c r="AN426" s="14" t="e">
        <f>IF('ETF Data'!$H$2,IF(ISNUMBER(AK426),AK426,NA()),NA())</f>
        <v>#N/A</v>
      </c>
      <c r="AO426" s="14"/>
      <c r="AP426" s="14"/>
      <c r="AQ426" s="14"/>
      <c r="AR426" s="14"/>
      <c r="AS426" s="14"/>
      <c r="AT426" s="14"/>
      <c r="AU426" s="14"/>
      <c r="AV426" s="14"/>
      <c r="AW426" s="14"/>
      <c r="AX426" s="14"/>
      <c r="AY426" s="14"/>
      <c r="AZ426" s="14"/>
      <c r="BA426" s="14"/>
      <c r="BB426" s="14"/>
      <c r="BC426" s="14"/>
      <c r="BD426" s="14"/>
      <c r="BE426" s="14"/>
      <c r="BF426" s="14"/>
      <c r="BG426" s="14"/>
      <c r="BH426" s="14"/>
      <c r="BI426" s="14"/>
    </row>
    <row r="427" spans="1:6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67"/>
      <c r="AK427" s="14"/>
      <c r="AL427" s="14"/>
      <c r="AM427" s="14"/>
      <c r="AN427" s="14" t="e">
        <f>IF('ETF Data'!$H$2,IF(ISNUMBER(AK427),AK427,NA()),NA())</f>
        <v>#N/A</v>
      </c>
      <c r="AO427" s="14"/>
      <c r="AP427" s="14"/>
      <c r="AQ427" s="14"/>
      <c r="AR427" s="14"/>
      <c r="AS427" s="14"/>
      <c r="AT427" s="14"/>
      <c r="AU427" s="14"/>
      <c r="AV427" s="14"/>
      <c r="AW427" s="14"/>
      <c r="AX427" s="14"/>
      <c r="AY427" s="14"/>
      <c r="AZ427" s="14"/>
      <c r="BA427" s="14"/>
      <c r="BB427" s="14"/>
      <c r="BC427" s="14"/>
      <c r="BD427" s="14"/>
      <c r="BE427" s="14"/>
      <c r="BF427" s="14"/>
      <c r="BG427" s="14"/>
      <c r="BH427" s="14"/>
      <c r="BI427" s="14"/>
    </row>
    <row r="428" spans="1:6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67"/>
      <c r="AK428" s="14"/>
      <c r="AL428" s="14"/>
      <c r="AM428" s="14"/>
      <c r="AN428" s="14" t="e">
        <f>IF('ETF Data'!$H$2,IF(ISNUMBER(AK428),AK428,NA()),NA())</f>
        <v>#N/A</v>
      </c>
      <c r="AO428" s="14"/>
      <c r="AP428" s="14"/>
      <c r="AQ428" s="14"/>
      <c r="AR428" s="14"/>
      <c r="AS428" s="14"/>
      <c r="AT428" s="14"/>
      <c r="AU428" s="14"/>
      <c r="AV428" s="14"/>
      <c r="AW428" s="14"/>
      <c r="AX428" s="14"/>
      <c r="AY428" s="14"/>
      <c r="AZ428" s="14"/>
      <c r="BA428" s="14"/>
      <c r="BB428" s="14"/>
      <c r="BC428" s="14"/>
      <c r="BD428" s="14"/>
      <c r="BE428" s="14"/>
      <c r="BF428" s="14"/>
      <c r="BG428" s="14"/>
      <c r="BH428" s="14"/>
      <c r="BI428" s="14"/>
    </row>
    <row r="429" spans="1:6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67"/>
      <c r="AK429" s="14"/>
      <c r="AL429" s="14"/>
      <c r="AM429" s="14"/>
      <c r="AN429" s="14" t="e">
        <f>IF('ETF Data'!$H$2,IF(ISNUMBER(AK429),AK429,NA()),NA())</f>
        <v>#N/A</v>
      </c>
      <c r="AO429" s="14"/>
      <c r="AP429" s="14"/>
      <c r="AQ429" s="14"/>
      <c r="AR429" s="14"/>
      <c r="AS429" s="14"/>
      <c r="AT429" s="14"/>
      <c r="AU429" s="14"/>
      <c r="AV429" s="14"/>
      <c r="AW429" s="14"/>
      <c r="AX429" s="14"/>
      <c r="AY429" s="14"/>
      <c r="AZ429" s="14"/>
      <c r="BA429" s="14"/>
      <c r="BB429" s="14"/>
      <c r="BC429" s="14"/>
      <c r="BD429" s="14"/>
      <c r="BE429" s="14"/>
      <c r="BF429" s="14"/>
      <c r="BG429" s="14"/>
      <c r="BH429" s="14"/>
      <c r="BI429" s="14"/>
    </row>
    <row r="430" spans="1:6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67"/>
      <c r="AK430" s="14"/>
      <c r="AL430" s="14"/>
      <c r="AM430" s="14"/>
      <c r="AN430" s="14" t="e">
        <f>IF('ETF Data'!$H$2,IF(ISNUMBER(AK430),AK430,NA()),NA())</f>
        <v>#N/A</v>
      </c>
      <c r="AO430" s="14"/>
      <c r="AP430" s="14"/>
      <c r="AQ430" s="14"/>
      <c r="AR430" s="14"/>
      <c r="AS430" s="14"/>
      <c r="AT430" s="14"/>
      <c r="AU430" s="14"/>
      <c r="AV430" s="14"/>
      <c r="AW430" s="14"/>
      <c r="AX430" s="14"/>
      <c r="AY430" s="14"/>
      <c r="AZ430" s="14"/>
      <c r="BA430" s="14"/>
      <c r="BB430" s="14"/>
      <c r="BC430" s="14"/>
      <c r="BD430" s="14"/>
      <c r="BE430" s="14"/>
      <c r="BF430" s="14"/>
      <c r="BG430" s="14"/>
      <c r="BH430" s="14"/>
      <c r="BI430" s="14"/>
    </row>
    <row r="431" spans="1:6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67"/>
      <c r="AK431" s="14"/>
      <c r="AL431" s="14"/>
      <c r="AM431" s="14"/>
      <c r="AN431" s="14" t="e">
        <f>IF('ETF Data'!$H$2,IF(ISNUMBER(AK431),AK431,NA()),NA())</f>
        <v>#N/A</v>
      </c>
      <c r="AO431" s="14"/>
      <c r="AP431" s="14"/>
      <c r="AQ431" s="14"/>
      <c r="AR431" s="14"/>
      <c r="AS431" s="14"/>
      <c r="AT431" s="14"/>
      <c r="AU431" s="14"/>
      <c r="AV431" s="14"/>
      <c r="AW431" s="14"/>
      <c r="AX431" s="14"/>
      <c r="AY431" s="14"/>
      <c r="AZ431" s="14"/>
      <c r="BA431" s="14"/>
      <c r="BB431" s="14"/>
      <c r="BC431" s="14"/>
      <c r="BD431" s="14"/>
      <c r="BE431" s="14"/>
      <c r="BF431" s="14"/>
      <c r="BG431" s="14"/>
      <c r="BH431" s="14"/>
      <c r="BI431" s="14"/>
    </row>
    <row r="432" spans="1:6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67"/>
      <c r="AK432" s="14"/>
      <c r="AL432" s="14"/>
      <c r="AM432" s="14"/>
      <c r="AN432" s="14" t="e">
        <f>IF('ETF Data'!$H$2,IF(ISNUMBER(AK432),AK432,NA()),NA())</f>
        <v>#N/A</v>
      </c>
      <c r="AO432" s="14"/>
      <c r="AP432" s="14"/>
      <c r="AQ432" s="14"/>
      <c r="AR432" s="14"/>
      <c r="AS432" s="14"/>
      <c r="AT432" s="14"/>
      <c r="AU432" s="14"/>
      <c r="AV432" s="14"/>
      <c r="AW432" s="14"/>
      <c r="AX432" s="14"/>
      <c r="AY432" s="14"/>
      <c r="AZ432" s="14"/>
      <c r="BA432" s="14"/>
      <c r="BB432" s="14"/>
      <c r="BC432" s="14"/>
      <c r="BD432" s="14"/>
      <c r="BE432" s="14"/>
      <c r="BF432" s="14"/>
      <c r="BG432" s="14"/>
      <c r="BH432" s="14"/>
      <c r="BI432" s="14"/>
    </row>
    <row r="433" spans="1:6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67"/>
      <c r="AK433" s="14"/>
      <c r="AL433" s="14"/>
      <c r="AM433" s="14"/>
      <c r="AN433" s="14" t="e">
        <f>IF('ETF Data'!$H$2,IF(ISNUMBER(AK433),AK433,NA()),NA())</f>
        <v>#N/A</v>
      </c>
      <c r="AO433" s="14"/>
      <c r="AP433" s="14"/>
      <c r="AQ433" s="14"/>
      <c r="AR433" s="14"/>
      <c r="AS433" s="14"/>
      <c r="AT433" s="14"/>
      <c r="AU433" s="14"/>
      <c r="AV433" s="14"/>
      <c r="AW433" s="14"/>
      <c r="AX433" s="14"/>
      <c r="AY433" s="14"/>
      <c r="AZ433" s="14"/>
      <c r="BA433" s="14"/>
      <c r="BB433" s="14"/>
      <c r="BC433" s="14"/>
      <c r="BD433" s="14"/>
      <c r="BE433" s="14"/>
      <c r="BF433" s="14"/>
      <c r="BG433" s="14"/>
      <c r="BH433" s="14"/>
      <c r="BI433" s="14"/>
    </row>
    <row r="434" spans="1:6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67"/>
      <c r="AK434" s="14"/>
      <c r="AL434" s="14"/>
      <c r="AM434" s="14"/>
      <c r="AN434" s="14" t="e">
        <f>IF('ETF Data'!$H$2,IF(ISNUMBER(AK434),AK434,NA()),NA())</f>
        <v>#N/A</v>
      </c>
      <c r="AO434" s="14"/>
      <c r="AP434" s="14"/>
      <c r="AQ434" s="14"/>
      <c r="AR434" s="14"/>
      <c r="AS434" s="14"/>
      <c r="AT434" s="14"/>
      <c r="AU434" s="14"/>
      <c r="AV434" s="14"/>
      <c r="AW434" s="14"/>
      <c r="AX434" s="14"/>
      <c r="AY434" s="14"/>
      <c r="AZ434" s="14"/>
      <c r="BA434" s="14"/>
      <c r="BB434" s="14"/>
      <c r="BC434" s="14"/>
      <c r="BD434" s="14"/>
      <c r="BE434" s="14"/>
      <c r="BF434" s="14"/>
      <c r="BG434" s="14"/>
      <c r="BH434" s="14"/>
      <c r="BI434" s="14"/>
    </row>
    <row r="435" spans="1:6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67"/>
      <c r="AK435" s="14"/>
      <c r="AL435" s="14"/>
      <c r="AM435" s="14"/>
      <c r="AN435" s="14" t="e">
        <f>IF('ETF Data'!$H$2,IF(ISNUMBER(AK435),AK435,NA()),NA())</f>
        <v>#N/A</v>
      </c>
      <c r="AO435" s="14"/>
      <c r="AP435" s="14"/>
      <c r="AQ435" s="14"/>
      <c r="AR435" s="14"/>
      <c r="AS435" s="14"/>
      <c r="AT435" s="14"/>
      <c r="AU435" s="14"/>
      <c r="AV435" s="14"/>
      <c r="AW435" s="14"/>
      <c r="AX435" s="14"/>
      <c r="AY435" s="14"/>
      <c r="AZ435" s="14"/>
      <c r="BA435" s="14"/>
      <c r="BB435" s="14"/>
      <c r="BC435" s="14"/>
      <c r="BD435" s="14"/>
      <c r="BE435" s="14"/>
      <c r="BF435" s="14"/>
      <c r="BG435" s="14"/>
      <c r="BH435" s="14"/>
      <c r="BI435" s="14"/>
    </row>
    <row r="436" spans="1:6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67"/>
      <c r="AK436" s="14"/>
      <c r="AL436" s="14"/>
      <c r="AM436" s="14"/>
      <c r="AN436" s="14" t="e">
        <f>IF('ETF Data'!$H$2,IF(ISNUMBER(AK436),AK436,NA()),NA())</f>
        <v>#N/A</v>
      </c>
      <c r="AO436" s="14"/>
      <c r="AP436" s="14"/>
      <c r="AQ436" s="14"/>
      <c r="AR436" s="14"/>
      <c r="AS436" s="14"/>
      <c r="AT436" s="14"/>
      <c r="AU436" s="14"/>
      <c r="AV436" s="14"/>
      <c r="AW436" s="14"/>
      <c r="AX436" s="14"/>
      <c r="AY436" s="14"/>
      <c r="AZ436" s="14"/>
      <c r="BA436" s="14"/>
      <c r="BB436" s="14"/>
      <c r="BC436" s="14"/>
      <c r="BD436" s="14"/>
      <c r="BE436" s="14"/>
      <c r="BF436" s="14"/>
      <c r="BG436" s="14"/>
      <c r="BH436" s="14"/>
      <c r="BI436" s="14"/>
    </row>
    <row r="437" spans="1:6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67"/>
      <c r="AK437" s="14"/>
      <c r="AL437" s="14"/>
      <c r="AM437" s="14"/>
      <c r="AN437" s="14" t="e">
        <f>IF('ETF Data'!$H$2,IF(ISNUMBER(AK437),AK437,NA()),NA())</f>
        <v>#N/A</v>
      </c>
      <c r="AO437" s="14"/>
      <c r="AP437" s="14"/>
      <c r="AQ437" s="14"/>
      <c r="AR437" s="14"/>
      <c r="AS437" s="14"/>
      <c r="AT437" s="14"/>
      <c r="AU437" s="14"/>
      <c r="AV437" s="14"/>
      <c r="AW437" s="14"/>
      <c r="AX437" s="14"/>
      <c r="AY437" s="14"/>
      <c r="AZ437" s="14"/>
      <c r="BA437" s="14"/>
      <c r="BB437" s="14"/>
      <c r="BC437" s="14"/>
      <c r="BD437" s="14"/>
      <c r="BE437" s="14"/>
      <c r="BF437" s="14"/>
      <c r="BG437" s="14"/>
      <c r="BH437" s="14"/>
      <c r="BI437" s="14"/>
    </row>
    <row r="438" spans="1:6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67"/>
      <c r="AK438" s="14"/>
      <c r="AL438" s="14"/>
      <c r="AM438" s="14"/>
      <c r="AN438" s="14" t="e">
        <f>IF('ETF Data'!$H$2,IF(ISNUMBER(AK438),AK438,NA()),NA())</f>
        <v>#N/A</v>
      </c>
      <c r="AO438" s="14"/>
      <c r="AP438" s="14"/>
      <c r="AQ438" s="14"/>
      <c r="AR438" s="14"/>
      <c r="AS438" s="14"/>
      <c r="AT438" s="14"/>
      <c r="AU438" s="14"/>
      <c r="AV438" s="14"/>
      <c r="AW438" s="14"/>
      <c r="AX438" s="14"/>
      <c r="AY438" s="14"/>
      <c r="AZ438" s="14"/>
      <c r="BA438" s="14"/>
      <c r="BB438" s="14"/>
      <c r="BC438" s="14"/>
      <c r="BD438" s="14"/>
      <c r="BE438" s="14"/>
      <c r="BF438" s="14"/>
      <c r="BG438" s="14"/>
      <c r="BH438" s="14"/>
      <c r="BI438" s="14"/>
    </row>
    <row r="439" spans="1:6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67"/>
      <c r="AK439" s="14"/>
      <c r="AL439" s="14"/>
      <c r="AM439" s="14"/>
      <c r="AN439" s="14" t="e">
        <f>IF('ETF Data'!$H$2,IF(ISNUMBER(AK439),AK439,NA()),NA())</f>
        <v>#N/A</v>
      </c>
      <c r="AO439" s="14"/>
      <c r="AP439" s="14"/>
      <c r="AQ439" s="14"/>
      <c r="AR439" s="14"/>
      <c r="AS439" s="14"/>
      <c r="AT439" s="14"/>
      <c r="AU439" s="14"/>
      <c r="AV439" s="14"/>
      <c r="AW439" s="14"/>
      <c r="AX439" s="14"/>
      <c r="AY439" s="14"/>
      <c r="AZ439" s="14"/>
      <c r="BA439" s="14"/>
      <c r="BB439" s="14"/>
      <c r="BC439" s="14"/>
      <c r="BD439" s="14"/>
      <c r="BE439" s="14"/>
      <c r="BF439" s="14"/>
      <c r="BG439" s="14"/>
      <c r="BH439" s="14"/>
      <c r="BI439" s="14"/>
    </row>
    <row r="440" spans="1:6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67"/>
      <c r="AK440" s="14"/>
      <c r="AL440" s="14"/>
      <c r="AM440" s="14"/>
      <c r="AN440" s="14" t="e">
        <f>IF('ETF Data'!$H$2,IF(ISNUMBER(AK440),AK440,NA()),NA())</f>
        <v>#N/A</v>
      </c>
      <c r="AO440" s="14"/>
      <c r="AP440" s="14"/>
      <c r="AQ440" s="14"/>
      <c r="AR440" s="14"/>
      <c r="AS440" s="14"/>
      <c r="AT440" s="14"/>
      <c r="AU440" s="14"/>
      <c r="AV440" s="14"/>
      <c r="AW440" s="14"/>
      <c r="AX440" s="14"/>
      <c r="AY440" s="14"/>
      <c r="AZ440" s="14"/>
      <c r="BA440" s="14"/>
      <c r="BB440" s="14"/>
      <c r="BC440" s="14"/>
      <c r="BD440" s="14"/>
      <c r="BE440" s="14"/>
      <c r="BF440" s="14"/>
      <c r="BG440" s="14"/>
      <c r="BH440" s="14"/>
      <c r="BI440" s="14"/>
    </row>
    <row r="441" spans="1:6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67"/>
      <c r="AK441" s="14"/>
      <c r="AL441" s="14"/>
      <c r="AM441" s="14"/>
      <c r="AN441" s="14" t="e">
        <f>IF('ETF Data'!$H$2,IF(ISNUMBER(AK441),AK441,NA()),NA())</f>
        <v>#N/A</v>
      </c>
      <c r="AO441" s="14"/>
      <c r="AP441" s="14"/>
      <c r="AQ441" s="14"/>
      <c r="AR441" s="14"/>
      <c r="AS441" s="14"/>
      <c r="AT441" s="14"/>
      <c r="AU441" s="14"/>
      <c r="AV441" s="14"/>
      <c r="AW441" s="14"/>
      <c r="AX441" s="14"/>
      <c r="AY441" s="14"/>
      <c r="AZ441" s="14"/>
      <c r="BA441" s="14"/>
      <c r="BB441" s="14"/>
      <c r="BC441" s="14"/>
      <c r="BD441" s="14"/>
      <c r="BE441" s="14"/>
      <c r="BF441" s="14"/>
      <c r="BG441" s="14"/>
      <c r="BH441" s="14"/>
      <c r="BI441" s="14"/>
    </row>
    <row r="442" spans="1:6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67"/>
      <c r="AK442" s="14"/>
      <c r="AL442" s="14"/>
      <c r="AM442" s="14"/>
      <c r="AN442" s="14" t="e">
        <f>IF('ETF Data'!$H$2,IF(ISNUMBER(AK442),AK442,NA()),NA())</f>
        <v>#N/A</v>
      </c>
      <c r="AO442" s="14"/>
      <c r="AP442" s="14"/>
      <c r="AQ442" s="14"/>
      <c r="AR442" s="14"/>
      <c r="AS442" s="14"/>
      <c r="AT442" s="14"/>
      <c r="AU442" s="14"/>
      <c r="AV442" s="14"/>
      <c r="AW442" s="14"/>
      <c r="AX442" s="14"/>
      <c r="AY442" s="14"/>
      <c r="AZ442" s="14"/>
      <c r="BA442" s="14"/>
      <c r="BB442" s="14"/>
      <c r="BC442" s="14"/>
      <c r="BD442" s="14"/>
      <c r="BE442" s="14"/>
      <c r="BF442" s="14"/>
      <c r="BG442" s="14"/>
      <c r="BH442" s="14"/>
      <c r="BI442" s="14"/>
    </row>
    <row r="443" spans="1:6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67"/>
      <c r="AK443" s="14"/>
      <c r="AL443" s="14"/>
      <c r="AM443" s="14"/>
      <c r="AN443" s="14" t="e">
        <f>IF('ETF Data'!$H$2,IF(ISNUMBER(AK443),AK443,NA()),NA())</f>
        <v>#N/A</v>
      </c>
      <c r="AO443" s="14"/>
      <c r="AP443" s="14"/>
      <c r="AQ443" s="14"/>
      <c r="AR443" s="14"/>
      <c r="AS443" s="14"/>
      <c r="AT443" s="14"/>
      <c r="AU443" s="14"/>
      <c r="AV443" s="14"/>
      <c r="AW443" s="14"/>
      <c r="AX443" s="14"/>
      <c r="AY443" s="14"/>
      <c r="AZ443" s="14"/>
      <c r="BA443" s="14"/>
      <c r="BB443" s="14"/>
      <c r="BC443" s="14"/>
      <c r="BD443" s="14"/>
      <c r="BE443" s="14"/>
      <c r="BF443" s="14"/>
      <c r="BG443" s="14"/>
      <c r="BH443" s="14"/>
      <c r="BI443" s="14"/>
    </row>
    <row r="444" spans="1:6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67"/>
      <c r="AK444" s="14"/>
      <c r="AL444" s="14"/>
      <c r="AM444" s="14"/>
      <c r="AN444" s="14" t="e">
        <f>IF('ETF Data'!$H$2,IF(ISNUMBER(AK444),AK444,NA()),NA())</f>
        <v>#N/A</v>
      </c>
      <c r="AO444" s="14"/>
      <c r="AP444" s="14"/>
      <c r="AQ444" s="14"/>
      <c r="AR444" s="14"/>
      <c r="AS444" s="14"/>
      <c r="AT444" s="14"/>
      <c r="AU444" s="14"/>
      <c r="AV444" s="14"/>
      <c r="AW444" s="14"/>
      <c r="AX444" s="14"/>
      <c r="AY444" s="14"/>
      <c r="AZ444" s="14"/>
      <c r="BA444" s="14"/>
      <c r="BB444" s="14"/>
      <c r="BC444" s="14"/>
      <c r="BD444" s="14"/>
      <c r="BE444" s="14"/>
      <c r="BF444" s="14"/>
      <c r="BG444" s="14"/>
      <c r="BH444" s="14"/>
      <c r="BI444" s="14"/>
    </row>
    <row r="445" spans="1:6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67"/>
      <c r="AK445" s="14"/>
      <c r="AL445" s="14"/>
      <c r="AM445" s="14"/>
      <c r="AN445" s="14" t="e">
        <f>IF('ETF Data'!$H$2,IF(ISNUMBER(AK445),AK445,NA()),NA())</f>
        <v>#N/A</v>
      </c>
      <c r="AO445" s="14"/>
      <c r="AP445" s="14"/>
      <c r="AQ445" s="14"/>
      <c r="AR445" s="14"/>
      <c r="AS445" s="14"/>
      <c r="AT445" s="14"/>
      <c r="AU445" s="14"/>
      <c r="AV445" s="14"/>
      <c r="AW445" s="14"/>
      <c r="AX445" s="14"/>
      <c r="AY445" s="14"/>
      <c r="AZ445" s="14"/>
      <c r="BA445" s="14"/>
      <c r="BB445" s="14"/>
      <c r="BC445" s="14"/>
      <c r="BD445" s="14"/>
      <c r="BE445" s="14"/>
      <c r="BF445" s="14"/>
      <c r="BG445" s="14"/>
      <c r="BH445" s="14"/>
      <c r="BI445" s="14"/>
    </row>
    <row r="446" spans="1:6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67"/>
      <c r="AK446" s="14"/>
      <c r="AL446" s="14"/>
      <c r="AM446" s="14"/>
      <c r="AN446" s="14" t="e">
        <f>IF('ETF Data'!$H$2,IF(ISNUMBER(AK446),AK446,NA()),NA())</f>
        <v>#N/A</v>
      </c>
      <c r="AO446" s="14"/>
      <c r="AP446" s="14"/>
      <c r="AQ446" s="14"/>
      <c r="AR446" s="14"/>
      <c r="AS446" s="14"/>
      <c r="AT446" s="14"/>
      <c r="AU446" s="14"/>
      <c r="AV446" s="14"/>
      <c r="AW446" s="14"/>
      <c r="AX446" s="14"/>
      <c r="AY446" s="14"/>
      <c r="AZ446" s="14"/>
      <c r="BA446" s="14"/>
      <c r="BB446" s="14"/>
      <c r="BC446" s="14"/>
      <c r="BD446" s="14"/>
      <c r="BE446" s="14"/>
      <c r="BF446" s="14"/>
      <c r="BG446" s="14"/>
      <c r="BH446" s="14"/>
      <c r="BI446" s="14"/>
    </row>
    <row r="447" spans="1:6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67"/>
      <c r="AK447" s="14"/>
      <c r="AL447" s="14"/>
      <c r="AM447" s="14"/>
      <c r="AN447" s="14" t="e">
        <f>IF('ETF Data'!$H$2,IF(ISNUMBER(AK447),AK447,NA()),NA())</f>
        <v>#N/A</v>
      </c>
      <c r="AO447" s="14"/>
      <c r="AP447" s="14"/>
      <c r="AQ447" s="14"/>
      <c r="AR447" s="14"/>
      <c r="AS447" s="14"/>
      <c r="AT447" s="14"/>
      <c r="AU447" s="14"/>
      <c r="AV447" s="14"/>
      <c r="AW447" s="14"/>
      <c r="AX447" s="14"/>
      <c r="AY447" s="14"/>
      <c r="AZ447" s="14"/>
      <c r="BA447" s="14"/>
      <c r="BB447" s="14"/>
      <c r="BC447" s="14"/>
      <c r="BD447" s="14"/>
      <c r="BE447" s="14"/>
      <c r="BF447" s="14"/>
      <c r="BG447" s="14"/>
      <c r="BH447" s="14"/>
      <c r="BI447" s="14"/>
    </row>
    <row r="448" spans="1:6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67"/>
      <c r="AK448" s="14"/>
      <c r="AL448" s="14"/>
      <c r="AM448" s="14"/>
      <c r="AN448" s="14" t="e">
        <f>IF('ETF Data'!$H$2,IF(ISNUMBER(AK448),AK448,NA()),NA())</f>
        <v>#N/A</v>
      </c>
      <c r="AO448" s="14"/>
      <c r="AP448" s="14"/>
      <c r="AQ448" s="14"/>
      <c r="AR448" s="14"/>
      <c r="AS448" s="14"/>
      <c r="AT448" s="14"/>
      <c r="AU448" s="14"/>
      <c r="AV448" s="14"/>
      <c r="AW448" s="14"/>
      <c r="AX448" s="14"/>
      <c r="AY448" s="14"/>
      <c r="AZ448" s="14"/>
      <c r="BA448" s="14"/>
      <c r="BB448" s="14"/>
      <c r="BC448" s="14"/>
      <c r="BD448" s="14"/>
      <c r="BE448" s="14"/>
      <c r="BF448" s="14"/>
      <c r="BG448" s="14"/>
      <c r="BH448" s="14"/>
      <c r="BI448" s="14"/>
    </row>
    <row r="449" spans="1:6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67"/>
      <c r="AK449" s="14"/>
      <c r="AL449" s="14"/>
      <c r="AM449" s="14"/>
      <c r="AN449" s="14" t="e">
        <f>IF('ETF Data'!$H$2,IF(ISNUMBER(AK449),AK449,NA()),NA())</f>
        <v>#N/A</v>
      </c>
      <c r="AO449" s="14"/>
      <c r="AP449" s="14"/>
      <c r="AQ449" s="14"/>
      <c r="AR449" s="14"/>
      <c r="AS449" s="14"/>
      <c r="AT449" s="14"/>
      <c r="AU449" s="14"/>
      <c r="AV449" s="14"/>
      <c r="AW449" s="14"/>
      <c r="AX449" s="14"/>
      <c r="AY449" s="14"/>
      <c r="AZ449" s="14"/>
      <c r="BA449" s="14"/>
      <c r="BB449" s="14"/>
      <c r="BC449" s="14"/>
      <c r="BD449" s="14"/>
      <c r="BE449" s="14"/>
      <c r="BF449" s="14"/>
      <c r="BG449" s="14"/>
      <c r="BH449" s="14"/>
      <c r="BI449" s="14"/>
    </row>
    <row r="450" spans="1:6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67"/>
      <c r="AK450" s="14"/>
      <c r="AL450" s="14"/>
      <c r="AM450" s="14"/>
      <c r="AN450" s="14" t="e">
        <f>IF('ETF Data'!$H$2,IF(ISNUMBER(AK450),AK450,NA()),NA())</f>
        <v>#N/A</v>
      </c>
      <c r="AO450" s="14"/>
      <c r="AP450" s="14"/>
      <c r="AQ450" s="14"/>
      <c r="AR450" s="14"/>
      <c r="AS450" s="14"/>
      <c r="AT450" s="14"/>
      <c r="AU450" s="14"/>
      <c r="AV450" s="14"/>
      <c r="AW450" s="14"/>
      <c r="AX450" s="14"/>
      <c r="AY450" s="14"/>
      <c r="AZ450" s="14"/>
      <c r="BA450" s="14"/>
      <c r="BB450" s="14"/>
      <c r="BC450" s="14"/>
      <c r="BD450" s="14"/>
      <c r="BE450" s="14"/>
      <c r="BF450" s="14"/>
      <c r="BG450" s="14"/>
      <c r="BH450" s="14"/>
      <c r="BI450" s="14"/>
    </row>
    <row r="451" spans="1:6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67"/>
      <c r="AK451" s="14"/>
      <c r="AL451" s="14"/>
      <c r="AM451" s="14"/>
      <c r="AN451" s="14" t="e">
        <f>IF('ETF Data'!$H$2,IF(ISNUMBER(AK451),AK451,NA()),NA())</f>
        <v>#N/A</v>
      </c>
      <c r="AO451" s="14"/>
      <c r="AP451" s="14"/>
      <c r="AQ451" s="14"/>
      <c r="AR451" s="14"/>
      <c r="AS451" s="14"/>
      <c r="AT451" s="14"/>
      <c r="AU451" s="14"/>
      <c r="AV451" s="14"/>
      <c r="AW451" s="14"/>
      <c r="AX451" s="14"/>
      <c r="AY451" s="14"/>
      <c r="AZ451" s="14"/>
      <c r="BA451" s="14"/>
      <c r="BB451" s="14"/>
      <c r="BC451" s="14"/>
      <c r="BD451" s="14"/>
      <c r="BE451" s="14"/>
      <c r="BF451" s="14"/>
      <c r="BG451" s="14"/>
      <c r="BH451" s="14"/>
      <c r="BI451" s="14"/>
    </row>
    <row r="452" spans="1:6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67"/>
      <c r="AK452" s="14"/>
      <c r="AL452" s="14"/>
      <c r="AM452" s="14"/>
      <c r="AN452" s="14" t="e">
        <f>IF('ETF Data'!$H$2,IF(ISNUMBER(AK452),AK452,NA()),NA())</f>
        <v>#N/A</v>
      </c>
      <c r="AO452" s="14"/>
      <c r="AP452" s="14"/>
      <c r="AQ452" s="14"/>
      <c r="AR452" s="14"/>
      <c r="AS452" s="14"/>
      <c r="AT452" s="14"/>
      <c r="AU452" s="14"/>
      <c r="AV452" s="14"/>
      <c r="AW452" s="14"/>
      <c r="AX452" s="14"/>
      <c r="AY452" s="14"/>
      <c r="AZ452" s="14"/>
      <c r="BA452" s="14"/>
      <c r="BB452" s="14"/>
      <c r="BC452" s="14"/>
      <c r="BD452" s="14"/>
      <c r="BE452" s="14"/>
      <c r="BF452" s="14"/>
      <c r="BG452" s="14"/>
      <c r="BH452" s="14"/>
      <c r="BI452" s="14"/>
    </row>
    <row r="453" spans="1:6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67"/>
      <c r="AK453" s="14"/>
      <c r="AL453" s="14"/>
      <c r="AM453" s="14"/>
      <c r="AN453" s="14" t="e">
        <f>IF('ETF Data'!$H$2,IF(ISNUMBER(AK453),AK453,NA()),NA())</f>
        <v>#N/A</v>
      </c>
      <c r="AO453" s="14"/>
      <c r="AP453" s="14"/>
      <c r="AQ453" s="14"/>
      <c r="AR453" s="14"/>
      <c r="AS453" s="14"/>
      <c r="AT453" s="14"/>
      <c r="AU453" s="14"/>
      <c r="AV453" s="14"/>
      <c r="AW453" s="14"/>
      <c r="AX453" s="14"/>
      <c r="AY453" s="14"/>
      <c r="AZ453" s="14"/>
      <c r="BA453" s="14"/>
      <c r="BB453" s="14"/>
      <c r="BC453" s="14"/>
      <c r="BD453" s="14"/>
      <c r="BE453" s="14"/>
      <c r="BF453" s="14"/>
      <c r="BG453" s="14"/>
      <c r="BH453" s="14"/>
      <c r="BI453" s="14"/>
    </row>
    <row r="454" spans="1:6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67"/>
      <c r="AK454" s="14"/>
      <c r="AL454" s="14"/>
      <c r="AM454" s="14"/>
      <c r="AN454" s="14" t="e">
        <f>IF('ETF Data'!$H$2,IF(ISNUMBER(AK454),AK454,NA()),NA())</f>
        <v>#N/A</v>
      </c>
      <c r="AO454" s="14"/>
      <c r="AP454" s="14"/>
      <c r="AQ454" s="14"/>
      <c r="AR454" s="14"/>
      <c r="AS454" s="14"/>
      <c r="AT454" s="14"/>
      <c r="AU454" s="14"/>
      <c r="AV454" s="14"/>
      <c r="AW454" s="14"/>
      <c r="AX454" s="14"/>
      <c r="AY454" s="14"/>
      <c r="AZ454" s="14"/>
      <c r="BA454" s="14"/>
      <c r="BB454" s="14"/>
      <c r="BC454" s="14"/>
      <c r="BD454" s="14"/>
      <c r="BE454" s="14"/>
      <c r="BF454" s="14"/>
      <c r="BG454" s="14"/>
      <c r="BH454" s="14"/>
      <c r="BI454" s="14"/>
    </row>
    <row r="455" spans="1:6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67"/>
      <c r="AK455" s="14"/>
      <c r="AL455" s="14"/>
      <c r="AM455" s="14"/>
      <c r="AN455" s="14" t="e">
        <f>IF('ETF Data'!$H$2,IF(ISNUMBER(AK455),AK455,NA()),NA())</f>
        <v>#N/A</v>
      </c>
      <c r="AO455" s="14"/>
      <c r="AP455" s="14"/>
      <c r="AQ455" s="14"/>
      <c r="AR455" s="14"/>
      <c r="AS455" s="14"/>
      <c r="AT455" s="14"/>
      <c r="AU455" s="14"/>
      <c r="AV455" s="14"/>
      <c r="AW455" s="14"/>
      <c r="AX455" s="14"/>
      <c r="AY455" s="14"/>
      <c r="AZ455" s="14"/>
      <c r="BA455" s="14"/>
      <c r="BB455" s="14"/>
      <c r="BC455" s="14"/>
      <c r="BD455" s="14"/>
      <c r="BE455" s="14"/>
      <c r="BF455" s="14"/>
      <c r="BG455" s="14"/>
      <c r="BH455" s="14"/>
      <c r="BI455" s="14"/>
    </row>
    <row r="456" spans="1:6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67"/>
      <c r="AK456" s="14"/>
      <c r="AL456" s="14"/>
      <c r="AM456" s="14"/>
      <c r="AN456" s="14" t="e">
        <f>IF('ETF Data'!$H$2,IF(ISNUMBER(AK456),AK456,NA()),NA())</f>
        <v>#N/A</v>
      </c>
      <c r="AO456" s="14"/>
      <c r="AP456" s="14"/>
      <c r="AQ456" s="14"/>
      <c r="AR456" s="14"/>
      <c r="AS456" s="14"/>
      <c r="AT456" s="14"/>
      <c r="AU456" s="14"/>
      <c r="AV456" s="14"/>
      <c r="AW456" s="14"/>
      <c r="AX456" s="14"/>
      <c r="AY456" s="14"/>
      <c r="AZ456" s="14"/>
      <c r="BA456" s="14"/>
      <c r="BB456" s="14"/>
      <c r="BC456" s="14"/>
      <c r="BD456" s="14"/>
      <c r="BE456" s="14"/>
      <c r="BF456" s="14"/>
      <c r="BG456" s="14"/>
      <c r="BH456" s="14"/>
      <c r="BI456" s="14"/>
    </row>
    <row r="457" spans="1:6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67"/>
      <c r="AK457" s="14"/>
      <c r="AL457" s="14"/>
      <c r="AM457" s="14"/>
      <c r="AN457" s="14" t="e">
        <f>IF('ETF Data'!$H$2,IF(ISNUMBER(AK457),AK457,NA()),NA())</f>
        <v>#N/A</v>
      </c>
      <c r="AO457" s="14"/>
      <c r="AP457" s="14"/>
      <c r="AQ457" s="14"/>
      <c r="AR457" s="14"/>
      <c r="AS457" s="14"/>
      <c r="AT457" s="14"/>
      <c r="AU457" s="14"/>
      <c r="AV457" s="14"/>
      <c r="AW457" s="14"/>
      <c r="AX457" s="14"/>
      <c r="AY457" s="14"/>
      <c r="AZ457" s="14"/>
      <c r="BA457" s="14"/>
      <c r="BB457" s="14"/>
      <c r="BC457" s="14"/>
      <c r="BD457" s="14"/>
      <c r="BE457" s="14"/>
      <c r="BF457" s="14"/>
      <c r="BG457" s="14"/>
      <c r="BH457" s="14"/>
      <c r="BI457" s="14"/>
    </row>
    <row r="458" spans="1:6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67"/>
      <c r="AK458" s="14"/>
      <c r="AL458" s="14"/>
      <c r="AM458" s="14"/>
      <c r="AN458" s="14" t="e">
        <f>IF('ETF Data'!$H$2,IF(ISNUMBER(AK458),AK458,NA()),NA())</f>
        <v>#N/A</v>
      </c>
      <c r="AO458" s="14"/>
      <c r="AP458" s="14"/>
      <c r="AQ458" s="14"/>
      <c r="AR458" s="14"/>
      <c r="AS458" s="14"/>
      <c r="AT458" s="14"/>
      <c r="AU458" s="14"/>
      <c r="AV458" s="14"/>
      <c r="AW458" s="14"/>
      <c r="AX458" s="14"/>
      <c r="AY458" s="14"/>
      <c r="AZ458" s="14"/>
      <c r="BA458" s="14"/>
      <c r="BB458" s="14"/>
      <c r="BC458" s="14"/>
      <c r="BD458" s="14"/>
      <c r="BE458" s="14"/>
      <c r="BF458" s="14"/>
      <c r="BG458" s="14"/>
      <c r="BH458" s="14"/>
      <c r="BI458" s="14"/>
    </row>
    <row r="459" spans="1:6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67"/>
      <c r="AK459" s="14"/>
      <c r="AL459" s="14"/>
      <c r="AM459" s="14"/>
      <c r="AN459" s="14" t="e">
        <f>IF('ETF Data'!$H$2,IF(ISNUMBER(AK459),AK459,NA()),NA())</f>
        <v>#N/A</v>
      </c>
      <c r="AO459" s="14"/>
      <c r="AP459" s="14"/>
      <c r="AQ459" s="14"/>
      <c r="AR459" s="14"/>
      <c r="AS459" s="14"/>
      <c r="AT459" s="14"/>
      <c r="AU459" s="14"/>
      <c r="AV459" s="14"/>
      <c r="AW459" s="14"/>
      <c r="AX459" s="14"/>
      <c r="AY459" s="14"/>
      <c r="AZ459" s="14"/>
      <c r="BA459" s="14"/>
      <c r="BB459" s="14"/>
      <c r="BC459" s="14"/>
      <c r="BD459" s="14"/>
      <c r="BE459" s="14"/>
      <c r="BF459" s="14"/>
      <c r="BG459" s="14"/>
      <c r="BH459" s="14"/>
      <c r="BI459" s="14"/>
    </row>
    <row r="460" spans="1:6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67"/>
      <c r="AK460" s="14"/>
      <c r="AL460" s="14"/>
      <c r="AM460" s="14"/>
      <c r="AN460" s="14" t="e">
        <f>IF('ETF Data'!$H$2,IF(ISNUMBER(AK460),AK460,NA()),NA())</f>
        <v>#N/A</v>
      </c>
      <c r="AO460" s="14"/>
      <c r="AP460" s="14"/>
      <c r="AQ460" s="14"/>
      <c r="AR460" s="14"/>
      <c r="AS460" s="14"/>
      <c r="AT460" s="14"/>
      <c r="AU460" s="14"/>
      <c r="AV460" s="14"/>
      <c r="AW460" s="14"/>
      <c r="AX460" s="14"/>
      <c r="AY460" s="14"/>
      <c r="AZ460" s="14"/>
      <c r="BA460" s="14"/>
      <c r="BB460" s="14"/>
      <c r="BC460" s="14"/>
      <c r="BD460" s="14"/>
      <c r="BE460" s="14"/>
      <c r="BF460" s="14"/>
      <c r="BG460" s="14"/>
      <c r="BH460" s="14"/>
      <c r="BI460" s="14"/>
    </row>
    <row r="461" spans="1:6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67"/>
      <c r="AK461" s="14"/>
      <c r="AL461" s="14"/>
      <c r="AM461" s="14"/>
      <c r="AN461" s="14" t="e">
        <f>IF('ETF Data'!$H$2,IF(ISNUMBER(AK461),AK461,NA()),NA())</f>
        <v>#N/A</v>
      </c>
      <c r="AO461" s="14"/>
      <c r="AP461" s="14"/>
      <c r="AQ461" s="14"/>
      <c r="AR461" s="14"/>
      <c r="AS461" s="14"/>
      <c r="AT461" s="14"/>
      <c r="AU461" s="14"/>
      <c r="AV461" s="14"/>
      <c r="AW461" s="14"/>
      <c r="AX461" s="14"/>
      <c r="AY461" s="14"/>
      <c r="AZ461" s="14"/>
      <c r="BA461" s="14"/>
      <c r="BB461" s="14"/>
      <c r="BC461" s="14"/>
      <c r="BD461" s="14"/>
      <c r="BE461" s="14"/>
      <c r="BF461" s="14"/>
      <c r="BG461" s="14"/>
      <c r="BH461" s="14"/>
      <c r="BI461" s="14"/>
    </row>
    <row r="462" spans="1:6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67"/>
      <c r="AK462" s="14"/>
      <c r="AL462" s="14"/>
      <c r="AM462" s="14"/>
      <c r="AN462" s="14" t="e">
        <f>IF('ETF Data'!$H$2,IF(ISNUMBER(AK462),AK462,NA()),NA())</f>
        <v>#N/A</v>
      </c>
      <c r="AO462" s="14"/>
      <c r="AP462" s="14"/>
      <c r="AQ462" s="14"/>
      <c r="AR462" s="14"/>
      <c r="AS462" s="14"/>
      <c r="AT462" s="14"/>
      <c r="AU462" s="14"/>
      <c r="AV462" s="14"/>
      <c r="AW462" s="14"/>
      <c r="AX462" s="14"/>
      <c r="AY462" s="14"/>
      <c r="AZ462" s="14"/>
      <c r="BA462" s="14"/>
      <c r="BB462" s="14"/>
      <c r="BC462" s="14"/>
      <c r="BD462" s="14"/>
      <c r="BE462" s="14"/>
      <c r="BF462" s="14"/>
      <c r="BG462" s="14"/>
      <c r="BH462" s="14"/>
      <c r="BI462" s="14"/>
    </row>
    <row r="463" spans="1:6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67"/>
      <c r="AK463" s="14"/>
      <c r="AL463" s="14"/>
      <c r="AM463" s="14"/>
      <c r="AN463" s="14" t="e">
        <f>IF('ETF Data'!$H$2,IF(ISNUMBER(AK463),AK463,NA()),NA())</f>
        <v>#N/A</v>
      </c>
      <c r="AO463" s="14"/>
      <c r="AP463" s="14"/>
      <c r="AQ463" s="14"/>
      <c r="AR463" s="14"/>
      <c r="AS463" s="14"/>
      <c r="AT463" s="14"/>
      <c r="AU463" s="14"/>
      <c r="AV463" s="14"/>
      <c r="AW463" s="14"/>
      <c r="AX463" s="14"/>
      <c r="AY463" s="14"/>
      <c r="AZ463" s="14"/>
      <c r="BA463" s="14"/>
      <c r="BB463" s="14"/>
      <c r="BC463" s="14"/>
      <c r="BD463" s="14"/>
      <c r="BE463" s="14"/>
      <c r="BF463" s="14"/>
      <c r="BG463" s="14"/>
      <c r="BH463" s="14"/>
      <c r="BI463" s="14"/>
    </row>
    <row r="464" spans="1:6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67"/>
      <c r="AK464" s="14"/>
      <c r="AL464" s="14"/>
      <c r="AM464" s="14"/>
      <c r="AN464" s="14" t="e">
        <f>IF('ETF Data'!$H$2,IF(ISNUMBER(AK464),AK464,NA()),NA())</f>
        <v>#N/A</v>
      </c>
      <c r="AO464" s="14"/>
      <c r="AP464" s="14"/>
      <c r="AQ464" s="14"/>
      <c r="AR464" s="14"/>
      <c r="AS464" s="14"/>
      <c r="AT464" s="14"/>
      <c r="AU464" s="14"/>
      <c r="AV464" s="14"/>
      <c r="AW464" s="14"/>
      <c r="AX464" s="14"/>
      <c r="AY464" s="14"/>
      <c r="AZ464" s="14"/>
      <c r="BA464" s="14"/>
      <c r="BB464" s="14"/>
      <c r="BC464" s="14"/>
      <c r="BD464" s="14"/>
      <c r="BE464" s="14"/>
      <c r="BF464" s="14"/>
      <c r="BG464" s="14"/>
      <c r="BH464" s="14"/>
      <c r="BI464" s="14"/>
    </row>
    <row r="465" spans="1:6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67"/>
      <c r="AK465" s="14"/>
      <c r="AL465" s="14"/>
      <c r="AM465" s="14"/>
      <c r="AN465" s="14" t="e">
        <f>IF('ETF Data'!$H$2,IF(ISNUMBER(AK465),AK465,NA()),NA())</f>
        <v>#N/A</v>
      </c>
      <c r="AO465" s="14"/>
      <c r="AP465" s="14"/>
      <c r="AQ465" s="14"/>
      <c r="AR465" s="14"/>
      <c r="AS465" s="14"/>
      <c r="AT465" s="14"/>
      <c r="AU465" s="14"/>
      <c r="AV465" s="14"/>
      <c r="AW465" s="14"/>
      <c r="AX465" s="14"/>
      <c r="AY465" s="14"/>
      <c r="AZ465" s="14"/>
      <c r="BA465" s="14"/>
      <c r="BB465" s="14"/>
      <c r="BC465" s="14"/>
      <c r="BD465" s="14"/>
      <c r="BE465" s="14"/>
      <c r="BF465" s="14"/>
      <c r="BG465" s="14"/>
      <c r="BH465" s="14"/>
      <c r="BI465" s="14"/>
    </row>
    <row r="466" spans="1:6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67"/>
      <c r="AK466" s="14"/>
      <c r="AL466" s="14"/>
      <c r="AM466" s="14"/>
      <c r="AN466" s="14" t="e">
        <f>IF('ETF Data'!$H$2,IF(ISNUMBER(AK466),AK466,NA()),NA())</f>
        <v>#N/A</v>
      </c>
      <c r="AO466" s="14"/>
      <c r="AP466" s="14"/>
      <c r="AQ466" s="14"/>
      <c r="AR466" s="14"/>
      <c r="AS466" s="14"/>
      <c r="AT466" s="14"/>
      <c r="AU466" s="14"/>
      <c r="AV466" s="14"/>
      <c r="AW466" s="14"/>
      <c r="AX466" s="14"/>
      <c r="AY466" s="14"/>
      <c r="AZ466" s="14"/>
      <c r="BA466" s="14"/>
      <c r="BB466" s="14"/>
      <c r="BC466" s="14"/>
      <c r="BD466" s="14"/>
      <c r="BE466" s="14"/>
      <c r="BF466" s="14"/>
      <c r="BG466" s="14"/>
      <c r="BH466" s="14"/>
      <c r="BI466" s="14"/>
    </row>
    <row r="467" spans="1:6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67"/>
      <c r="AK467" s="14"/>
      <c r="AL467" s="14"/>
      <c r="AM467" s="14"/>
      <c r="AN467" s="14" t="e">
        <f>IF('ETF Data'!$H$2,IF(ISNUMBER(AK467),AK467,NA()),NA())</f>
        <v>#N/A</v>
      </c>
      <c r="AO467" s="14"/>
      <c r="AP467" s="14"/>
      <c r="AQ467" s="14"/>
      <c r="AR467" s="14"/>
      <c r="AS467" s="14"/>
      <c r="AT467" s="14"/>
      <c r="AU467" s="14"/>
      <c r="AV467" s="14"/>
      <c r="AW467" s="14"/>
      <c r="AX467" s="14"/>
      <c r="AY467" s="14"/>
      <c r="AZ467" s="14"/>
      <c r="BA467" s="14"/>
      <c r="BB467" s="14"/>
      <c r="BC467" s="14"/>
      <c r="BD467" s="14"/>
      <c r="BE467" s="14"/>
      <c r="BF467" s="14"/>
      <c r="BG467" s="14"/>
      <c r="BH467" s="14"/>
      <c r="BI467" s="14"/>
    </row>
    <row r="468" spans="1:6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67"/>
      <c r="AK468" s="14"/>
      <c r="AL468" s="14"/>
      <c r="AM468" s="14"/>
      <c r="AN468" s="14" t="e">
        <f>IF('ETF Data'!$H$2,IF(ISNUMBER(AK468),AK468,NA()),NA())</f>
        <v>#N/A</v>
      </c>
      <c r="AO468" s="14"/>
      <c r="AP468" s="14"/>
      <c r="AQ468" s="14"/>
      <c r="AR468" s="14"/>
      <c r="AS468" s="14"/>
      <c r="AT468" s="14"/>
      <c r="AU468" s="14"/>
      <c r="AV468" s="14"/>
      <c r="AW468" s="14"/>
      <c r="AX468" s="14"/>
      <c r="AY468" s="14"/>
      <c r="AZ468" s="14"/>
      <c r="BA468" s="14"/>
      <c r="BB468" s="14"/>
      <c r="BC468" s="14"/>
      <c r="BD468" s="14"/>
      <c r="BE468" s="14"/>
      <c r="BF468" s="14"/>
      <c r="BG468" s="14"/>
      <c r="BH468" s="14"/>
      <c r="BI468" s="14"/>
    </row>
    <row r="469" spans="1:6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67"/>
      <c r="AK469" s="14"/>
      <c r="AL469" s="14"/>
      <c r="AM469" s="14"/>
      <c r="AN469" s="14" t="e">
        <f>IF('ETF Data'!$H$2,IF(ISNUMBER(AK469),AK469,NA()),NA())</f>
        <v>#N/A</v>
      </c>
      <c r="AO469" s="14"/>
      <c r="AP469" s="14"/>
      <c r="AQ469" s="14"/>
      <c r="AR469" s="14"/>
      <c r="AS469" s="14"/>
      <c r="AT469" s="14"/>
      <c r="AU469" s="14"/>
      <c r="AV469" s="14"/>
      <c r="AW469" s="14"/>
      <c r="AX469" s="14"/>
      <c r="AY469" s="14"/>
      <c r="AZ469" s="14"/>
      <c r="BA469" s="14"/>
      <c r="BB469" s="14"/>
      <c r="BC469" s="14"/>
      <c r="BD469" s="14"/>
      <c r="BE469" s="14"/>
      <c r="BF469" s="14"/>
      <c r="BG469" s="14"/>
      <c r="BH469" s="14"/>
      <c r="BI469" s="14"/>
    </row>
    <row r="470" spans="1:6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67"/>
      <c r="AK470" s="14"/>
      <c r="AL470" s="14"/>
      <c r="AM470" s="14"/>
      <c r="AN470" s="14" t="e">
        <f>IF('ETF Data'!$H$2,IF(ISNUMBER(AK470),AK470,NA()),NA())</f>
        <v>#N/A</v>
      </c>
      <c r="AO470" s="14"/>
      <c r="AP470" s="14"/>
      <c r="AQ470" s="14"/>
      <c r="AR470" s="14"/>
      <c r="AS470" s="14"/>
      <c r="AT470" s="14"/>
      <c r="AU470" s="14"/>
      <c r="AV470" s="14"/>
      <c r="AW470" s="14"/>
      <c r="AX470" s="14"/>
      <c r="AY470" s="14"/>
      <c r="AZ470" s="14"/>
      <c r="BA470" s="14"/>
      <c r="BB470" s="14"/>
      <c r="BC470" s="14"/>
      <c r="BD470" s="14"/>
      <c r="BE470" s="14"/>
      <c r="BF470" s="14"/>
      <c r="BG470" s="14"/>
      <c r="BH470" s="14"/>
      <c r="BI470" s="14"/>
    </row>
    <row r="471" spans="1:6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67"/>
      <c r="AK471" s="14"/>
      <c r="AL471" s="14"/>
      <c r="AM471" s="14"/>
      <c r="AN471" s="14" t="e">
        <f>IF('ETF Data'!$H$2,IF(ISNUMBER(AK471),AK471,NA()),NA())</f>
        <v>#N/A</v>
      </c>
      <c r="AO471" s="14"/>
      <c r="AP471" s="14"/>
      <c r="AQ471" s="14"/>
      <c r="AR471" s="14"/>
      <c r="AS471" s="14"/>
      <c r="AT471" s="14"/>
      <c r="AU471" s="14"/>
      <c r="AV471" s="14"/>
      <c r="AW471" s="14"/>
      <c r="AX471" s="14"/>
      <c r="AY471" s="14"/>
      <c r="AZ471" s="14"/>
      <c r="BA471" s="14"/>
      <c r="BB471" s="14"/>
      <c r="BC471" s="14"/>
      <c r="BD471" s="14"/>
      <c r="BE471" s="14"/>
      <c r="BF471" s="14"/>
      <c r="BG471" s="14"/>
      <c r="BH471" s="14"/>
      <c r="BI471" s="14"/>
    </row>
    <row r="472" spans="1:6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67"/>
      <c r="AK472" s="14"/>
      <c r="AL472" s="14"/>
      <c r="AM472" s="14"/>
      <c r="AN472" s="14" t="e">
        <f>IF('ETF Data'!$H$2,IF(ISNUMBER(AK472),AK472,NA()),NA())</f>
        <v>#N/A</v>
      </c>
      <c r="AO472" s="14"/>
      <c r="AP472" s="14"/>
      <c r="AQ472" s="14"/>
      <c r="AR472" s="14"/>
      <c r="AS472" s="14"/>
      <c r="AT472" s="14"/>
      <c r="AU472" s="14"/>
      <c r="AV472" s="14"/>
      <c r="AW472" s="14"/>
      <c r="AX472" s="14"/>
      <c r="AY472" s="14"/>
      <c r="AZ472" s="14"/>
      <c r="BA472" s="14"/>
      <c r="BB472" s="14"/>
      <c r="BC472" s="14"/>
      <c r="BD472" s="14"/>
      <c r="BE472" s="14"/>
      <c r="BF472" s="14"/>
      <c r="BG472" s="14"/>
      <c r="BH472" s="14"/>
      <c r="BI472" s="14"/>
    </row>
    <row r="473" spans="1:6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67"/>
      <c r="AK473" s="14"/>
      <c r="AL473" s="14"/>
      <c r="AM473" s="14"/>
      <c r="AN473" s="14" t="e">
        <f>IF('ETF Data'!$H$2,IF(ISNUMBER(AK473),AK473,NA()),NA())</f>
        <v>#N/A</v>
      </c>
      <c r="AO473" s="14"/>
      <c r="AP473" s="14"/>
      <c r="AQ473" s="14"/>
      <c r="AR473" s="14"/>
      <c r="AS473" s="14"/>
      <c r="AT473" s="14"/>
      <c r="AU473" s="14"/>
      <c r="AV473" s="14"/>
      <c r="AW473" s="14"/>
      <c r="AX473" s="14"/>
      <c r="AY473" s="14"/>
      <c r="AZ473" s="14"/>
      <c r="BA473" s="14"/>
      <c r="BB473" s="14"/>
      <c r="BC473" s="14"/>
      <c r="BD473" s="14"/>
      <c r="BE473" s="14"/>
      <c r="BF473" s="14"/>
      <c r="BG473" s="14"/>
      <c r="BH473" s="14"/>
      <c r="BI473" s="14"/>
    </row>
    <row r="474" spans="1:6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67"/>
      <c r="AK474" s="14"/>
      <c r="AL474" s="14"/>
      <c r="AM474" s="14"/>
      <c r="AN474" s="14" t="e">
        <f>IF('ETF Data'!$H$2,IF(ISNUMBER(AK474),AK474,NA()),NA())</f>
        <v>#N/A</v>
      </c>
      <c r="AO474" s="14"/>
      <c r="AP474" s="14"/>
      <c r="AQ474" s="14"/>
      <c r="AR474" s="14"/>
      <c r="AS474" s="14"/>
      <c r="AT474" s="14"/>
      <c r="AU474" s="14"/>
      <c r="AV474" s="14"/>
      <c r="AW474" s="14"/>
      <c r="AX474" s="14"/>
      <c r="AY474" s="14"/>
      <c r="AZ474" s="14"/>
      <c r="BA474" s="14"/>
      <c r="BB474" s="14"/>
      <c r="BC474" s="14"/>
      <c r="BD474" s="14"/>
      <c r="BE474" s="14"/>
      <c r="BF474" s="14"/>
      <c r="BG474" s="14"/>
      <c r="BH474" s="14"/>
      <c r="BI474" s="14"/>
    </row>
    <row r="475" spans="1:6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67"/>
      <c r="AK475" s="14"/>
      <c r="AL475" s="14"/>
      <c r="AM475" s="14"/>
      <c r="AN475" s="14" t="e">
        <f>IF('ETF Data'!$H$2,IF(ISNUMBER(AK475),AK475,NA()),NA())</f>
        <v>#N/A</v>
      </c>
      <c r="AO475" s="14"/>
      <c r="AP475" s="14"/>
      <c r="AQ475" s="14"/>
      <c r="AR475" s="14"/>
      <c r="AS475" s="14"/>
      <c r="AT475" s="14"/>
      <c r="AU475" s="14"/>
      <c r="AV475" s="14"/>
      <c r="AW475" s="14"/>
      <c r="AX475" s="14"/>
      <c r="AY475" s="14"/>
      <c r="AZ475" s="14"/>
      <c r="BA475" s="14"/>
      <c r="BB475" s="14"/>
      <c r="BC475" s="14"/>
      <c r="BD475" s="14"/>
      <c r="BE475" s="14"/>
      <c r="BF475" s="14"/>
      <c r="BG475" s="14"/>
      <c r="BH475" s="14"/>
      <c r="BI475" s="14"/>
    </row>
    <row r="476" spans="1:6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67"/>
      <c r="AK476" s="14"/>
      <c r="AL476" s="14"/>
      <c r="AM476" s="14"/>
      <c r="AN476" s="14" t="e">
        <f>IF('ETF Data'!$H$2,IF(ISNUMBER(AK476),AK476,NA()),NA())</f>
        <v>#N/A</v>
      </c>
      <c r="AO476" s="14"/>
      <c r="AP476" s="14"/>
      <c r="AQ476" s="14"/>
      <c r="AR476" s="14"/>
      <c r="AS476" s="14"/>
      <c r="AT476" s="14"/>
      <c r="AU476" s="14"/>
      <c r="AV476" s="14"/>
      <c r="AW476" s="14"/>
      <c r="AX476" s="14"/>
      <c r="AY476" s="14"/>
      <c r="AZ476" s="14"/>
      <c r="BA476" s="14"/>
      <c r="BB476" s="14"/>
      <c r="BC476" s="14"/>
      <c r="BD476" s="14"/>
      <c r="BE476" s="14"/>
      <c r="BF476" s="14"/>
      <c r="BG476" s="14"/>
      <c r="BH476" s="14"/>
      <c r="BI476" s="14"/>
    </row>
    <row r="477" spans="1:6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67"/>
      <c r="AK477" s="14"/>
      <c r="AL477" s="14"/>
      <c r="AM477" s="14"/>
      <c r="AN477" s="14" t="e">
        <f>IF('ETF Data'!$H$2,IF(ISNUMBER(AK477),AK477,NA()),NA())</f>
        <v>#N/A</v>
      </c>
      <c r="AO477" s="14"/>
      <c r="AP477" s="14"/>
      <c r="AQ477" s="14"/>
      <c r="AR477" s="14"/>
      <c r="AS477" s="14"/>
      <c r="AT477" s="14"/>
      <c r="AU477" s="14"/>
      <c r="AV477" s="14"/>
      <c r="AW477" s="14"/>
      <c r="AX477" s="14"/>
      <c r="AY477" s="14"/>
      <c r="AZ477" s="14"/>
      <c r="BA477" s="14"/>
      <c r="BB477" s="14"/>
      <c r="BC477" s="14"/>
      <c r="BD477" s="14"/>
      <c r="BE477" s="14"/>
      <c r="BF477" s="14"/>
      <c r="BG477" s="14"/>
      <c r="BH477" s="14"/>
      <c r="BI477" s="14"/>
    </row>
    <row r="478" spans="1:6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67"/>
      <c r="AK478" s="14"/>
      <c r="AL478" s="14"/>
      <c r="AM478" s="14"/>
      <c r="AN478" s="14" t="e">
        <f>IF('ETF Data'!$H$2,IF(ISNUMBER(AK478),AK478,NA()),NA())</f>
        <v>#N/A</v>
      </c>
      <c r="AO478" s="14"/>
      <c r="AP478" s="14"/>
      <c r="AQ478" s="14"/>
      <c r="AR478" s="14"/>
      <c r="AS478" s="14"/>
      <c r="AT478" s="14"/>
      <c r="AU478" s="14"/>
      <c r="AV478" s="14"/>
      <c r="AW478" s="14"/>
      <c r="AX478" s="14"/>
      <c r="AY478" s="14"/>
      <c r="AZ478" s="14"/>
      <c r="BA478" s="14"/>
      <c r="BB478" s="14"/>
      <c r="BC478" s="14"/>
      <c r="BD478" s="14"/>
      <c r="BE478" s="14"/>
      <c r="BF478" s="14"/>
      <c r="BG478" s="14"/>
      <c r="BH478" s="14"/>
      <c r="BI478" s="14"/>
    </row>
    <row r="479" spans="1:6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67"/>
      <c r="AK479" s="14"/>
      <c r="AL479" s="14"/>
      <c r="AM479" s="14"/>
      <c r="AN479" s="14" t="e">
        <f>IF('ETF Data'!$H$2,IF(ISNUMBER(AK479),AK479,NA()),NA())</f>
        <v>#N/A</v>
      </c>
      <c r="AO479" s="14"/>
      <c r="AP479" s="14"/>
      <c r="AQ479" s="14"/>
      <c r="AR479" s="14"/>
      <c r="AS479" s="14"/>
      <c r="AT479" s="14"/>
      <c r="AU479" s="14"/>
      <c r="AV479" s="14"/>
      <c r="AW479" s="14"/>
      <c r="AX479" s="14"/>
      <c r="AY479" s="14"/>
      <c r="AZ479" s="14"/>
      <c r="BA479" s="14"/>
      <c r="BB479" s="14"/>
      <c r="BC479" s="14"/>
      <c r="BD479" s="14"/>
      <c r="BE479" s="14"/>
      <c r="BF479" s="14"/>
      <c r="BG479" s="14"/>
      <c r="BH479" s="14"/>
      <c r="BI479" s="14"/>
    </row>
    <row r="480" spans="1:6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67"/>
      <c r="AK480" s="14"/>
      <c r="AL480" s="14"/>
      <c r="AM480" s="14"/>
      <c r="AN480" s="14" t="e">
        <f>IF('ETF Data'!$H$2,IF(ISNUMBER(AK480),AK480,NA()),NA())</f>
        <v>#N/A</v>
      </c>
      <c r="AO480" s="14"/>
      <c r="AP480" s="14"/>
      <c r="AQ480" s="14"/>
      <c r="AR480" s="14"/>
      <c r="AS480" s="14"/>
      <c r="AT480" s="14"/>
      <c r="AU480" s="14"/>
      <c r="AV480" s="14"/>
      <c r="AW480" s="14"/>
      <c r="AX480" s="14"/>
      <c r="AY480" s="14"/>
      <c r="AZ480" s="14"/>
      <c r="BA480" s="14"/>
      <c r="BB480" s="14"/>
      <c r="BC480" s="14"/>
      <c r="BD480" s="14"/>
      <c r="BE480" s="14"/>
      <c r="BF480" s="14"/>
      <c r="BG480" s="14"/>
      <c r="BH480" s="14"/>
      <c r="BI480" s="14"/>
    </row>
    <row r="481" spans="1:6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67"/>
      <c r="AK481" s="14"/>
      <c r="AL481" s="14"/>
      <c r="AM481" s="14"/>
      <c r="AN481" s="14" t="e">
        <f>IF('ETF Data'!$H$2,IF(ISNUMBER(AK481),AK481,NA()),NA())</f>
        <v>#N/A</v>
      </c>
      <c r="AO481" s="14"/>
      <c r="AP481" s="14"/>
      <c r="AQ481" s="14"/>
      <c r="AR481" s="14"/>
      <c r="AS481" s="14"/>
      <c r="AT481" s="14"/>
      <c r="AU481" s="14"/>
      <c r="AV481" s="14"/>
      <c r="AW481" s="14"/>
      <c r="AX481" s="14"/>
      <c r="AY481" s="14"/>
      <c r="AZ481" s="14"/>
      <c r="BA481" s="14"/>
      <c r="BB481" s="14"/>
      <c r="BC481" s="14"/>
      <c r="BD481" s="14"/>
      <c r="BE481" s="14"/>
      <c r="BF481" s="14"/>
      <c r="BG481" s="14"/>
      <c r="BH481" s="14"/>
      <c r="BI481" s="14"/>
    </row>
    <row r="482" spans="1:6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67"/>
      <c r="AK482" s="14"/>
      <c r="AL482" s="14"/>
      <c r="AM482" s="14"/>
      <c r="AN482" s="14" t="e">
        <f>IF('ETF Data'!$H$2,IF(ISNUMBER(AK482),AK482,NA()),NA())</f>
        <v>#N/A</v>
      </c>
      <c r="AO482" s="14"/>
      <c r="AP482" s="14"/>
      <c r="AQ482" s="14"/>
      <c r="AR482" s="14"/>
      <c r="AS482" s="14"/>
      <c r="AT482" s="14"/>
      <c r="AU482" s="14"/>
      <c r="AV482" s="14"/>
      <c r="AW482" s="14"/>
      <c r="AX482" s="14"/>
      <c r="AY482" s="14"/>
      <c r="AZ482" s="14"/>
      <c r="BA482" s="14"/>
      <c r="BB482" s="14"/>
      <c r="BC482" s="14"/>
      <c r="BD482" s="14"/>
      <c r="BE482" s="14"/>
      <c r="BF482" s="14"/>
      <c r="BG482" s="14"/>
      <c r="BH482" s="14"/>
      <c r="BI482" s="14"/>
    </row>
    <row r="483" spans="1:6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67"/>
      <c r="AK483" s="14"/>
      <c r="AL483" s="14"/>
      <c r="AM483" s="14"/>
      <c r="AN483" s="14" t="e">
        <f>IF('ETF Data'!$H$2,IF(ISNUMBER(AK483),AK483,NA()),NA())</f>
        <v>#N/A</v>
      </c>
      <c r="AO483" s="14"/>
      <c r="AP483" s="14"/>
      <c r="AQ483" s="14"/>
      <c r="AR483" s="14"/>
      <c r="AS483" s="14"/>
      <c r="AT483" s="14"/>
      <c r="AU483" s="14"/>
      <c r="AV483" s="14"/>
      <c r="AW483" s="14"/>
      <c r="AX483" s="14"/>
      <c r="AY483" s="14"/>
      <c r="AZ483" s="14"/>
      <c r="BA483" s="14"/>
      <c r="BB483" s="14"/>
      <c r="BC483" s="14"/>
      <c r="BD483" s="14"/>
      <c r="BE483" s="14"/>
      <c r="BF483" s="14"/>
      <c r="BG483" s="14"/>
      <c r="BH483" s="14"/>
      <c r="BI483" s="14"/>
    </row>
    <row r="484" spans="1:6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67"/>
      <c r="AK484" s="14"/>
      <c r="AL484" s="14"/>
      <c r="AM484" s="14"/>
      <c r="AN484" s="14" t="e">
        <f>IF('ETF Data'!$H$2,IF(ISNUMBER(AK484),AK484,NA()),NA())</f>
        <v>#N/A</v>
      </c>
      <c r="AO484" s="14"/>
      <c r="AP484" s="14"/>
      <c r="AQ484" s="14"/>
      <c r="AR484" s="14"/>
      <c r="AS484" s="14"/>
      <c r="AT484" s="14"/>
      <c r="AU484" s="14"/>
      <c r="AV484" s="14"/>
      <c r="AW484" s="14"/>
      <c r="AX484" s="14"/>
      <c r="AY484" s="14"/>
      <c r="AZ484" s="14"/>
      <c r="BA484" s="14"/>
      <c r="BB484" s="14"/>
      <c r="BC484" s="14"/>
      <c r="BD484" s="14"/>
      <c r="BE484" s="14"/>
      <c r="BF484" s="14"/>
      <c r="BG484" s="14"/>
      <c r="BH484" s="14"/>
      <c r="BI484" s="14"/>
    </row>
    <row r="485" spans="1:6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67"/>
      <c r="AK485" s="14"/>
      <c r="AL485" s="14"/>
      <c r="AM485" s="14"/>
      <c r="AN485" s="14" t="e">
        <f>IF('ETF Data'!$H$2,IF(ISNUMBER(AK485),AK485,NA()),NA())</f>
        <v>#N/A</v>
      </c>
      <c r="AO485" s="14"/>
      <c r="AP485" s="14"/>
      <c r="AQ485" s="14"/>
      <c r="AR485" s="14"/>
      <c r="AS485" s="14"/>
      <c r="AT485" s="14"/>
      <c r="AU485" s="14"/>
      <c r="AV485" s="14"/>
      <c r="AW485" s="14"/>
      <c r="AX485" s="14"/>
      <c r="AY485" s="14"/>
      <c r="AZ485" s="14"/>
      <c r="BA485" s="14"/>
      <c r="BB485" s="14"/>
      <c r="BC485" s="14"/>
      <c r="BD485" s="14"/>
      <c r="BE485" s="14"/>
      <c r="BF485" s="14"/>
      <c r="BG485" s="14"/>
      <c r="BH485" s="14"/>
      <c r="BI485" s="14"/>
    </row>
    <row r="486" spans="1:6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67"/>
      <c r="AK486" s="14"/>
      <c r="AL486" s="14"/>
      <c r="AM486" s="14"/>
      <c r="AN486" s="14" t="e">
        <f>IF('ETF Data'!$H$2,IF(ISNUMBER(AK486),AK486,NA()),NA())</f>
        <v>#N/A</v>
      </c>
      <c r="AO486" s="14"/>
      <c r="AP486" s="14"/>
      <c r="AQ486" s="14"/>
      <c r="AR486" s="14"/>
      <c r="AS486" s="14"/>
      <c r="AT486" s="14"/>
      <c r="AU486" s="14"/>
      <c r="AV486" s="14"/>
      <c r="AW486" s="14"/>
      <c r="AX486" s="14"/>
      <c r="AY486" s="14"/>
      <c r="AZ486" s="14"/>
      <c r="BA486" s="14"/>
      <c r="BB486" s="14"/>
      <c r="BC486" s="14"/>
      <c r="BD486" s="14"/>
      <c r="BE486" s="14"/>
      <c r="BF486" s="14"/>
      <c r="BG486" s="14"/>
      <c r="BH486" s="14"/>
      <c r="BI486" s="14"/>
    </row>
    <row r="487" spans="1:6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67"/>
      <c r="AK487" s="14"/>
      <c r="AL487" s="14"/>
      <c r="AM487" s="14"/>
      <c r="AN487" s="14" t="e">
        <f>IF('ETF Data'!$H$2,IF(ISNUMBER(AK487),AK487,NA()),NA())</f>
        <v>#N/A</v>
      </c>
      <c r="AO487" s="14"/>
      <c r="AP487" s="14"/>
      <c r="AQ487" s="14"/>
      <c r="AR487" s="14"/>
      <c r="AS487" s="14"/>
      <c r="AT487" s="14"/>
      <c r="AU487" s="14"/>
      <c r="AV487" s="14"/>
      <c r="AW487" s="14"/>
      <c r="AX487" s="14"/>
      <c r="AY487" s="14"/>
      <c r="AZ487" s="14"/>
      <c r="BA487" s="14"/>
      <c r="BB487" s="14"/>
      <c r="BC487" s="14"/>
      <c r="BD487" s="14"/>
      <c r="BE487" s="14"/>
      <c r="BF487" s="14"/>
      <c r="BG487" s="14"/>
      <c r="BH487" s="14"/>
      <c r="BI487" s="14"/>
    </row>
    <row r="488" spans="1:6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67"/>
      <c r="AK488" s="14"/>
      <c r="AL488" s="14"/>
      <c r="AM488" s="14"/>
      <c r="AN488" s="14" t="e">
        <f>IF('ETF Data'!$H$2,IF(ISNUMBER(AK488),AK488,NA()),NA())</f>
        <v>#N/A</v>
      </c>
      <c r="AO488" s="14"/>
      <c r="AP488" s="14"/>
      <c r="AQ488" s="14"/>
      <c r="AR488" s="14"/>
      <c r="AS488" s="14"/>
      <c r="AT488" s="14"/>
      <c r="AU488" s="14"/>
      <c r="AV488" s="14"/>
      <c r="AW488" s="14"/>
      <c r="AX488" s="14"/>
      <c r="AY488" s="14"/>
      <c r="AZ488" s="14"/>
      <c r="BA488" s="14"/>
      <c r="BB488" s="14"/>
      <c r="BC488" s="14"/>
      <c r="BD488" s="14"/>
      <c r="BE488" s="14"/>
      <c r="BF488" s="14"/>
      <c r="BG488" s="14"/>
      <c r="BH488" s="14"/>
      <c r="BI488" s="14"/>
    </row>
    <row r="489" spans="1:6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67"/>
      <c r="AK489" s="14"/>
      <c r="AL489" s="14"/>
      <c r="AM489" s="14"/>
      <c r="AN489" s="14" t="e">
        <f>IF('ETF Data'!$H$2,IF(ISNUMBER(AK489),AK489,NA()),NA())</f>
        <v>#N/A</v>
      </c>
      <c r="AO489" s="14"/>
      <c r="AP489" s="14"/>
      <c r="AQ489" s="14"/>
      <c r="AR489" s="14"/>
      <c r="AS489" s="14"/>
      <c r="AT489" s="14"/>
      <c r="AU489" s="14"/>
      <c r="AV489" s="14"/>
      <c r="AW489" s="14"/>
      <c r="AX489" s="14"/>
      <c r="AY489" s="14"/>
      <c r="AZ489" s="14"/>
      <c r="BA489" s="14"/>
      <c r="BB489" s="14"/>
      <c r="BC489" s="14"/>
      <c r="BD489" s="14"/>
      <c r="BE489" s="14"/>
      <c r="BF489" s="14"/>
      <c r="BG489" s="14"/>
      <c r="BH489" s="14"/>
      <c r="BI489" s="14"/>
    </row>
    <row r="490" spans="1:6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67"/>
      <c r="AK490" s="14"/>
      <c r="AL490" s="14"/>
      <c r="AM490" s="14"/>
      <c r="AN490" s="14" t="e">
        <f>IF('ETF Data'!$H$2,IF(ISNUMBER(AK490),AK490,NA()),NA())</f>
        <v>#N/A</v>
      </c>
      <c r="AO490" s="14"/>
      <c r="AP490" s="14"/>
      <c r="AQ490" s="14"/>
      <c r="AR490" s="14"/>
      <c r="AS490" s="14"/>
      <c r="AT490" s="14"/>
      <c r="AU490" s="14"/>
      <c r="AV490" s="14"/>
      <c r="AW490" s="14"/>
      <c r="AX490" s="14"/>
      <c r="AY490" s="14"/>
      <c r="AZ490" s="14"/>
      <c r="BA490" s="14"/>
      <c r="BB490" s="14"/>
      <c r="BC490" s="14"/>
      <c r="BD490" s="14"/>
      <c r="BE490" s="14"/>
      <c r="BF490" s="14"/>
      <c r="BG490" s="14"/>
      <c r="BH490" s="14"/>
      <c r="BI490" s="14"/>
    </row>
    <row r="491" spans="1:6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67"/>
      <c r="AK491" s="14"/>
      <c r="AL491" s="14"/>
      <c r="AM491" s="14"/>
      <c r="AN491" s="14" t="e">
        <f>IF('ETF Data'!$H$2,IF(ISNUMBER(AK491),AK491,NA()),NA())</f>
        <v>#N/A</v>
      </c>
      <c r="AO491" s="14"/>
      <c r="AP491" s="14"/>
      <c r="AQ491" s="14"/>
      <c r="AR491" s="14"/>
      <c r="AS491" s="14"/>
      <c r="AT491" s="14"/>
      <c r="AU491" s="14"/>
      <c r="AV491" s="14"/>
      <c r="AW491" s="14"/>
      <c r="AX491" s="14"/>
      <c r="AY491" s="14"/>
      <c r="AZ491" s="14"/>
      <c r="BA491" s="14"/>
      <c r="BB491" s="14"/>
      <c r="BC491" s="14"/>
      <c r="BD491" s="14"/>
      <c r="BE491" s="14"/>
      <c r="BF491" s="14"/>
      <c r="BG491" s="14"/>
      <c r="BH491" s="14"/>
      <c r="BI491" s="14"/>
    </row>
    <row r="492" spans="1:6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67"/>
      <c r="AK492" s="14"/>
      <c r="AL492" s="14"/>
      <c r="AM492" s="14"/>
      <c r="AN492" s="14" t="e">
        <f>IF('ETF Data'!$H$2,IF(ISNUMBER(AK492),AK492,NA()),NA())</f>
        <v>#N/A</v>
      </c>
      <c r="AO492" s="14"/>
      <c r="AP492" s="14"/>
      <c r="AQ492" s="14"/>
      <c r="AR492" s="14"/>
      <c r="AS492" s="14"/>
      <c r="AT492" s="14"/>
      <c r="AU492" s="14"/>
      <c r="AV492" s="14"/>
      <c r="AW492" s="14"/>
      <c r="AX492" s="14"/>
      <c r="AY492" s="14"/>
      <c r="AZ492" s="14"/>
      <c r="BA492" s="14"/>
      <c r="BB492" s="14"/>
      <c r="BC492" s="14"/>
      <c r="BD492" s="14"/>
      <c r="BE492" s="14"/>
      <c r="BF492" s="14"/>
      <c r="BG492" s="14"/>
      <c r="BH492" s="14"/>
      <c r="BI492" s="14"/>
    </row>
    <row r="493" spans="1:6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67"/>
      <c r="AK493" s="14"/>
      <c r="AL493" s="14"/>
      <c r="AM493" s="14"/>
      <c r="AN493" s="14" t="e">
        <f>IF('ETF Data'!$H$2,IF(ISNUMBER(AK493),AK493,NA()),NA())</f>
        <v>#N/A</v>
      </c>
      <c r="AO493" s="14"/>
      <c r="AP493" s="14"/>
      <c r="AQ493" s="14"/>
      <c r="AR493" s="14"/>
      <c r="AS493" s="14"/>
      <c r="AT493" s="14"/>
      <c r="AU493" s="14"/>
      <c r="AV493" s="14"/>
      <c r="AW493" s="14"/>
      <c r="AX493" s="14"/>
      <c r="AY493" s="14"/>
      <c r="AZ493" s="14"/>
      <c r="BA493" s="14"/>
      <c r="BB493" s="14"/>
      <c r="BC493" s="14"/>
      <c r="BD493" s="14"/>
      <c r="BE493" s="14"/>
      <c r="BF493" s="14"/>
      <c r="BG493" s="14"/>
      <c r="BH493" s="14"/>
      <c r="BI493" s="14"/>
    </row>
    <row r="494" spans="1:6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67"/>
      <c r="AK494" s="14"/>
      <c r="AL494" s="14"/>
      <c r="AM494" s="14"/>
      <c r="AN494" s="14" t="e">
        <f>IF('ETF Data'!$H$2,IF(ISNUMBER(AK494),AK494,NA()),NA())</f>
        <v>#N/A</v>
      </c>
      <c r="AO494" s="14"/>
      <c r="AP494" s="14"/>
      <c r="AQ494" s="14"/>
      <c r="AR494" s="14"/>
      <c r="AS494" s="14"/>
      <c r="AT494" s="14"/>
      <c r="AU494" s="14"/>
      <c r="AV494" s="14"/>
      <c r="AW494" s="14"/>
      <c r="AX494" s="14"/>
      <c r="AY494" s="14"/>
      <c r="AZ494" s="14"/>
      <c r="BA494" s="14"/>
      <c r="BB494" s="14"/>
      <c r="BC494" s="14"/>
      <c r="BD494" s="14"/>
      <c r="BE494" s="14"/>
      <c r="BF494" s="14"/>
      <c r="BG494" s="14"/>
      <c r="BH494" s="14"/>
      <c r="BI494" s="14"/>
    </row>
    <row r="495" spans="1:6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67"/>
      <c r="AK495" s="14"/>
      <c r="AL495" s="14"/>
      <c r="AM495" s="14"/>
      <c r="AN495" s="14" t="e">
        <f>IF('ETF Data'!$H$2,IF(ISNUMBER(AK495),AK495,NA()),NA())</f>
        <v>#N/A</v>
      </c>
      <c r="AO495" s="14"/>
      <c r="AP495" s="14"/>
      <c r="AQ495" s="14"/>
      <c r="AR495" s="14"/>
      <c r="AS495" s="14"/>
      <c r="AT495" s="14"/>
      <c r="AU495" s="14"/>
      <c r="AV495" s="14"/>
      <c r="AW495" s="14"/>
      <c r="AX495" s="14"/>
      <c r="AY495" s="14"/>
      <c r="AZ495" s="14"/>
      <c r="BA495" s="14"/>
      <c r="BB495" s="14"/>
      <c r="BC495" s="14"/>
      <c r="BD495" s="14"/>
      <c r="BE495" s="14"/>
      <c r="BF495" s="14"/>
      <c r="BG495" s="14"/>
      <c r="BH495" s="14"/>
      <c r="BI495" s="14"/>
    </row>
    <row r="496" spans="1:6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67"/>
      <c r="AK496" s="14"/>
      <c r="AL496" s="14"/>
      <c r="AM496" s="14"/>
      <c r="AN496" s="14" t="e">
        <f>IF('ETF Data'!$H$2,IF(ISNUMBER(AK496),AK496,NA()),NA())</f>
        <v>#N/A</v>
      </c>
      <c r="AO496" s="14"/>
      <c r="AP496" s="14"/>
      <c r="AQ496" s="14"/>
      <c r="AR496" s="14"/>
      <c r="AS496" s="14"/>
      <c r="AT496" s="14"/>
      <c r="AU496" s="14"/>
      <c r="AV496" s="14"/>
      <c r="AW496" s="14"/>
      <c r="AX496" s="14"/>
      <c r="AY496" s="14"/>
      <c r="AZ496" s="14"/>
      <c r="BA496" s="14"/>
      <c r="BB496" s="14"/>
      <c r="BC496" s="14"/>
      <c r="BD496" s="14"/>
      <c r="BE496" s="14"/>
      <c r="BF496" s="14"/>
      <c r="BG496" s="14"/>
      <c r="BH496" s="14"/>
      <c r="BI496" s="14"/>
    </row>
    <row r="497" spans="1:6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67"/>
      <c r="AK497" s="14"/>
      <c r="AL497" s="14"/>
      <c r="AM497" s="14"/>
      <c r="AN497" s="14" t="e">
        <f>IF('ETF Data'!$H$2,IF(ISNUMBER(AK497),AK497,NA()),NA())</f>
        <v>#N/A</v>
      </c>
      <c r="AO497" s="14"/>
      <c r="AP497" s="14"/>
      <c r="AQ497" s="14"/>
      <c r="AR497" s="14"/>
      <c r="AS497" s="14"/>
      <c r="AT497" s="14"/>
      <c r="AU497" s="14"/>
      <c r="AV497" s="14"/>
      <c r="AW497" s="14"/>
      <c r="AX497" s="14"/>
      <c r="AY497" s="14"/>
      <c r="AZ497" s="14"/>
      <c r="BA497" s="14"/>
      <c r="BB497" s="14"/>
      <c r="BC497" s="14"/>
      <c r="BD497" s="14"/>
      <c r="BE497" s="14"/>
      <c r="BF497" s="14"/>
      <c r="BG497" s="14"/>
      <c r="BH497" s="14"/>
      <c r="BI497" s="14"/>
    </row>
    <row r="498" spans="1:6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67"/>
      <c r="AK498" s="14"/>
      <c r="AL498" s="14"/>
      <c r="AM498" s="14"/>
      <c r="AN498" s="14" t="e">
        <f>IF('ETF Data'!$H$2,IF(ISNUMBER(AK498),AK498,NA()),NA())</f>
        <v>#N/A</v>
      </c>
      <c r="AO498" s="14"/>
      <c r="AP498" s="14"/>
      <c r="AQ498" s="14"/>
      <c r="AR498" s="14"/>
      <c r="AS498" s="14"/>
      <c r="AT498" s="14"/>
      <c r="AU498" s="14"/>
      <c r="AV498" s="14"/>
      <c r="AW498" s="14"/>
      <c r="AX498" s="14"/>
      <c r="AY498" s="14"/>
      <c r="AZ498" s="14"/>
      <c r="BA498" s="14"/>
      <c r="BB498" s="14"/>
      <c r="BC498" s="14"/>
      <c r="BD498" s="14"/>
      <c r="BE498" s="14"/>
      <c r="BF498" s="14"/>
      <c r="BG498" s="14"/>
      <c r="BH498" s="14"/>
      <c r="BI498" s="14"/>
    </row>
    <row r="499" spans="1:6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67"/>
      <c r="AK499" s="14"/>
      <c r="AL499" s="14"/>
      <c r="AM499" s="14"/>
      <c r="AN499" s="14" t="e">
        <f>IF('ETF Data'!$H$2,IF(ISNUMBER(AK499),AK499,NA()),NA())</f>
        <v>#N/A</v>
      </c>
      <c r="AO499" s="14"/>
      <c r="AP499" s="14"/>
      <c r="AQ499" s="14"/>
      <c r="AR499" s="14"/>
      <c r="AS499" s="14"/>
      <c r="AT499" s="14"/>
      <c r="AU499" s="14"/>
      <c r="AV499" s="14"/>
      <c r="AW499" s="14"/>
      <c r="AX499" s="14"/>
      <c r="AY499" s="14"/>
      <c r="AZ499" s="14"/>
      <c r="BA499" s="14"/>
      <c r="BB499" s="14"/>
      <c r="BC499" s="14"/>
      <c r="BD499" s="14"/>
      <c r="BE499" s="14"/>
      <c r="BF499" s="14"/>
      <c r="BG499" s="14"/>
      <c r="BH499" s="14"/>
      <c r="BI499" s="14"/>
    </row>
    <row r="500" spans="1:6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67"/>
      <c r="AK500" s="14"/>
      <c r="AL500" s="14"/>
      <c r="AM500" s="14"/>
      <c r="AN500" s="14" t="e">
        <f>IF('ETF Data'!$H$2,IF(ISNUMBER(AK500),AK500,NA()),NA())</f>
        <v>#N/A</v>
      </c>
      <c r="AO500" s="14"/>
      <c r="AP500" s="14"/>
      <c r="AQ500" s="14"/>
      <c r="AR500" s="14"/>
      <c r="AS500" s="14"/>
      <c r="AT500" s="14"/>
      <c r="AU500" s="14"/>
      <c r="AV500" s="14"/>
      <c r="AW500" s="14"/>
      <c r="AX500" s="14"/>
      <c r="AY500" s="14"/>
      <c r="AZ500" s="14"/>
      <c r="BA500" s="14"/>
      <c r="BB500" s="14"/>
      <c r="BC500" s="14"/>
      <c r="BD500" s="14"/>
      <c r="BE500" s="14"/>
      <c r="BF500" s="14"/>
      <c r="BG500" s="14"/>
      <c r="BH500" s="14"/>
      <c r="BI500" s="14"/>
    </row>
    <row r="501" spans="1:6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67"/>
      <c r="AK501" s="14"/>
      <c r="AL501" s="14"/>
      <c r="AM501" s="14"/>
      <c r="AN501" s="14" t="e">
        <f>IF('ETF Data'!$H$2,IF(ISNUMBER(AK501),AK501,NA()),NA())</f>
        <v>#N/A</v>
      </c>
      <c r="AO501" s="14"/>
      <c r="AP501" s="14"/>
      <c r="AQ501" s="14"/>
      <c r="AR501" s="14"/>
      <c r="AS501" s="14"/>
      <c r="AT501" s="14"/>
      <c r="AU501" s="14"/>
      <c r="AV501" s="14"/>
      <c r="AW501" s="14"/>
      <c r="AX501" s="14"/>
      <c r="AY501" s="14"/>
      <c r="AZ501" s="14"/>
      <c r="BA501" s="14"/>
      <c r="BB501" s="14"/>
      <c r="BC501" s="14"/>
      <c r="BD501" s="14"/>
      <c r="BE501" s="14"/>
      <c r="BF501" s="14"/>
      <c r="BG501" s="14"/>
      <c r="BH501" s="14"/>
      <c r="BI501" s="14"/>
    </row>
    <row r="502" spans="1:6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67"/>
      <c r="AK502" s="14"/>
      <c r="AL502" s="14"/>
      <c r="AM502" s="14"/>
      <c r="AN502" s="14" t="e">
        <f>IF('ETF Data'!$H$2,IF(ISNUMBER(AK502),AK502,NA()),NA())</f>
        <v>#N/A</v>
      </c>
      <c r="AO502" s="14"/>
      <c r="AP502" s="14"/>
      <c r="AQ502" s="14"/>
      <c r="AR502" s="14"/>
      <c r="AS502" s="14"/>
      <c r="AT502" s="14"/>
      <c r="AU502" s="14"/>
      <c r="AV502" s="14"/>
      <c r="AW502" s="14"/>
      <c r="AX502" s="14"/>
      <c r="AY502" s="14"/>
      <c r="AZ502" s="14"/>
      <c r="BA502" s="14"/>
      <c r="BB502" s="14"/>
      <c r="BC502" s="14"/>
      <c r="BD502" s="14"/>
      <c r="BE502" s="14"/>
      <c r="BF502" s="14"/>
      <c r="BG502" s="14"/>
      <c r="BH502" s="14"/>
      <c r="BI502" s="14"/>
    </row>
    <row r="503" spans="1:6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67"/>
      <c r="AK503" s="14"/>
      <c r="AL503" s="14"/>
      <c r="AM503" s="14"/>
      <c r="AN503" s="14" t="e">
        <f>IF('ETF Data'!$H$2,IF(ISNUMBER(AK503),AK503,NA()),NA())</f>
        <v>#N/A</v>
      </c>
      <c r="AO503" s="14"/>
      <c r="AP503" s="14"/>
      <c r="AQ503" s="14"/>
      <c r="AR503" s="14"/>
      <c r="AS503" s="14"/>
      <c r="AT503" s="14"/>
      <c r="AU503" s="14"/>
      <c r="AV503" s="14"/>
      <c r="AW503" s="14"/>
      <c r="AX503" s="14"/>
      <c r="AY503" s="14"/>
      <c r="AZ503" s="14"/>
      <c r="BA503" s="14"/>
      <c r="BB503" s="14"/>
      <c r="BC503" s="14"/>
      <c r="BD503" s="14"/>
      <c r="BE503" s="14"/>
      <c r="BF503" s="14"/>
      <c r="BG503" s="14"/>
      <c r="BH503" s="14"/>
      <c r="BI503" s="14"/>
    </row>
    <row r="504" spans="1:6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67"/>
      <c r="AK504" s="14"/>
      <c r="AL504" s="14"/>
      <c r="AM504" s="14"/>
      <c r="AN504" s="14" t="e">
        <f>IF('ETF Data'!$H$2,IF(ISNUMBER(AK504),AK504,NA()),NA())</f>
        <v>#N/A</v>
      </c>
      <c r="AO504" s="14"/>
      <c r="AP504" s="14"/>
      <c r="AQ504" s="14"/>
      <c r="AR504" s="14"/>
      <c r="AS504" s="14"/>
      <c r="AT504" s="14"/>
      <c r="AU504" s="14"/>
      <c r="AV504" s="14"/>
      <c r="AW504" s="14"/>
      <c r="AX504" s="14"/>
      <c r="AY504" s="14"/>
      <c r="AZ504" s="14"/>
      <c r="BA504" s="14"/>
      <c r="BB504" s="14"/>
      <c r="BC504" s="14"/>
      <c r="BD504" s="14"/>
      <c r="BE504" s="14"/>
      <c r="BF504" s="14"/>
      <c r="BG504" s="14"/>
      <c r="BH504" s="14"/>
      <c r="BI504" s="14"/>
    </row>
    <row r="505" spans="1:6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67"/>
      <c r="AK505" s="14"/>
      <c r="AL505" s="14"/>
      <c r="AM505" s="14"/>
      <c r="AN505" s="14" t="e">
        <f>IF('ETF Data'!$H$2,IF(ISNUMBER(AK505),AK505,NA()),NA())</f>
        <v>#N/A</v>
      </c>
      <c r="AO505" s="14"/>
      <c r="AP505" s="14"/>
      <c r="AQ505" s="14"/>
      <c r="AR505" s="14"/>
      <c r="AS505" s="14"/>
      <c r="AT505" s="14"/>
      <c r="AU505" s="14"/>
      <c r="AV505" s="14"/>
      <c r="AW505" s="14"/>
      <c r="AX505" s="14"/>
      <c r="AY505" s="14"/>
      <c r="AZ505" s="14"/>
      <c r="BA505" s="14"/>
      <c r="BB505" s="14"/>
      <c r="BC505" s="14"/>
      <c r="BD505" s="14"/>
      <c r="BE505" s="14"/>
      <c r="BF505" s="14"/>
      <c r="BG505" s="14"/>
      <c r="BH505" s="14"/>
      <c r="BI505" s="14"/>
    </row>
    <row r="506" spans="1:6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67"/>
      <c r="AK506" s="14"/>
      <c r="AL506" s="14"/>
      <c r="AM506" s="14"/>
      <c r="AN506" s="14" t="e">
        <f>IF('ETF Data'!$H$2,IF(ISNUMBER(AK506),AK506,NA()),NA())</f>
        <v>#N/A</v>
      </c>
      <c r="AO506" s="14"/>
      <c r="AP506" s="14"/>
      <c r="AQ506" s="14"/>
      <c r="AR506" s="14"/>
      <c r="AS506" s="14"/>
      <c r="AT506" s="14"/>
      <c r="AU506" s="14"/>
      <c r="AV506" s="14"/>
      <c r="AW506" s="14"/>
      <c r="AX506" s="14"/>
      <c r="AY506" s="14"/>
      <c r="AZ506" s="14"/>
      <c r="BA506" s="14"/>
      <c r="BB506" s="14"/>
      <c r="BC506" s="14"/>
      <c r="BD506" s="14"/>
      <c r="BE506" s="14"/>
      <c r="BF506" s="14"/>
      <c r="BG506" s="14"/>
      <c r="BH506" s="14"/>
      <c r="BI506" s="14"/>
    </row>
    <row r="507" spans="1:6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67"/>
      <c r="AK507" s="14"/>
      <c r="AL507" s="14"/>
      <c r="AM507" s="14"/>
      <c r="AN507" s="14" t="e">
        <f>IF('ETF Data'!$H$2,IF(ISNUMBER(AK507),AK507,NA()),NA())</f>
        <v>#N/A</v>
      </c>
      <c r="AO507" s="14"/>
      <c r="AP507" s="14"/>
      <c r="AQ507" s="14"/>
      <c r="AR507" s="14"/>
      <c r="AS507" s="14"/>
      <c r="AT507" s="14"/>
      <c r="AU507" s="14"/>
      <c r="AV507" s="14"/>
      <c r="AW507" s="14"/>
      <c r="AX507" s="14"/>
      <c r="AY507" s="14"/>
      <c r="AZ507" s="14"/>
      <c r="BA507" s="14"/>
      <c r="BB507" s="14"/>
      <c r="BC507" s="14"/>
      <c r="BD507" s="14"/>
      <c r="BE507" s="14"/>
      <c r="BF507" s="14"/>
      <c r="BG507" s="14"/>
      <c r="BH507" s="14"/>
      <c r="BI507" s="14"/>
    </row>
    <row r="508" spans="1:6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67"/>
      <c r="AK508" s="14"/>
      <c r="AL508" s="14"/>
      <c r="AM508" s="14"/>
      <c r="AN508" s="14" t="e">
        <f>IF('ETF Data'!$H$2,IF(ISNUMBER(AK508),AK508,NA()),NA())</f>
        <v>#N/A</v>
      </c>
      <c r="AO508" s="14"/>
      <c r="AP508" s="14"/>
      <c r="AQ508" s="14"/>
      <c r="AR508" s="14"/>
      <c r="AS508" s="14"/>
      <c r="AT508" s="14"/>
      <c r="AU508" s="14"/>
      <c r="AV508" s="14"/>
      <c r="AW508" s="14"/>
      <c r="AX508" s="14"/>
      <c r="AY508" s="14"/>
      <c r="AZ508" s="14"/>
      <c r="BA508" s="14"/>
      <c r="BB508" s="14"/>
      <c r="BC508" s="14"/>
      <c r="BD508" s="14"/>
      <c r="BE508" s="14"/>
      <c r="BF508" s="14"/>
      <c r="BG508" s="14"/>
      <c r="BH508" s="14"/>
      <c r="BI508" s="14"/>
    </row>
    <row r="509" spans="1:6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67"/>
      <c r="AK509" s="14"/>
      <c r="AL509" s="14"/>
      <c r="AM509" s="14"/>
      <c r="AN509" s="14" t="e">
        <f>IF('ETF Data'!$H$2,IF(ISNUMBER(AK509),AK509,NA()),NA())</f>
        <v>#N/A</v>
      </c>
      <c r="AO509" s="14"/>
      <c r="AP509" s="14"/>
      <c r="AQ509" s="14"/>
      <c r="AR509" s="14"/>
      <c r="AS509" s="14"/>
      <c r="AT509" s="14"/>
      <c r="AU509" s="14"/>
      <c r="AV509" s="14"/>
      <c r="AW509" s="14"/>
      <c r="AX509" s="14"/>
      <c r="AY509" s="14"/>
      <c r="AZ509" s="14"/>
      <c r="BA509" s="14"/>
      <c r="BB509" s="14"/>
      <c r="BC509" s="14"/>
      <c r="BD509" s="14"/>
      <c r="BE509" s="14"/>
      <c r="BF509" s="14"/>
      <c r="BG509" s="14"/>
      <c r="BH509" s="14"/>
      <c r="BI509" s="14"/>
    </row>
    <row r="510" spans="1:6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67"/>
      <c r="AK510" s="14"/>
      <c r="AL510" s="14"/>
      <c r="AM510" s="14"/>
      <c r="AN510" s="14" t="e">
        <f>IF('ETF Data'!$H$2,IF(ISNUMBER(AK510),AK510,NA()),NA())</f>
        <v>#N/A</v>
      </c>
      <c r="AO510" s="14"/>
      <c r="AP510" s="14"/>
      <c r="AQ510" s="14"/>
      <c r="AR510" s="14"/>
      <c r="AS510" s="14"/>
      <c r="AT510" s="14"/>
      <c r="AU510" s="14"/>
      <c r="AV510" s="14"/>
      <c r="AW510" s="14"/>
      <c r="AX510" s="14"/>
      <c r="AY510" s="14"/>
      <c r="AZ510" s="14"/>
      <c r="BA510" s="14"/>
      <c r="BB510" s="14"/>
      <c r="BC510" s="14"/>
      <c r="BD510" s="14"/>
      <c r="BE510" s="14"/>
      <c r="BF510" s="14"/>
      <c r="BG510" s="14"/>
      <c r="BH510" s="14"/>
      <c r="BI510" s="14"/>
    </row>
    <row r="511" spans="1:6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67"/>
      <c r="AK511" s="14"/>
      <c r="AL511" s="14"/>
      <c r="AM511" s="14"/>
      <c r="AN511" s="14" t="e">
        <f>IF('ETF Data'!$H$2,IF(ISNUMBER(AK511),AK511,NA()),NA())</f>
        <v>#N/A</v>
      </c>
      <c r="AO511" s="14"/>
      <c r="AP511" s="14"/>
      <c r="AQ511" s="14"/>
      <c r="AR511" s="14"/>
      <c r="AS511" s="14"/>
      <c r="AT511" s="14"/>
      <c r="AU511" s="14"/>
      <c r="AV511" s="14"/>
      <c r="AW511" s="14"/>
      <c r="AX511" s="14"/>
      <c r="AY511" s="14"/>
      <c r="AZ511" s="14"/>
      <c r="BA511" s="14"/>
      <c r="BB511" s="14"/>
      <c r="BC511" s="14"/>
      <c r="BD511" s="14"/>
      <c r="BE511" s="14"/>
      <c r="BF511" s="14"/>
      <c r="BG511" s="14"/>
      <c r="BH511" s="14"/>
      <c r="BI511" s="14"/>
    </row>
    <row r="512" spans="1:6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67"/>
      <c r="AK512" s="14"/>
      <c r="AL512" s="14"/>
      <c r="AM512" s="14"/>
      <c r="AN512" s="14" t="e">
        <f>IF('ETF Data'!$H$2,IF(ISNUMBER(AK512),AK512,NA()),NA())</f>
        <v>#N/A</v>
      </c>
      <c r="AO512" s="14"/>
      <c r="AP512" s="14"/>
      <c r="AQ512" s="14"/>
      <c r="AR512" s="14"/>
      <c r="AS512" s="14"/>
      <c r="AT512" s="14"/>
      <c r="AU512" s="14"/>
      <c r="AV512" s="14"/>
      <c r="AW512" s="14"/>
      <c r="AX512" s="14"/>
      <c r="AY512" s="14"/>
      <c r="AZ512" s="14"/>
      <c r="BA512" s="14"/>
      <c r="BB512" s="14"/>
      <c r="BC512" s="14"/>
      <c r="BD512" s="14"/>
      <c r="BE512" s="14"/>
      <c r="BF512" s="14"/>
      <c r="BG512" s="14"/>
      <c r="BH512" s="14"/>
      <c r="BI512" s="14"/>
    </row>
    <row r="513" spans="1:6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67"/>
      <c r="AK513" s="14"/>
      <c r="AL513" s="14"/>
      <c r="AM513" s="14"/>
      <c r="AN513" s="14" t="e">
        <f>IF('ETF Data'!$H$2,IF(ISNUMBER(AK513),AK513,NA()),NA())</f>
        <v>#N/A</v>
      </c>
      <c r="AO513" s="14"/>
      <c r="AP513" s="14"/>
      <c r="AQ513" s="14"/>
      <c r="AR513" s="14"/>
      <c r="AS513" s="14"/>
      <c r="AT513" s="14"/>
      <c r="AU513" s="14"/>
      <c r="AV513" s="14"/>
      <c r="AW513" s="14"/>
      <c r="AX513" s="14"/>
      <c r="AY513" s="14"/>
      <c r="AZ513" s="14"/>
      <c r="BA513" s="14"/>
      <c r="BB513" s="14"/>
      <c r="BC513" s="14"/>
      <c r="BD513" s="14"/>
      <c r="BE513" s="14"/>
      <c r="BF513" s="14"/>
      <c r="BG513" s="14"/>
      <c r="BH513" s="14"/>
      <c r="BI513" s="14"/>
    </row>
    <row r="514" spans="1:6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67"/>
      <c r="AK514" s="14"/>
      <c r="AL514" s="14"/>
      <c r="AM514" s="14"/>
      <c r="AN514" s="14" t="e">
        <f>IF('ETF Data'!$H$2,IF(ISNUMBER(AK514),AK514,NA()),NA())</f>
        <v>#N/A</v>
      </c>
      <c r="AO514" s="14"/>
      <c r="AP514" s="14"/>
      <c r="AQ514" s="14"/>
      <c r="AR514" s="14"/>
      <c r="AS514" s="14"/>
      <c r="AT514" s="14"/>
      <c r="AU514" s="14"/>
      <c r="AV514" s="14"/>
      <c r="AW514" s="14"/>
      <c r="AX514" s="14"/>
      <c r="AY514" s="14"/>
      <c r="AZ514" s="14"/>
      <c r="BA514" s="14"/>
      <c r="BB514" s="14"/>
      <c r="BC514" s="14"/>
      <c r="BD514" s="14"/>
      <c r="BE514" s="14"/>
      <c r="BF514" s="14"/>
      <c r="BG514" s="14"/>
      <c r="BH514" s="14"/>
      <c r="BI514" s="14"/>
    </row>
    <row r="515" spans="1:6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67"/>
      <c r="AK515" s="14"/>
      <c r="AL515" s="14"/>
      <c r="AM515" s="14"/>
      <c r="AN515" s="14" t="e">
        <f>IF('ETF Data'!$H$2,IF(ISNUMBER(AK515),AK515,NA()),NA())</f>
        <v>#N/A</v>
      </c>
      <c r="AO515" s="14"/>
      <c r="AP515" s="14"/>
      <c r="AQ515" s="14"/>
      <c r="AR515" s="14"/>
      <c r="AS515" s="14"/>
      <c r="AT515" s="14"/>
      <c r="AU515" s="14"/>
      <c r="AV515" s="14"/>
      <c r="AW515" s="14"/>
      <c r="AX515" s="14"/>
      <c r="AY515" s="14"/>
      <c r="AZ515" s="14"/>
      <c r="BA515" s="14"/>
      <c r="BB515" s="14"/>
      <c r="BC515" s="14"/>
      <c r="BD515" s="14"/>
      <c r="BE515" s="14"/>
      <c r="BF515" s="14"/>
      <c r="BG515" s="14"/>
      <c r="BH515" s="14"/>
      <c r="BI515" s="14"/>
    </row>
    <row r="516" spans="1:6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67"/>
      <c r="AK516" s="14"/>
      <c r="AL516" s="14"/>
      <c r="AM516" s="14"/>
      <c r="AN516" s="14" t="e">
        <f>IF('ETF Data'!$H$2,IF(ISNUMBER(AK516),AK516,NA()),NA())</f>
        <v>#N/A</v>
      </c>
      <c r="AO516" s="14"/>
      <c r="AP516" s="14"/>
      <c r="AQ516" s="14"/>
      <c r="AR516" s="14"/>
      <c r="AS516" s="14"/>
      <c r="AT516" s="14"/>
      <c r="AU516" s="14"/>
      <c r="AV516" s="14"/>
      <c r="AW516" s="14"/>
      <c r="AX516" s="14"/>
      <c r="AY516" s="14"/>
      <c r="AZ516" s="14"/>
      <c r="BA516" s="14"/>
      <c r="BB516" s="14"/>
      <c r="BC516" s="14"/>
      <c r="BD516" s="14"/>
      <c r="BE516" s="14"/>
      <c r="BF516" s="14"/>
      <c r="BG516" s="14"/>
      <c r="BH516" s="14"/>
      <c r="BI516" s="14"/>
    </row>
    <row r="517" spans="1:6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67"/>
      <c r="AK517" s="14"/>
      <c r="AL517" s="14"/>
      <c r="AM517" s="14"/>
      <c r="AN517" s="14" t="e">
        <f>IF('ETF Data'!$H$2,IF(ISNUMBER(AK517),AK517,NA()),NA())</f>
        <v>#N/A</v>
      </c>
      <c r="AO517" s="14"/>
      <c r="AP517" s="14"/>
      <c r="AQ517" s="14"/>
      <c r="AR517" s="14"/>
      <c r="AS517" s="14"/>
      <c r="AT517" s="14"/>
      <c r="AU517" s="14"/>
      <c r="AV517" s="14"/>
      <c r="AW517" s="14"/>
      <c r="AX517" s="14"/>
      <c r="AY517" s="14"/>
      <c r="AZ517" s="14"/>
      <c r="BA517" s="14"/>
      <c r="BB517" s="14"/>
      <c r="BC517" s="14"/>
      <c r="BD517" s="14"/>
      <c r="BE517" s="14"/>
      <c r="BF517" s="14"/>
      <c r="BG517" s="14"/>
      <c r="BH517" s="14"/>
      <c r="BI517" s="14"/>
    </row>
    <row r="518" spans="1:6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67"/>
      <c r="AK518" s="14"/>
      <c r="AL518" s="14"/>
      <c r="AM518" s="14"/>
      <c r="AN518" s="14" t="e">
        <f>IF('ETF Data'!$H$2,IF(ISNUMBER(AK518),AK518,NA()),NA())</f>
        <v>#N/A</v>
      </c>
      <c r="AO518" s="14"/>
      <c r="AP518" s="14"/>
      <c r="AQ518" s="14"/>
      <c r="AR518" s="14"/>
      <c r="AS518" s="14"/>
      <c r="AT518" s="14"/>
      <c r="AU518" s="14"/>
      <c r="AV518" s="14"/>
      <c r="AW518" s="14"/>
      <c r="AX518" s="14"/>
      <c r="AY518" s="14"/>
      <c r="AZ518" s="14"/>
      <c r="BA518" s="14"/>
      <c r="BB518" s="14"/>
      <c r="BC518" s="14"/>
      <c r="BD518" s="14"/>
      <c r="BE518" s="14"/>
      <c r="BF518" s="14"/>
      <c r="BG518" s="14"/>
      <c r="BH518" s="14"/>
      <c r="BI518" s="14"/>
    </row>
    <row r="519" spans="1:6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67"/>
      <c r="AK519" s="14"/>
      <c r="AL519" s="14"/>
      <c r="AM519" s="14"/>
      <c r="AN519" s="14" t="e">
        <f>IF('ETF Data'!$H$2,IF(ISNUMBER(AK519),AK519,NA()),NA())</f>
        <v>#N/A</v>
      </c>
      <c r="AO519" s="14"/>
      <c r="AP519" s="14"/>
      <c r="AQ519" s="14"/>
      <c r="AR519" s="14"/>
      <c r="AS519" s="14"/>
      <c r="AT519" s="14"/>
      <c r="AU519" s="14"/>
      <c r="AV519" s="14"/>
      <c r="AW519" s="14"/>
      <c r="AX519" s="14"/>
      <c r="AY519" s="14"/>
      <c r="AZ519" s="14"/>
      <c r="BA519" s="14"/>
      <c r="BB519" s="14"/>
      <c r="BC519" s="14"/>
      <c r="BD519" s="14"/>
      <c r="BE519" s="14"/>
      <c r="BF519" s="14"/>
      <c r="BG519" s="14"/>
      <c r="BH519" s="14"/>
      <c r="BI519" s="14"/>
    </row>
    <row r="520" spans="1:6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67"/>
      <c r="AK520" s="14"/>
      <c r="AL520" s="14"/>
      <c r="AM520" s="14"/>
      <c r="AN520" s="14" t="e">
        <f>IF('ETF Data'!$H$2,IF(ISNUMBER(AK520),AK520,NA()),NA())</f>
        <v>#N/A</v>
      </c>
      <c r="AO520" s="14"/>
      <c r="AP520" s="14"/>
      <c r="AQ520" s="14"/>
      <c r="AR520" s="14"/>
      <c r="AS520" s="14"/>
      <c r="AT520" s="14"/>
      <c r="AU520" s="14"/>
      <c r="AV520" s="14"/>
      <c r="AW520" s="14"/>
      <c r="AX520" s="14"/>
      <c r="AY520" s="14"/>
      <c r="AZ520" s="14"/>
      <c r="BA520" s="14"/>
      <c r="BB520" s="14"/>
      <c r="BC520" s="14"/>
      <c r="BD520" s="14"/>
      <c r="BE520" s="14"/>
      <c r="BF520" s="14"/>
      <c r="BG520" s="14"/>
      <c r="BH520" s="14"/>
      <c r="BI520" s="14"/>
    </row>
    <row r="521" spans="1:6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67"/>
      <c r="AK521" s="14"/>
      <c r="AL521" s="14"/>
      <c r="AM521" s="14"/>
      <c r="AN521" s="14" t="e">
        <f>IF('ETF Data'!$H$2,IF(ISNUMBER(AK521),AK521,NA()),NA())</f>
        <v>#N/A</v>
      </c>
      <c r="AO521" s="14"/>
      <c r="AP521" s="14"/>
      <c r="AQ521" s="14"/>
      <c r="AR521" s="14"/>
      <c r="AS521" s="14"/>
      <c r="AT521" s="14"/>
      <c r="AU521" s="14"/>
      <c r="AV521" s="14"/>
      <c r="AW521" s="14"/>
      <c r="AX521" s="14"/>
      <c r="AY521" s="14"/>
      <c r="AZ521" s="14"/>
      <c r="BA521" s="14"/>
      <c r="BB521" s="14"/>
      <c r="BC521" s="14"/>
      <c r="BD521" s="14"/>
      <c r="BE521" s="14"/>
      <c r="BF521" s="14"/>
      <c r="BG521" s="14"/>
      <c r="BH521" s="14"/>
      <c r="BI521" s="14"/>
    </row>
    <row r="522" spans="1:6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67"/>
      <c r="AK522" s="14"/>
      <c r="AL522" s="14"/>
      <c r="AM522" s="14"/>
      <c r="AN522" s="14" t="e">
        <f>IF('ETF Data'!$H$2,IF(ISNUMBER(AK522),AK522,NA()),NA())</f>
        <v>#N/A</v>
      </c>
      <c r="AO522" s="14"/>
      <c r="AP522" s="14"/>
      <c r="AQ522" s="14"/>
      <c r="AR522" s="14"/>
      <c r="AS522" s="14"/>
      <c r="AT522" s="14"/>
      <c r="AU522" s="14"/>
      <c r="AV522" s="14"/>
      <c r="AW522" s="14"/>
      <c r="AX522" s="14"/>
      <c r="AY522" s="14"/>
      <c r="AZ522" s="14"/>
      <c r="BA522" s="14"/>
      <c r="BB522" s="14"/>
      <c r="BC522" s="14"/>
      <c r="BD522" s="14"/>
      <c r="BE522" s="14"/>
      <c r="BF522" s="14"/>
      <c r="BG522" s="14"/>
      <c r="BH522" s="14"/>
      <c r="BI522" s="14"/>
    </row>
    <row r="523" spans="1:6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67"/>
      <c r="AK523" s="14"/>
      <c r="AL523" s="14"/>
      <c r="AM523" s="14"/>
      <c r="AN523" s="14" t="e">
        <f>IF('ETF Data'!$H$2,IF(ISNUMBER(AK523),AK523,NA()),NA())</f>
        <v>#N/A</v>
      </c>
      <c r="AO523" s="14"/>
      <c r="AP523" s="14"/>
      <c r="AQ523" s="14"/>
      <c r="AR523" s="14"/>
      <c r="AS523" s="14"/>
      <c r="AT523" s="14"/>
      <c r="AU523" s="14"/>
      <c r="AV523" s="14"/>
      <c r="AW523" s="14"/>
      <c r="AX523" s="14"/>
      <c r="AY523" s="14"/>
      <c r="AZ523" s="14"/>
      <c r="BA523" s="14"/>
      <c r="BB523" s="14"/>
      <c r="BC523" s="14"/>
      <c r="BD523" s="14"/>
      <c r="BE523" s="14"/>
      <c r="BF523" s="14"/>
      <c r="BG523" s="14"/>
      <c r="BH523" s="14"/>
      <c r="BI523" s="14"/>
    </row>
    <row r="524" spans="1:6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67"/>
      <c r="AK524" s="14"/>
      <c r="AL524" s="14"/>
      <c r="AM524" s="14"/>
      <c r="AN524" s="14" t="e">
        <f>IF('ETF Data'!$H$2,IF(ISNUMBER(AK524),AK524,NA()),NA())</f>
        <v>#N/A</v>
      </c>
      <c r="AO524" s="14"/>
      <c r="AP524" s="14"/>
      <c r="AQ524" s="14"/>
      <c r="AR524" s="14"/>
      <c r="AS524" s="14"/>
      <c r="AT524" s="14"/>
      <c r="AU524" s="14"/>
      <c r="AV524" s="14"/>
      <c r="AW524" s="14"/>
      <c r="AX524" s="14"/>
      <c r="AY524" s="14"/>
      <c r="AZ524" s="14"/>
      <c r="BA524" s="14"/>
      <c r="BB524" s="14"/>
      <c r="BC524" s="14"/>
      <c r="BD524" s="14"/>
      <c r="BE524" s="14"/>
      <c r="BF524" s="14"/>
      <c r="BG524" s="14"/>
      <c r="BH524" s="14"/>
      <c r="BI524" s="14"/>
    </row>
    <row r="525" spans="1:6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67"/>
      <c r="AK525" s="14"/>
      <c r="AL525" s="14"/>
      <c r="AM525" s="14"/>
      <c r="AN525" s="14" t="e">
        <f>IF('ETF Data'!$H$2,IF(ISNUMBER(AK525),AK525,NA()),NA())</f>
        <v>#N/A</v>
      </c>
      <c r="AO525" s="14"/>
      <c r="AP525" s="14"/>
      <c r="AQ525" s="14"/>
      <c r="AR525" s="14"/>
      <c r="AS525" s="14"/>
      <c r="AT525" s="14"/>
      <c r="AU525" s="14"/>
      <c r="AV525" s="14"/>
      <c r="AW525" s="14"/>
      <c r="AX525" s="14"/>
      <c r="AY525" s="14"/>
      <c r="AZ525" s="14"/>
      <c r="BA525" s="14"/>
      <c r="BB525" s="14"/>
      <c r="BC525" s="14"/>
      <c r="BD525" s="14"/>
      <c r="BE525" s="14"/>
      <c r="BF525" s="14"/>
      <c r="BG525" s="14"/>
      <c r="BH525" s="14"/>
      <c r="BI525" s="14"/>
    </row>
    <row r="526" spans="1:6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67"/>
      <c r="AK526" s="14"/>
      <c r="AL526" s="14"/>
      <c r="AM526" s="14"/>
      <c r="AN526" s="14" t="e">
        <f>IF('ETF Data'!$H$2,IF(ISNUMBER(AK526),AK526,NA()),NA())</f>
        <v>#N/A</v>
      </c>
      <c r="AO526" s="14"/>
      <c r="AP526" s="14"/>
      <c r="AQ526" s="14"/>
      <c r="AR526" s="14"/>
      <c r="AS526" s="14"/>
      <c r="AT526" s="14"/>
      <c r="AU526" s="14"/>
      <c r="AV526" s="14"/>
      <c r="AW526" s="14"/>
      <c r="AX526" s="14"/>
      <c r="AY526" s="14"/>
      <c r="AZ526" s="14"/>
      <c r="BA526" s="14"/>
      <c r="BB526" s="14"/>
      <c r="BC526" s="14"/>
      <c r="BD526" s="14"/>
      <c r="BE526" s="14"/>
      <c r="BF526" s="14"/>
      <c r="BG526" s="14"/>
      <c r="BH526" s="14"/>
      <c r="BI526" s="14"/>
    </row>
    <row r="527" spans="1:6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67"/>
      <c r="AK527" s="14"/>
      <c r="AL527" s="14"/>
      <c r="AM527" s="14"/>
      <c r="AN527" s="14" t="e">
        <f>IF('ETF Data'!$H$2,IF(ISNUMBER(AK527),AK527,NA()),NA())</f>
        <v>#N/A</v>
      </c>
      <c r="AO527" s="14"/>
      <c r="AP527" s="14"/>
      <c r="AQ527" s="14"/>
      <c r="AR527" s="14"/>
      <c r="AS527" s="14"/>
      <c r="AT527" s="14"/>
      <c r="AU527" s="14"/>
      <c r="AV527" s="14"/>
      <c r="AW527" s="14"/>
      <c r="AX527" s="14"/>
      <c r="AY527" s="14"/>
      <c r="AZ527" s="14"/>
      <c r="BA527" s="14"/>
      <c r="BB527" s="14"/>
      <c r="BC527" s="14"/>
      <c r="BD527" s="14"/>
      <c r="BE527" s="14"/>
      <c r="BF527" s="14"/>
      <c r="BG527" s="14"/>
      <c r="BH527" s="14"/>
      <c r="BI527" s="14"/>
    </row>
    <row r="528" spans="1:6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67"/>
      <c r="AK528" s="14"/>
      <c r="AL528" s="14"/>
      <c r="AM528" s="14"/>
      <c r="AN528" s="14" t="e">
        <f>IF('ETF Data'!$H$2,IF(ISNUMBER(AK528),AK528,NA()),NA())</f>
        <v>#N/A</v>
      </c>
      <c r="AO528" s="14"/>
      <c r="AP528" s="14"/>
      <c r="AQ528" s="14"/>
      <c r="AR528" s="14"/>
      <c r="AS528" s="14"/>
      <c r="AT528" s="14"/>
      <c r="AU528" s="14"/>
      <c r="AV528" s="14"/>
      <c r="AW528" s="14"/>
      <c r="AX528" s="14"/>
      <c r="AY528" s="14"/>
      <c r="AZ528" s="14"/>
      <c r="BA528" s="14"/>
      <c r="BB528" s="14"/>
      <c r="BC528" s="14"/>
      <c r="BD528" s="14"/>
      <c r="BE528" s="14"/>
      <c r="BF528" s="14"/>
      <c r="BG528" s="14"/>
      <c r="BH528" s="14"/>
      <c r="BI528" s="14"/>
    </row>
    <row r="529" spans="1:6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67"/>
      <c r="AK529" s="14"/>
      <c r="AL529" s="14"/>
      <c r="AM529" s="14"/>
      <c r="AN529" s="14" t="e">
        <f>IF('ETF Data'!$H$2,IF(ISNUMBER(AK529),AK529,NA()),NA())</f>
        <v>#N/A</v>
      </c>
      <c r="AO529" s="14"/>
      <c r="AP529" s="14"/>
      <c r="AQ529" s="14"/>
      <c r="AR529" s="14"/>
      <c r="AS529" s="14"/>
      <c r="AT529" s="14"/>
      <c r="AU529" s="14"/>
      <c r="AV529" s="14"/>
      <c r="AW529" s="14"/>
      <c r="AX529" s="14"/>
      <c r="AY529" s="14"/>
      <c r="AZ529" s="14"/>
      <c r="BA529" s="14"/>
      <c r="BB529" s="14"/>
      <c r="BC529" s="14"/>
      <c r="BD529" s="14"/>
      <c r="BE529" s="14"/>
      <c r="BF529" s="14"/>
      <c r="BG529" s="14"/>
      <c r="BH529" s="14"/>
      <c r="BI529" s="14"/>
    </row>
    <row r="530" spans="1:6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67"/>
      <c r="AK530" s="14"/>
      <c r="AL530" s="14"/>
      <c r="AM530" s="14"/>
      <c r="AN530" s="14" t="e">
        <f>IF('ETF Data'!$H$2,IF(ISNUMBER(AK530),AK530,NA()),NA())</f>
        <v>#N/A</v>
      </c>
      <c r="AO530" s="14"/>
      <c r="AP530" s="14"/>
      <c r="AQ530" s="14"/>
      <c r="AR530" s="14"/>
      <c r="AS530" s="14"/>
      <c r="AT530" s="14"/>
      <c r="AU530" s="14"/>
      <c r="AV530" s="14"/>
      <c r="AW530" s="14"/>
      <c r="AX530" s="14"/>
      <c r="AY530" s="14"/>
      <c r="AZ530" s="14"/>
      <c r="BA530" s="14"/>
      <c r="BB530" s="14"/>
      <c r="BC530" s="14"/>
      <c r="BD530" s="14"/>
      <c r="BE530" s="14"/>
      <c r="BF530" s="14"/>
      <c r="BG530" s="14"/>
      <c r="BH530" s="14"/>
      <c r="BI530" s="14"/>
    </row>
    <row r="531" spans="1:6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67"/>
      <c r="AK531" s="14"/>
      <c r="AL531" s="14"/>
      <c r="AM531" s="14"/>
      <c r="AN531" s="14" t="e">
        <f>IF('ETF Data'!$H$2,IF(ISNUMBER(AK531),AK531,NA()),NA())</f>
        <v>#N/A</v>
      </c>
      <c r="AO531" s="14"/>
      <c r="AP531" s="14"/>
      <c r="AQ531" s="14"/>
      <c r="AR531" s="14"/>
      <c r="AS531" s="14"/>
      <c r="AT531" s="14"/>
      <c r="AU531" s="14"/>
      <c r="AV531" s="14"/>
      <c r="AW531" s="14"/>
      <c r="AX531" s="14"/>
      <c r="AY531" s="14"/>
      <c r="AZ531" s="14"/>
      <c r="BA531" s="14"/>
      <c r="BB531" s="14"/>
      <c r="BC531" s="14"/>
      <c r="BD531" s="14"/>
      <c r="BE531" s="14"/>
      <c r="BF531" s="14"/>
      <c r="BG531" s="14"/>
      <c r="BH531" s="14"/>
      <c r="BI531" s="14"/>
    </row>
    <row r="532" spans="1:6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67"/>
      <c r="AK532" s="14"/>
      <c r="AL532" s="14"/>
      <c r="AM532" s="14"/>
      <c r="AN532" s="14" t="e">
        <f>IF('ETF Data'!$H$2,IF(ISNUMBER(AK532),AK532,NA()),NA())</f>
        <v>#N/A</v>
      </c>
      <c r="AO532" s="14"/>
      <c r="AP532" s="14"/>
      <c r="AQ532" s="14"/>
      <c r="AR532" s="14"/>
      <c r="AS532" s="14"/>
      <c r="AT532" s="14"/>
      <c r="AU532" s="14"/>
      <c r="AV532" s="14"/>
      <c r="AW532" s="14"/>
      <c r="AX532" s="14"/>
      <c r="AY532" s="14"/>
      <c r="AZ532" s="14"/>
      <c r="BA532" s="14"/>
      <c r="BB532" s="14"/>
      <c r="BC532" s="14"/>
      <c r="BD532" s="14"/>
      <c r="BE532" s="14"/>
      <c r="BF532" s="14"/>
      <c r="BG532" s="14"/>
      <c r="BH532" s="14"/>
      <c r="BI532" s="14"/>
    </row>
    <row r="533" spans="1:6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67"/>
      <c r="AK533" s="14"/>
      <c r="AL533" s="14"/>
      <c r="AM533" s="14"/>
      <c r="AN533" s="14" t="e">
        <f>IF('ETF Data'!$H$2,IF(ISNUMBER(AK533),AK533,NA()),NA())</f>
        <v>#N/A</v>
      </c>
      <c r="AO533" s="14"/>
      <c r="AP533" s="14"/>
      <c r="AQ533" s="14"/>
      <c r="AR533" s="14"/>
      <c r="AS533" s="14"/>
      <c r="AT533" s="14"/>
      <c r="AU533" s="14"/>
      <c r="AV533" s="14"/>
      <c r="AW533" s="14"/>
      <c r="AX533" s="14"/>
      <c r="AY533" s="14"/>
      <c r="AZ533" s="14"/>
      <c r="BA533" s="14"/>
      <c r="BB533" s="14"/>
      <c r="BC533" s="14"/>
      <c r="BD533" s="14"/>
      <c r="BE533" s="14"/>
      <c r="BF533" s="14"/>
      <c r="BG533" s="14"/>
      <c r="BH533" s="14"/>
      <c r="BI533" s="14"/>
    </row>
    <row r="534" spans="1:6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67"/>
      <c r="AK534" s="14"/>
      <c r="AL534" s="14"/>
      <c r="AM534" s="14"/>
      <c r="AN534" s="14" t="e">
        <f>IF('ETF Data'!$H$2,IF(ISNUMBER(AK534),AK534,NA()),NA())</f>
        <v>#N/A</v>
      </c>
      <c r="AO534" s="14"/>
      <c r="AP534" s="14"/>
      <c r="AQ534" s="14"/>
      <c r="AR534" s="14"/>
      <c r="AS534" s="14"/>
      <c r="AT534" s="14"/>
      <c r="AU534" s="14"/>
      <c r="AV534" s="14"/>
      <c r="AW534" s="14"/>
      <c r="AX534" s="14"/>
      <c r="AY534" s="14"/>
      <c r="AZ534" s="14"/>
      <c r="BA534" s="14"/>
      <c r="BB534" s="14"/>
      <c r="BC534" s="14"/>
      <c r="BD534" s="14"/>
      <c r="BE534" s="14"/>
      <c r="BF534" s="14"/>
      <c r="BG534" s="14"/>
      <c r="BH534" s="14"/>
      <c r="BI534" s="14"/>
    </row>
    <row r="535" spans="1:6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67"/>
      <c r="AK535" s="14"/>
      <c r="AL535" s="14"/>
      <c r="AM535" s="14"/>
      <c r="AN535" s="14" t="e">
        <f>IF('ETF Data'!$H$2,IF(ISNUMBER(AK535),AK535,NA()),NA())</f>
        <v>#N/A</v>
      </c>
      <c r="AO535" s="14"/>
      <c r="AP535" s="14"/>
      <c r="AQ535" s="14"/>
      <c r="AR535" s="14"/>
      <c r="AS535" s="14"/>
      <c r="AT535" s="14"/>
      <c r="AU535" s="14"/>
      <c r="AV535" s="14"/>
      <c r="AW535" s="14"/>
      <c r="AX535" s="14"/>
      <c r="AY535" s="14"/>
      <c r="AZ535" s="14"/>
      <c r="BA535" s="14"/>
      <c r="BB535" s="14"/>
      <c r="BC535" s="14"/>
      <c r="BD535" s="14"/>
      <c r="BE535" s="14"/>
      <c r="BF535" s="14"/>
      <c r="BG535" s="14"/>
      <c r="BH535" s="14"/>
      <c r="BI535" s="14"/>
    </row>
    <row r="536" spans="1:6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67"/>
      <c r="AK536" s="14"/>
      <c r="AL536" s="14"/>
      <c r="AM536" s="14"/>
      <c r="AN536" s="14" t="e">
        <f>IF('ETF Data'!$H$2,IF(ISNUMBER(AK536),AK536,NA()),NA())</f>
        <v>#N/A</v>
      </c>
      <c r="AO536" s="14"/>
      <c r="AP536" s="14"/>
      <c r="AQ536" s="14"/>
      <c r="AR536" s="14"/>
      <c r="AS536" s="14"/>
      <c r="AT536" s="14"/>
      <c r="AU536" s="14"/>
      <c r="AV536" s="14"/>
      <c r="AW536" s="14"/>
      <c r="AX536" s="14"/>
      <c r="AY536" s="14"/>
      <c r="AZ536" s="14"/>
      <c r="BA536" s="14"/>
      <c r="BB536" s="14"/>
      <c r="BC536" s="14"/>
      <c r="BD536" s="14"/>
      <c r="BE536" s="14"/>
      <c r="BF536" s="14"/>
      <c r="BG536" s="14"/>
      <c r="BH536" s="14"/>
      <c r="BI536" s="14"/>
    </row>
    <row r="537" spans="1:6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67"/>
      <c r="AK537" s="14"/>
      <c r="AL537" s="14"/>
      <c r="AM537" s="14"/>
      <c r="AN537" s="14" t="e">
        <f>IF('ETF Data'!$H$2,IF(ISNUMBER(AK537),AK537,NA()),NA())</f>
        <v>#N/A</v>
      </c>
      <c r="AO537" s="14"/>
      <c r="AP537" s="14"/>
      <c r="AQ537" s="14"/>
      <c r="AR537" s="14"/>
      <c r="AS537" s="14"/>
      <c r="AT537" s="14"/>
      <c r="AU537" s="14"/>
      <c r="AV537" s="14"/>
      <c r="AW537" s="14"/>
      <c r="AX537" s="14"/>
      <c r="AY537" s="14"/>
      <c r="AZ537" s="14"/>
      <c r="BA537" s="14"/>
      <c r="BB537" s="14"/>
      <c r="BC537" s="14"/>
      <c r="BD537" s="14"/>
      <c r="BE537" s="14"/>
      <c r="BF537" s="14"/>
      <c r="BG537" s="14"/>
      <c r="BH537" s="14"/>
      <c r="BI537" s="14"/>
    </row>
    <row r="538" spans="1:6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67"/>
      <c r="AK538" s="14"/>
      <c r="AL538" s="14"/>
      <c r="AM538" s="14"/>
      <c r="AN538" s="14" t="e">
        <f>IF('ETF Data'!$H$2,IF(ISNUMBER(AK538),AK538,NA()),NA())</f>
        <v>#N/A</v>
      </c>
      <c r="AO538" s="14"/>
      <c r="AP538" s="14"/>
      <c r="AQ538" s="14"/>
      <c r="AR538" s="14"/>
      <c r="AS538" s="14"/>
      <c r="AT538" s="14"/>
      <c r="AU538" s="14"/>
      <c r="AV538" s="14"/>
      <c r="AW538" s="14"/>
      <c r="AX538" s="14"/>
      <c r="AY538" s="14"/>
      <c r="AZ538" s="14"/>
      <c r="BA538" s="14"/>
      <c r="BB538" s="14"/>
      <c r="BC538" s="14"/>
      <c r="BD538" s="14"/>
      <c r="BE538" s="14"/>
      <c r="BF538" s="14"/>
      <c r="BG538" s="14"/>
      <c r="BH538" s="14"/>
      <c r="BI538" s="14"/>
    </row>
    <row r="539" spans="1:6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67"/>
      <c r="AK539" s="14"/>
      <c r="AL539" s="14"/>
      <c r="AM539" s="14"/>
      <c r="AN539" s="14" t="e">
        <f>IF('ETF Data'!$H$2,IF(ISNUMBER(AK539),AK539,NA()),NA())</f>
        <v>#N/A</v>
      </c>
      <c r="AO539" s="14"/>
      <c r="AP539" s="14"/>
      <c r="AQ539" s="14"/>
      <c r="AR539" s="14"/>
      <c r="AS539" s="14"/>
      <c r="AT539" s="14"/>
      <c r="AU539" s="14"/>
      <c r="AV539" s="14"/>
      <c r="AW539" s="14"/>
      <c r="AX539" s="14"/>
      <c r="AY539" s="14"/>
      <c r="AZ539" s="14"/>
      <c r="BA539" s="14"/>
      <c r="BB539" s="14"/>
      <c r="BC539" s="14"/>
      <c r="BD539" s="14"/>
      <c r="BE539" s="14"/>
      <c r="BF539" s="14"/>
      <c r="BG539" s="14"/>
      <c r="BH539" s="14"/>
      <c r="BI539" s="14"/>
    </row>
    <row r="540" spans="1:6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67"/>
      <c r="AK540" s="14"/>
      <c r="AL540" s="14"/>
      <c r="AM540" s="14"/>
      <c r="AN540" s="14" t="e">
        <f>IF('ETF Data'!$H$2,IF(ISNUMBER(AK540),AK540,NA()),NA())</f>
        <v>#N/A</v>
      </c>
      <c r="AO540" s="14"/>
      <c r="AP540" s="14"/>
      <c r="AQ540" s="14"/>
      <c r="AR540" s="14"/>
      <c r="AS540" s="14"/>
      <c r="AT540" s="14"/>
      <c r="AU540" s="14"/>
      <c r="AV540" s="14"/>
      <c r="AW540" s="14"/>
      <c r="AX540" s="14"/>
      <c r="AY540" s="14"/>
      <c r="AZ540" s="14"/>
      <c r="BA540" s="14"/>
      <c r="BB540" s="14"/>
      <c r="BC540" s="14"/>
      <c r="BD540" s="14"/>
      <c r="BE540" s="14"/>
      <c r="BF540" s="14"/>
      <c r="BG540" s="14"/>
      <c r="BH540" s="14"/>
      <c r="BI540" s="14"/>
    </row>
    <row r="541" spans="1:6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67"/>
      <c r="AK541" s="14"/>
      <c r="AL541" s="14"/>
      <c r="AM541" s="14"/>
      <c r="AN541" s="14" t="e">
        <f>IF('ETF Data'!$H$2,IF(ISNUMBER(AK541),AK541,NA()),NA())</f>
        <v>#N/A</v>
      </c>
      <c r="AO541" s="14"/>
      <c r="AP541" s="14"/>
      <c r="AQ541" s="14"/>
      <c r="AR541" s="14"/>
      <c r="AS541" s="14"/>
      <c r="AT541" s="14"/>
      <c r="AU541" s="14"/>
      <c r="AV541" s="14"/>
      <c r="AW541" s="14"/>
      <c r="AX541" s="14"/>
      <c r="AY541" s="14"/>
      <c r="AZ541" s="14"/>
      <c r="BA541" s="14"/>
      <c r="BB541" s="14"/>
      <c r="BC541" s="14"/>
      <c r="BD541" s="14"/>
      <c r="BE541" s="14"/>
      <c r="BF541" s="14"/>
      <c r="BG541" s="14"/>
      <c r="BH541" s="14"/>
      <c r="BI541" s="14"/>
    </row>
    <row r="542" spans="1:6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67"/>
      <c r="AK542" s="14"/>
      <c r="AL542" s="14"/>
      <c r="AM542" s="14"/>
      <c r="AN542" s="14" t="e">
        <f>IF('ETF Data'!$H$2,IF(ISNUMBER(AK542),AK542,NA()),NA())</f>
        <v>#N/A</v>
      </c>
      <c r="AO542" s="14"/>
      <c r="AP542" s="14"/>
      <c r="AQ542" s="14"/>
      <c r="AR542" s="14"/>
      <c r="AS542" s="14"/>
      <c r="AT542" s="14"/>
      <c r="AU542" s="14"/>
      <c r="AV542" s="14"/>
      <c r="AW542" s="14"/>
      <c r="AX542" s="14"/>
      <c r="AY542" s="14"/>
      <c r="AZ542" s="14"/>
      <c r="BA542" s="14"/>
      <c r="BB542" s="14"/>
      <c r="BC542" s="14"/>
      <c r="BD542" s="14"/>
      <c r="BE542" s="14"/>
      <c r="BF542" s="14"/>
      <c r="BG542" s="14"/>
      <c r="BH542" s="14"/>
      <c r="BI542" s="14"/>
    </row>
    <row r="543" spans="1:6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67"/>
      <c r="AK543" s="14"/>
      <c r="AL543" s="14"/>
      <c r="AM543" s="14"/>
      <c r="AN543" s="14" t="e">
        <f>IF('ETF Data'!$H$2,IF(ISNUMBER(AK543),AK543,NA()),NA())</f>
        <v>#N/A</v>
      </c>
      <c r="AO543" s="14"/>
      <c r="AP543" s="14"/>
      <c r="AQ543" s="14"/>
      <c r="AR543" s="14"/>
      <c r="AS543" s="14"/>
      <c r="AT543" s="14"/>
      <c r="AU543" s="14"/>
      <c r="AV543" s="14"/>
      <c r="AW543" s="14"/>
      <c r="AX543" s="14"/>
      <c r="AY543" s="14"/>
      <c r="AZ543" s="14"/>
      <c r="BA543" s="14"/>
      <c r="BB543" s="14"/>
      <c r="BC543" s="14"/>
      <c r="BD543" s="14"/>
      <c r="BE543" s="14"/>
      <c r="BF543" s="14"/>
      <c r="BG543" s="14"/>
      <c r="BH543" s="14"/>
      <c r="BI543" s="14"/>
    </row>
    <row r="544" spans="1:6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67"/>
      <c r="AK544" s="14"/>
      <c r="AL544" s="14"/>
      <c r="AM544" s="14"/>
      <c r="AN544" s="14" t="e">
        <f>IF('ETF Data'!$H$2,IF(ISNUMBER(AK544),AK544,NA()),NA())</f>
        <v>#N/A</v>
      </c>
      <c r="AO544" s="14"/>
      <c r="AP544" s="14"/>
      <c r="AQ544" s="14"/>
      <c r="AR544" s="14"/>
      <c r="AS544" s="14"/>
      <c r="AT544" s="14"/>
      <c r="AU544" s="14"/>
      <c r="AV544" s="14"/>
      <c r="AW544" s="14"/>
      <c r="AX544" s="14"/>
      <c r="AY544" s="14"/>
      <c r="AZ544" s="14"/>
      <c r="BA544" s="14"/>
      <c r="BB544" s="14"/>
      <c r="BC544" s="14"/>
      <c r="BD544" s="14"/>
      <c r="BE544" s="14"/>
      <c r="BF544" s="14"/>
      <c r="BG544" s="14"/>
      <c r="BH544" s="14"/>
      <c r="BI544" s="14"/>
    </row>
    <row r="545" spans="1:6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67"/>
      <c r="AK545" s="14"/>
      <c r="AL545" s="14"/>
      <c r="AM545" s="14"/>
      <c r="AN545" s="14" t="e">
        <f>IF('ETF Data'!$H$2,IF(ISNUMBER(AK545),AK545,NA()),NA())</f>
        <v>#N/A</v>
      </c>
      <c r="AO545" s="14"/>
      <c r="AP545" s="14"/>
      <c r="AQ545" s="14"/>
      <c r="AR545" s="14"/>
      <c r="AS545" s="14"/>
      <c r="AT545" s="14"/>
      <c r="AU545" s="14"/>
      <c r="AV545" s="14"/>
      <c r="AW545" s="14"/>
      <c r="AX545" s="14"/>
      <c r="AY545" s="14"/>
      <c r="AZ545" s="14"/>
      <c r="BA545" s="14"/>
      <c r="BB545" s="14"/>
      <c r="BC545" s="14"/>
      <c r="BD545" s="14"/>
      <c r="BE545" s="14"/>
      <c r="BF545" s="14"/>
      <c r="BG545" s="14"/>
      <c r="BH545" s="14"/>
      <c r="BI545" s="14"/>
    </row>
    <row r="546" spans="1:6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67"/>
      <c r="AK546" s="14"/>
      <c r="AL546" s="14"/>
      <c r="AM546" s="14"/>
      <c r="AN546" s="14" t="e">
        <f>IF('ETF Data'!$H$2,IF(ISNUMBER(AK546),AK546,NA()),NA())</f>
        <v>#N/A</v>
      </c>
      <c r="AO546" s="14"/>
      <c r="AP546" s="14"/>
      <c r="AQ546" s="14"/>
      <c r="AR546" s="14"/>
      <c r="AS546" s="14"/>
      <c r="AT546" s="14"/>
      <c r="AU546" s="14"/>
      <c r="AV546" s="14"/>
      <c r="AW546" s="14"/>
      <c r="AX546" s="14"/>
      <c r="AY546" s="14"/>
      <c r="AZ546" s="14"/>
      <c r="BA546" s="14"/>
      <c r="BB546" s="14"/>
      <c r="BC546" s="14"/>
      <c r="BD546" s="14"/>
      <c r="BE546" s="14"/>
      <c r="BF546" s="14"/>
      <c r="BG546" s="14"/>
      <c r="BH546" s="14"/>
      <c r="BI546" s="14"/>
    </row>
    <row r="547" spans="1:6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67"/>
      <c r="AK547" s="14"/>
      <c r="AL547" s="14"/>
      <c r="AM547" s="14"/>
      <c r="AN547" s="14" t="e">
        <f>IF('ETF Data'!$H$2,IF(ISNUMBER(AK547),AK547,NA()),NA())</f>
        <v>#N/A</v>
      </c>
      <c r="AO547" s="14"/>
      <c r="AP547" s="14"/>
      <c r="AQ547" s="14"/>
      <c r="AR547" s="14"/>
      <c r="AS547" s="14"/>
      <c r="AT547" s="14"/>
      <c r="AU547" s="14"/>
      <c r="AV547" s="14"/>
      <c r="AW547" s="14"/>
      <c r="AX547" s="14"/>
      <c r="AY547" s="14"/>
      <c r="AZ547" s="14"/>
      <c r="BA547" s="14"/>
      <c r="BB547" s="14"/>
      <c r="BC547" s="14"/>
      <c r="BD547" s="14"/>
      <c r="BE547" s="14"/>
      <c r="BF547" s="14"/>
      <c r="BG547" s="14"/>
      <c r="BH547" s="14"/>
      <c r="BI547" s="14"/>
    </row>
    <row r="548" spans="1:6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67"/>
      <c r="AK548" s="14"/>
      <c r="AL548" s="14"/>
      <c r="AM548" s="14"/>
      <c r="AN548" s="14" t="e">
        <f>IF('ETF Data'!$H$2,IF(ISNUMBER(AK548),AK548,NA()),NA())</f>
        <v>#N/A</v>
      </c>
      <c r="AO548" s="14"/>
      <c r="AP548" s="14"/>
      <c r="AQ548" s="14"/>
      <c r="AR548" s="14"/>
      <c r="AS548" s="14"/>
      <c r="AT548" s="14"/>
      <c r="AU548" s="14"/>
      <c r="AV548" s="14"/>
      <c r="AW548" s="14"/>
      <c r="AX548" s="14"/>
      <c r="AY548" s="14"/>
      <c r="AZ548" s="14"/>
      <c r="BA548" s="14"/>
      <c r="BB548" s="14"/>
      <c r="BC548" s="14"/>
      <c r="BD548" s="14"/>
      <c r="BE548" s="14"/>
      <c r="BF548" s="14"/>
      <c r="BG548" s="14"/>
      <c r="BH548" s="14"/>
      <c r="BI548" s="14"/>
    </row>
    <row r="549" spans="1:6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67"/>
      <c r="AK549" s="14"/>
      <c r="AL549" s="14"/>
      <c r="AM549" s="14"/>
      <c r="AN549" s="14" t="e">
        <f>IF('ETF Data'!$H$2,IF(ISNUMBER(AK549),AK549,NA()),NA())</f>
        <v>#N/A</v>
      </c>
      <c r="AO549" s="14"/>
      <c r="AP549" s="14"/>
      <c r="AQ549" s="14"/>
      <c r="AR549" s="14"/>
      <c r="AS549" s="14"/>
      <c r="AT549" s="14"/>
      <c r="AU549" s="14"/>
      <c r="AV549" s="14"/>
      <c r="AW549" s="14"/>
      <c r="AX549" s="14"/>
      <c r="AY549" s="14"/>
      <c r="AZ549" s="14"/>
      <c r="BA549" s="14"/>
      <c r="BB549" s="14"/>
      <c r="BC549" s="14"/>
      <c r="BD549" s="14"/>
      <c r="BE549" s="14"/>
      <c r="BF549" s="14"/>
      <c r="BG549" s="14"/>
      <c r="BH549" s="14"/>
      <c r="BI549" s="14"/>
    </row>
    <row r="550" spans="1:6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67"/>
      <c r="AK550" s="14"/>
      <c r="AL550" s="14"/>
      <c r="AM550" s="14"/>
      <c r="AN550" s="14" t="e">
        <f>IF('ETF Data'!$H$2,IF(ISNUMBER(AK550),AK550,NA()),NA())</f>
        <v>#N/A</v>
      </c>
      <c r="AO550" s="14"/>
      <c r="AP550" s="14"/>
      <c r="AQ550" s="14"/>
      <c r="AR550" s="14"/>
      <c r="AS550" s="14"/>
      <c r="AT550" s="14"/>
      <c r="AU550" s="14"/>
      <c r="AV550" s="14"/>
      <c r="AW550" s="14"/>
      <c r="AX550" s="14"/>
      <c r="AY550" s="14"/>
      <c r="AZ550" s="14"/>
      <c r="BA550" s="14"/>
      <c r="BB550" s="14"/>
      <c r="BC550" s="14"/>
      <c r="BD550" s="14"/>
      <c r="BE550" s="14"/>
      <c r="BF550" s="14"/>
      <c r="BG550" s="14"/>
      <c r="BH550" s="14"/>
      <c r="BI550" s="14"/>
    </row>
    <row r="551" spans="1:6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67"/>
      <c r="AK551" s="14"/>
      <c r="AL551" s="14"/>
      <c r="AM551" s="14"/>
      <c r="AN551" s="14" t="e">
        <f>IF('ETF Data'!$H$2,IF(ISNUMBER(AK551),AK551,NA()),NA())</f>
        <v>#N/A</v>
      </c>
      <c r="AO551" s="14"/>
      <c r="AP551" s="14"/>
      <c r="AQ551" s="14"/>
      <c r="AR551" s="14"/>
      <c r="AS551" s="14"/>
      <c r="AT551" s="14"/>
      <c r="AU551" s="14"/>
      <c r="AV551" s="14"/>
      <c r="AW551" s="14"/>
      <c r="AX551" s="14"/>
      <c r="AY551" s="14"/>
      <c r="AZ551" s="14"/>
      <c r="BA551" s="14"/>
      <c r="BB551" s="14"/>
      <c r="BC551" s="14"/>
      <c r="BD551" s="14"/>
      <c r="BE551" s="14"/>
      <c r="BF551" s="14"/>
      <c r="BG551" s="14"/>
      <c r="BH551" s="14"/>
      <c r="BI551" s="14"/>
    </row>
    <row r="552" spans="1:6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67"/>
      <c r="AK552" s="14"/>
      <c r="AL552" s="14"/>
      <c r="AM552" s="14"/>
      <c r="AN552" s="14" t="e">
        <f>IF('ETF Data'!$H$2,IF(ISNUMBER(AK552),AK552,NA()),NA())</f>
        <v>#N/A</v>
      </c>
      <c r="AO552" s="14"/>
      <c r="AP552" s="14"/>
      <c r="AQ552" s="14"/>
      <c r="AR552" s="14"/>
      <c r="AS552" s="14"/>
      <c r="AT552" s="14"/>
      <c r="AU552" s="14"/>
      <c r="AV552" s="14"/>
      <c r="AW552" s="14"/>
      <c r="AX552" s="14"/>
      <c r="AY552" s="14"/>
      <c r="AZ552" s="14"/>
      <c r="BA552" s="14"/>
      <c r="BB552" s="14"/>
      <c r="BC552" s="14"/>
      <c r="BD552" s="14"/>
      <c r="BE552" s="14"/>
      <c r="BF552" s="14"/>
      <c r="BG552" s="14"/>
      <c r="BH552" s="14"/>
      <c r="BI552" s="14"/>
    </row>
    <row r="553" spans="1:6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67"/>
      <c r="AK553" s="14"/>
      <c r="AL553" s="14"/>
      <c r="AM553" s="14"/>
      <c r="AN553" s="14" t="e">
        <f>IF('ETF Data'!$H$2,IF(ISNUMBER(AK553),AK553,NA()),NA())</f>
        <v>#N/A</v>
      </c>
      <c r="AO553" s="14"/>
      <c r="AP553" s="14"/>
      <c r="AQ553" s="14"/>
      <c r="AR553" s="14"/>
      <c r="AS553" s="14"/>
      <c r="AT553" s="14"/>
      <c r="AU553" s="14"/>
      <c r="AV553" s="14"/>
      <c r="AW553" s="14"/>
      <c r="AX553" s="14"/>
      <c r="AY553" s="14"/>
      <c r="AZ553" s="14"/>
      <c r="BA553" s="14"/>
      <c r="BB553" s="14"/>
      <c r="BC553" s="14"/>
      <c r="BD553" s="14"/>
      <c r="BE553" s="14"/>
      <c r="BF553" s="14"/>
      <c r="BG553" s="14"/>
      <c r="BH553" s="14"/>
      <c r="BI553" s="14"/>
    </row>
    <row r="554" spans="1:6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67"/>
      <c r="AK554" s="14"/>
      <c r="AL554" s="14"/>
      <c r="AM554" s="14"/>
      <c r="AN554" s="14" t="e">
        <f>IF('ETF Data'!$H$2,IF(ISNUMBER(AK554),AK554,NA()),NA())</f>
        <v>#N/A</v>
      </c>
      <c r="AO554" s="14"/>
      <c r="AP554" s="14"/>
      <c r="AQ554" s="14"/>
      <c r="AR554" s="14"/>
      <c r="AS554" s="14"/>
      <c r="AT554" s="14"/>
      <c r="AU554" s="14"/>
      <c r="AV554" s="14"/>
      <c r="AW554" s="14"/>
      <c r="AX554" s="14"/>
      <c r="AY554" s="14"/>
      <c r="AZ554" s="14"/>
      <c r="BA554" s="14"/>
      <c r="BB554" s="14"/>
      <c r="BC554" s="14"/>
      <c r="BD554" s="14"/>
      <c r="BE554" s="14"/>
      <c r="BF554" s="14"/>
      <c r="BG554" s="14"/>
      <c r="BH554" s="14"/>
      <c r="BI554" s="14"/>
    </row>
    <row r="555" spans="1:6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67"/>
      <c r="AK555" s="14"/>
      <c r="AL555" s="14"/>
      <c r="AM555" s="14"/>
      <c r="AN555" s="14" t="e">
        <f>IF('ETF Data'!$H$2,IF(ISNUMBER(AK555),AK555,NA()),NA())</f>
        <v>#N/A</v>
      </c>
      <c r="AO555" s="14"/>
      <c r="AP555" s="14"/>
      <c r="AQ555" s="14"/>
      <c r="AR555" s="14"/>
      <c r="AS555" s="14"/>
      <c r="AT555" s="14"/>
      <c r="AU555" s="14"/>
      <c r="AV555" s="14"/>
      <c r="AW555" s="14"/>
      <c r="AX555" s="14"/>
      <c r="AY555" s="14"/>
      <c r="AZ555" s="14"/>
      <c r="BA555" s="14"/>
      <c r="BB555" s="14"/>
      <c r="BC555" s="14"/>
      <c r="BD555" s="14"/>
      <c r="BE555" s="14"/>
      <c r="BF555" s="14"/>
      <c r="BG555" s="14"/>
      <c r="BH555" s="14"/>
      <c r="BI555" s="14"/>
    </row>
    <row r="556" spans="1:6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67"/>
      <c r="AK556" s="14"/>
      <c r="AL556" s="14"/>
      <c r="AM556" s="14"/>
      <c r="AN556" s="14" t="e">
        <f>IF('ETF Data'!$H$2,IF(ISNUMBER(AK556),AK556,NA()),NA())</f>
        <v>#N/A</v>
      </c>
      <c r="AO556" s="14"/>
      <c r="AP556" s="14"/>
      <c r="AQ556" s="14"/>
      <c r="AR556" s="14"/>
      <c r="AS556" s="14"/>
      <c r="AT556" s="14"/>
      <c r="AU556" s="14"/>
      <c r="AV556" s="14"/>
      <c r="AW556" s="14"/>
      <c r="AX556" s="14"/>
      <c r="AY556" s="14"/>
      <c r="AZ556" s="14"/>
      <c r="BA556" s="14"/>
      <c r="BB556" s="14"/>
      <c r="BC556" s="14"/>
      <c r="BD556" s="14"/>
      <c r="BE556" s="14"/>
      <c r="BF556" s="14"/>
      <c r="BG556" s="14"/>
      <c r="BH556" s="14"/>
      <c r="BI556" s="14"/>
    </row>
    <row r="557" spans="1:6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67"/>
      <c r="AK557" s="14"/>
      <c r="AL557" s="14"/>
      <c r="AM557" s="14"/>
      <c r="AN557" s="14" t="e">
        <f>IF('ETF Data'!$H$2,IF(ISNUMBER(AK557),AK557,NA()),NA())</f>
        <v>#N/A</v>
      </c>
      <c r="AO557" s="14"/>
      <c r="AP557" s="14"/>
      <c r="AQ557" s="14"/>
      <c r="AR557" s="14"/>
      <c r="AS557" s="14"/>
      <c r="AT557" s="14"/>
      <c r="AU557" s="14"/>
      <c r="AV557" s="14"/>
      <c r="AW557" s="14"/>
      <c r="AX557" s="14"/>
      <c r="AY557" s="14"/>
      <c r="AZ557" s="14"/>
      <c r="BA557" s="14"/>
      <c r="BB557" s="14"/>
      <c r="BC557" s="14"/>
      <c r="BD557" s="14"/>
      <c r="BE557" s="14"/>
      <c r="BF557" s="14"/>
      <c r="BG557" s="14"/>
      <c r="BH557" s="14"/>
      <c r="BI557" s="14"/>
    </row>
    <row r="558" spans="1:6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67"/>
      <c r="AK558" s="14"/>
      <c r="AL558" s="14"/>
      <c r="AM558" s="14"/>
      <c r="AN558" s="14" t="e">
        <f>IF('ETF Data'!$H$2,IF(ISNUMBER(AK558),AK558,NA()),NA())</f>
        <v>#N/A</v>
      </c>
      <c r="AO558" s="14"/>
      <c r="AP558" s="14"/>
      <c r="AQ558" s="14"/>
      <c r="AR558" s="14"/>
      <c r="AS558" s="14"/>
      <c r="AT558" s="14"/>
      <c r="AU558" s="14"/>
      <c r="AV558" s="14"/>
      <c r="AW558" s="14"/>
      <c r="AX558" s="14"/>
      <c r="AY558" s="14"/>
      <c r="AZ558" s="14"/>
      <c r="BA558" s="14"/>
      <c r="BB558" s="14"/>
      <c r="BC558" s="14"/>
      <c r="BD558" s="14"/>
      <c r="BE558" s="14"/>
      <c r="BF558" s="14"/>
      <c r="BG558" s="14"/>
      <c r="BH558" s="14"/>
      <c r="BI558" s="14"/>
    </row>
    <row r="559" spans="1:6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67"/>
      <c r="AK559" s="14"/>
      <c r="AL559" s="14"/>
      <c r="AM559" s="14"/>
      <c r="AN559" s="14" t="e">
        <f>IF('ETF Data'!$H$2,IF(ISNUMBER(AK559),AK559,NA()),NA())</f>
        <v>#N/A</v>
      </c>
      <c r="AO559" s="14"/>
      <c r="AP559" s="14"/>
      <c r="AQ559" s="14"/>
      <c r="AR559" s="14"/>
      <c r="AS559" s="14"/>
      <c r="AT559" s="14"/>
      <c r="AU559" s="14"/>
      <c r="AV559" s="14"/>
      <c r="AW559" s="14"/>
      <c r="AX559" s="14"/>
      <c r="AY559" s="14"/>
      <c r="AZ559" s="14"/>
      <c r="BA559" s="14"/>
      <c r="BB559" s="14"/>
      <c r="BC559" s="14"/>
      <c r="BD559" s="14"/>
      <c r="BE559" s="14"/>
      <c r="BF559" s="14"/>
      <c r="BG559" s="14"/>
      <c r="BH559" s="14"/>
      <c r="BI559" s="14"/>
    </row>
    <row r="560" spans="1:6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67"/>
      <c r="AK560" s="14"/>
      <c r="AL560" s="14"/>
      <c r="AM560" s="14"/>
      <c r="AN560" s="14" t="e">
        <f>IF('ETF Data'!$H$2,IF(ISNUMBER(AK560),AK560,NA()),NA())</f>
        <v>#N/A</v>
      </c>
      <c r="AO560" s="14"/>
      <c r="AP560" s="14"/>
      <c r="AQ560" s="14"/>
      <c r="AR560" s="14"/>
      <c r="AS560" s="14"/>
      <c r="AT560" s="14"/>
      <c r="AU560" s="14"/>
      <c r="AV560" s="14"/>
      <c r="AW560" s="14"/>
      <c r="AX560" s="14"/>
      <c r="AY560" s="14"/>
      <c r="AZ560" s="14"/>
      <c r="BA560" s="14"/>
      <c r="BB560" s="14"/>
      <c r="BC560" s="14"/>
      <c r="BD560" s="14"/>
      <c r="BE560" s="14"/>
      <c r="BF560" s="14"/>
      <c r="BG560" s="14"/>
      <c r="BH560" s="14"/>
      <c r="BI560" s="14"/>
    </row>
    <row r="561" spans="1:6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67"/>
      <c r="AK561" s="14"/>
      <c r="AL561" s="14"/>
      <c r="AM561" s="14"/>
      <c r="AN561" s="14" t="e">
        <f>IF('ETF Data'!$H$2,IF(ISNUMBER(AK561),AK561,NA()),NA())</f>
        <v>#N/A</v>
      </c>
      <c r="AO561" s="14"/>
      <c r="AP561" s="14"/>
      <c r="AQ561" s="14"/>
      <c r="AR561" s="14"/>
      <c r="AS561" s="14"/>
      <c r="AT561" s="14"/>
      <c r="AU561" s="14"/>
      <c r="AV561" s="14"/>
      <c r="AW561" s="14"/>
      <c r="AX561" s="14"/>
      <c r="AY561" s="14"/>
      <c r="AZ561" s="14"/>
      <c r="BA561" s="14"/>
      <c r="BB561" s="14"/>
      <c r="BC561" s="14"/>
      <c r="BD561" s="14"/>
      <c r="BE561" s="14"/>
      <c r="BF561" s="14"/>
      <c r="BG561" s="14"/>
      <c r="BH561" s="14"/>
      <c r="BI561" s="14"/>
    </row>
    <row r="562" spans="1:6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67"/>
      <c r="AK562" s="14"/>
      <c r="AL562" s="14"/>
      <c r="AM562" s="14"/>
      <c r="AN562" s="14" t="e">
        <f>IF('ETF Data'!$H$2,IF(ISNUMBER(AK562),AK562,NA()),NA())</f>
        <v>#N/A</v>
      </c>
      <c r="AO562" s="14"/>
      <c r="AP562" s="14"/>
      <c r="AQ562" s="14"/>
      <c r="AR562" s="14"/>
      <c r="AS562" s="14"/>
      <c r="AT562" s="14"/>
      <c r="AU562" s="14"/>
      <c r="AV562" s="14"/>
      <c r="AW562" s="14"/>
      <c r="AX562" s="14"/>
      <c r="AY562" s="14"/>
      <c r="AZ562" s="14"/>
      <c r="BA562" s="14"/>
      <c r="BB562" s="14"/>
      <c r="BC562" s="14"/>
      <c r="BD562" s="14"/>
      <c r="BE562" s="14"/>
      <c r="BF562" s="14"/>
      <c r="BG562" s="14"/>
      <c r="BH562" s="14"/>
      <c r="BI562" s="14"/>
    </row>
    <row r="563" spans="1:6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67"/>
      <c r="AK563" s="14"/>
      <c r="AL563" s="14"/>
      <c r="AM563" s="14"/>
      <c r="AN563" s="14" t="e">
        <f>IF('ETF Data'!$H$2,IF(ISNUMBER(AK563),AK563,NA()),NA())</f>
        <v>#N/A</v>
      </c>
      <c r="AO563" s="14"/>
      <c r="AP563" s="14"/>
      <c r="AQ563" s="14"/>
      <c r="AR563" s="14"/>
      <c r="AS563" s="14"/>
      <c r="AT563" s="14"/>
      <c r="AU563" s="14"/>
      <c r="AV563" s="14"/>
      <c r="AW563" s="14"/>
      <c r="AX563" s="14"/>
      <c r="AY563" s="14"/>
      <c r="AZ563" s="14"/>
      <c r="BA563" s="14"/>
      <c r="BB563" s="14"/>
      <c r="BC563" s="14"/>
      <c r="BD563" s="14"/>
      <c r="BE563" s="14"/>
      <c r="BF563" s="14"/>
      <c r="BG563" s="14"/>
      <c r="BH563" s="14"/>
      <c r="BI563" s="14"/>
    </row>
    <row r="564" spans="1:6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67"/>
      <c r="AK564" s="14"/>
      <c r="AL564" s="14"/>
      <c r="AM564" s="14"/>
      <c r="AN564" s="14" t="e">
        <f>IF('ETF Data'!$H$2,IF(ISNUMBER(AK564),AK564,NA()),NA())</f>
        <v>#N/A</v>
      </c>
      <c r="AO564" s="14"/>
      <c r="AP564" s="14"/>
      <c r="AQ564" s="14"/>
      <c r="AR564" s="14"/>
      <c r="AS564" s="14"/>
      <c r="AT564" s="14"/>
      <c r="AU564" s="14"/>
      <c r="AV564" s="14"/>
      <c r="AW564" s="14"/>
      <c r="AX564" s="14"/>
      <c r="AY564" s="14"/>
      <c r="AZ564" s="14"/>
      <c r="BA564" s="14"/>
      <c r="BB564" s="14"/>
      <c r="BC564" s="14"/>
      <c r="BD564" s="14"/>
      <c r="BE564" s="14"/>
      <c r="BF564" s="14"/>
      <c r="BG564" s="14"/>
      <c r="BH564" s="14"/>
      <c r="BI564" s="14"/>
    </row>
    <row r="565" spans="1:6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67"/>
      <c r="AK565" s="14"/>
      <c r="AL565" s="14"/>
      <c r="AM565" s="14"/>
      <c r="AN565" s="14" t="e">
        <f>IF('ETF Data'!$H$2,IF(ISNUMBER(AK565),AK565,NA()),NA())</f>
        <v>#N/A</v>
      </c>
      <c r="AO565" s="14"/>
      <c r="AP565" s="14"/>
      <c r="AQ565" s="14"/>
      <c r="AR565" s="14"/>
      <c r="AS565" s="14"/>
      <c r="AT565" s="14"/>
      <c r="AU565" s="14"/>
      <c r="AV565" s="14"/>
      <c r="AW565" s="14"/>
      <c r="AX565" s="14"/>
      <c r="AY565" s="14"/>
      <c r="AZ565" s="14"/>
      <c r="BA565" s="14"/>
      <c r="BB565" s="14"/>
      <c r="BC565" s="14"/>
      <c r="BD565" s="14"/>
      <c r="BE565" s="14"/>
      <c r="BF565" s="14"/>
      <c r="BG565" s="14"/>
      <c r="BH565" s="14"/>
      <c r="BI565" s="14"/>
    </row>
    <row r="566" spans="1:6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67"/>
      <c r="AK566" s="14"/>
      <c r="AL566" s="14"/>
      <c r="AM566" s="14"/>
      <c r="AN566" s="14" t="e">
        <f>IF('ETF Data'!$H$2,IF(ISNUMBER(AK566),AK566,NA()),NA())</f>
        <v>#N/A</v>
      </c>
      <c r="AO566" s="14"/>
      <c r="AP566" s="14"/>
      <c r="AQ566" s="14"/>
      <c r="AR566" s="14"/>
      <c r="AS566" s="14"/>
      <c r="AT566" s="14"/>
      <c r="AU566" s="14"/>
      <c r="AV566" s="14"/>
      <c r="AW566" s="14"/>
      <c r="AX566" s="14"/>
      <c r="AY566" s="14"/>
      <c r="AZ566" s="14"/>
      <c r="BA566" s="14"/>
      <c r="BB566" s="14"/>
      <c r="BC566" s="14"/>
      <c r="BD566" s="14"/>
      <c r="BE566" s="14"/>
      <c r="BF566" s="14"/>
      <c r="BG566" s="14"/>
      <c r="BH566" s="14"/>
      <c r="BI566" s="14"/>
    </row>
    <row r="567" spans="1:6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67"/>
      <c r="AK567" s="14"/>
      <c r="AL567" s="14"/>
      <c r="AM567" s="14"/>
      <c r="AN567" s="14" t="e">
        <f>IF('ETF Data'!$H$2,IF(ISNUMBER(AK567),AK567,NA()),NA())</f>
        <v>#N/A</v>
      </c>
      <c r="AO567" s="14"/>
      <c r="AP567" s="14"/>
      <c r="AQ567" s="14"/>
      <c r="AR567" s="14"/>
      <c r="AS567" s="14"/>
      <c r="AT567" s="14"/>
      <c r="AU567" s="14"/>
      <c r="AV567" s="14"/>
      <c r="AW567" s="14"/>
      <c r="AX567" s="14"/>
      <c r="AY567" s="14"/>
      <c r="AZ567" s="14"/>
      <c r="BA567" s="14"/>
      <c r="BB567" s="14"/>
      <c r="BC567" s="14"/>
      <c r="BD567" s="14"/>
      <c r="BE567" s="14"/>
      <c r="BF567" s="14"/>
      <c r="BG567" s="14"/>
      <c r="BH567" s="14"/>
      <c r="BI567" s="14"/>
    </row>
    <row r="568" spans="1:6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67"/>
      <c r="AK568" s="14"/>
      <c r="AL568" s="14"/>
      <c r="AM568" s="14"/>
      <c r="AN568" s="14" t="e">
        <f>IF('ETF Data'!$H$2,IF(ISNUMBER(AK568),AK568,NA()),NA())</f>
        <v>#N/A</v>
      </c>
      <c r="AO568" s="14"/>
      <c r="AP568" s="14"/>
      <c r="AQ568" s="14"/>
      <c r="AR568" s="14"/>
      <c r="AS568" s="14"/>
      <c r="AT568" s="14"/>
      <c r="AU568" s="14"/>
      <c r="AV568" s="14"/>
      <c r="AW568" s="14"/>
      <c r="AX568" s="14"/>
      <c r="AY568" s="14"/>
      <c r="AZ568" s="14"/>
      <c r="BA568" s="14"/>
      <c r="BB568" s="14"/>
      <c r="BC568" s="14"/>
      <c r="BD568" s="14"/>
      <c r="BE568" s="14"/>
      <c r="BF568" s="14"/>
      <c r="BG568" s="14"/>
      <c r="BH568" s="14"/>
      <c r="BI568" s="14"/>
    </row>
    <row r="569" spans="1:6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67"/>
      <c r="AK569" s="14"/>
      <c r="AL569" s="14"/>
      <c r="AM569" s="14"/>
      <c r="AN569" s="14" t="e">
        <f>IF('ETF Data'!$H$2,IF(ISNUMBER(AK569),AK569,NA()),NA())</f>
        <v>#N/A</v>
      </c>
      <c r="AO569" s="14"/>
      <c r="AP569" s="14"/>
      <c r="AQ569" s="14"/>
      <c r="AR569" s="14"/>
      <c r="AS569" s="14"/>
      <c r="AT569" s="14"/>
      <c r="AU569" s="14"/>
      <c r="AV569" s="14"/>
      <c r="AW569" s="14"/>
      <c r="AX569" s="14"/>
      <c r="AY569" s="14"/>
      <c r="AZ569" s="14"/>
      <c r="BA569" s="14"/>
      <c r="BB569" s="14"/>
      <c r="BC569" s="14"/>
      <c r="BD569" s="14"/>
      <c r="BE569" s="14"/>
      <c r="BF569" s="14"/>
      <c r="BG569" s="14"/>
      <c r="BH569" s="14"/>
      <c r="BI569" s="14"/>
    </row>
    <row r="570" spans="1:6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67"/>
      <c r="AK570" s="14"/>
      <c r="AL570" s="14"/>
      <c r="AM570" s="14"/>
      <c r="AN570" s="14" t="e">
        <f>IF('ETF Data'!$H$2,IF(ISNUMBER(AK570),AK570,NA()),NA())</f>
        <v>#N/A</v>
      </c>
      <c r="AO570" s="14"/>
      <c r="AP570" s="14"/>
      <c r="AQ570" s="14"/>
      <c r="AR570" s="14"/>
      <c r="AS570" s="14"/>
      <c r="AT570" s="14"/>
      <c r="AU570" s="14"/>
      <c r="AV570" s="14"/>
      <c r="AW570" s="14"/>
      <c r="AX570" s="14"/>
      <c r="AY570" s="14"/>
      <c r="AZ570" s="14"/>
      <c r="BA570" s="14"/>
      <c r="BB570" s="14"/>
      <c r="BC570" s="14"/>
      <c r="BD570" s="14"/>
      <c r="BE570" s="14"/>
      <c r="BF570" s="14"/>
      <c r="BG570" s="14"/>
      <c r="BH570" s="14"/>
      <c r="BI570" s="14"/>
    </row>
    <row r="571" spans="1:6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67"/>
      <c r="AK571" s="14"/>
      <c r="AL571" s="14"/>
      <c r="AM571" s="14"/>
      <c r="AN571" s="14" t="e">
        <f>IF('ETF Data'!$H$2,IF(ISNUMBER(AK571),AK571,NA()),NA())</f>
        <v>#N/A</v>
      </c>
      <c r="AO571" s="14"/>
      <c r="AP571" s="14"/>
      <c r="AQ571" s="14"/>
      <c r="AR571" s="14"/>
      <c r="AS571" s="14"/>
      <c r="AT571" s="14"/>
      <c r="AU571" s="14"/>
      <c r="AV571" s="14"/>
      <c r="AW571" s="14"/>
      <c r="AX571" s="14"/>
      <c r="AY571" s="14"/>
      <c r="AZ571" s="14"/>
      <c r="BA571" s="14"/>
      <c r="BB571" s="14"/>
      <c r="BC571" s="14"/>
      <c r="BD571" s="14"/>
      <c r="BE571" s="14"/>
      <c r="BF571" s="14"/>
      <c r="BG571" s="14"/>
      <c r="BH571" s="14"/>
      <c r="BI571" s="14"/>
    </row>
    <row r="572" spans="1:6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67"/>
      <c r="AK572" s="14"/>
      <c r="AL572" s="14"/>
      <c r="AM572" s="14"/>
      <c r="AN572" s="14" t="e">
        <f>IF('ETF Data'!$H$2,IF(ISNUMBER(AK572),AK572,NA()),NA())</f>
        <v>#N/A</v>
      </c>
      <c r="AO572" s="14"/>
      <c r="AP572" s="14"/>
      <c r="AQ572" s="14"/>
      <c r="AR572" s="14"/>
      <c r="AS572" s="14"/>
      <c r="AT572" s="14"/>
      <c r="AU572" s="14"/>
      <c r="AV572" s="14"/>
      <c r="AW572" s="14"/>
      <c r="AX572" s="14"/>
      <c r="AY572" s="14"/>
      <c r="AZ572" s="14"/>
      <c r="BA572" s="14"/>
      <c r="BB572" s="14"/>
      <c r="BC572" s="14"/>
      <c r="BD572" s="14"/>
      <c r="BE572" s="14"/>
      <c r="BF572" s="14"/>
      <c r="BG572" s="14"/>
      <c r="BH572" s="14"/>
      <c r="BI572" s="14"/>
    </row>
    <row r="573" spans="1:6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67"/>
      <c r="AK573" s="14"/>
      <c r="AL573" s="14"/>
      <c r="AM573" s="14"/>
      <c r="AN573" s="14" t="e">
        <f>IF('ETF Data'!$H$2,IF(ISNUMBER(AK573),AK573,NA()),NA())</f>
        <v>#N/A</v>
      </c>
      <c r="AO573" s="14"/>
      <c r="AP573" s="14"/>
      <c r="AQ573" s="14"/>
      <c r="AR573" s="14"/>
      <c r="AS573" s="14"/>
      <c r="AT573" s="14"/>
      <c r="AU573" s="14"/>
      <c r="AV573" s="14"/>
      <c r="AW573" s="14"/>
      <c r="AX573" s="14"/>
      <c r="AY573" s="14"/>
      <c r="AZ573" s="14"/>
      <c r="BA573" s="14"/>
      <c r="BB573" s="14"/>
      <c r="BC573" s="14"/>
      <c r="BD573" s="14"/>
      <c r="BE573" s="14"/>
      <c r="BF573" s="14"/>
      <c r="BG573" s="14"/>
      <c r="BH573" s="14"/>
      <c r="BI573" s="14"/>
    </row>
    <row r="574" spans="1:6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67"/>
      <c r="AK574" s="14"/>
      <c r="AL574" s="14"/>
      <c r="AM574" s="14"/>
      <c r="AN574" s="14" t="e">
        <f>IF('ETF Data'!$H$2,IF(ISNUMBER(AK574),AK574,NA()),NA())</f>
        <v>#N/A</v>
      </c>
      <c r="AO574" s="14"/>
      <c r="AP574" s="14"/>
      <c r="AQ574" s="14"/>
      <c r="AR574" s="14"/>
      <c r="AS574" s="14"/>
      <c r="AT574" s="14"/>
      <c r="AU574" s="14"/>
      <c r="AV574" s="14"/>
      <c r="AW574" s="14"/>
      <c r="AX574" s="14"/>
      <c r="AY574" s="14"/>
      <c r="AZ574" s="14"/>
      <c r="BA574" s="14"/>
      <c r="BB574" s="14"/>
      <c r="BC574" s="14"/>
      <c r="BD574" s="14"/>
      <c r="BE574" s="14"/>
      <c r="BF574" s="14"/>
      <c r="BG574" s="14"/>
      <c r="BH574" s="14"/>
      <c r="BI574" s="14"/>
    </row>
    <row r="575" spans="1:6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67"/>
      <c r="AK575" s="14"/>
      <c r="AL575" s="14"/>
      <c r="AM575" s="14"/>
      <c r="AN575" s="14" t="e">
        <f>IF('ETF Data'!$H$2,IF(ISNUMBER(AK575),AK575,NA()),NA())</f>
        <v>#N/A</v>
      </c>
      <c r="AO575" s="14"/>
      <c r="AP575" s="14"/>
      <c r="AQ575" s="14"/>
      <c r="AR575" s="14"/>
      <c r="AS575" s="14"/>
      <c r="AT575" s="14"/>
      <c r="AU575" s="14"/>
      <c r="AV575" s="14"/>
      <c r="AW575" s="14"/>
      <c r="AX575" s="14"/>
      <c r="AY575" s="14"/>
      <c r="AZ575" s="14"/>
      <c r="BA575" s="14"/>
      <c r="BB575" s="14"/>
      <c r="BC575" s="14"/>
      <c r="BD575" s="14"/>
      <c r="BE575" s="14"/>
      <c r="BF575" s="14"/>
      <c r="BG575" s="14"/>
      <c r="BH575" s="14"/>
      <c r="BI575" s="14"/>
    </row>
    <row r="576" spans="1:6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67"/>
      <c r="AK576" s="14"/>
      <c r="AL576" s="14"/>
      <c r="AM576" s="14"/>
      <c r="AN576" s="14" t="e">
        <f>IF('ETF Data'!$H$2,IF(ISNUMBER(AK576),AK576,NA()),NA())</f>
        <v>#N/A</v>
      </c>
      <c r="AO576" s="14"/>
      <c r="AP576" s="14"/>
      <c r="AQ576" s="14"/>
      <c r="AR576" s="14"/>
      <c r="AS576" s="14"/>
      <c r="AT576" s="14"/>
      <c r="AU576" s="14"/>
      <c r="AV576" s="14"/>
      <c r="AW576" s="14"/>
      <c r="AX576" s="14"/>
      <c r="AY576" s="14"/>
      <c r="AZ576" s="14"/>
      <c r="BA576" s="14"/>
      <c r="BB576" s="14"/>
      <c r="BC576" s="14"/>
      <c r="BD576" s="14"/>
      <c r="BE576" s="14"/>
      <c r="BF576" s="14"/>
      <c r="BG576" s="14"/>
      <c r="BH576" s="14"/>
      <c r="BI576" s="14"/>
    </row>
    <row r="577" spans="1:6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67"/>
      <c r="AK577" s="14"/>
      <c r="AL577" s="14"/>
      <c r="AM577" s="14"/>
      <c r="AN577" s="14" t="e">
        <f>IF('ETF Data'!$H$2,IF(ISNUMBER(AK577),AK577,NA()),NA())</f>
        <v>#N/A</v>
      </c>
      <c r="AO577" s="14"/>
      <c r="AP577" s="14"/>
      <c r="AQ577" s="14"/>
      <c r="AR577" s="14"/>
      <c r="AS577" s="14"/>
      <c r="AT577" s="14"/>
      <c r="AU577" s="14"/>
      <c r="AV577" s="14"/>
      <c r="AW577" s="14"/>
      <c r="AX577" s="14"/>
      <c r="AY577" s="14"/>
      <c r="AZ577" s="14"/>
      <c r="BA577" s="14"/>
      <c r="BB577" s="14"/>
      <c r="BC577" s="14"/>
      <c r="BD577" s="14"/>
      <c r="BE577" s="14"/>
      <c r="BF577" s="14"/>
      <c r="BG577" s="14"/>
      <c r="BH577" s="14"/>
      <c r="BI577" s="14"/>
    </row>
    <row r="578" spans="1:6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67"/>
      <c r="AK578" s="14"/>
      <c r="AL578" s="14"/>
      <c r="AM578" s="14"/>
      <c r="AN578" s="14" t="e">
        <f>IF('ETF Data'!$H$2,IF(ISNUMBER(AK578),AK578,NA()),NA())</f>
        <v>#N/A</v>
      </c>
      <c r="AO578" s="14"/>
      <c r="AP578" s="14"/>
      <c r="AQ578" s="14"/>
      <c r="AR578" s="14"/>
      <c r="AS578" s="14"/>
      <c r="AT578" s="14"/>
      <c r="AU578" s="14"/>
      <c r="AV578" s="14"/>
      <c r="AW578" s="14"/>
      <c r="AX578" s="14"/>
      <c r="AY578" s="14"/>
      <c r="AZ578" s="14"/>
      <c r="BA578" s="14"/>
      <c r="BB578" s="14"/>
      <c r="BC578" s="14"/>
      <c r="BD578" s="14"/>
      <c r="BE578" s="14"/>
      <c r="BF578" s="14"/>
      <c r="BG578" s="14"/>
      <c r="BH578" s="14"/>
      <c r="BI578" s="14"/>
    </row>
    <row r="579" spans="1:6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67"/>
      <c r="AK579" s="14"/>
      <c r="AL579" s="14"/>
      <c r="AM579" s="14"/>
      <c r="AN579" s="14" t="e">
        <f>IF('ETF Data'!$H$2,IF(ISNUMBER(AK579),AK579,NA()),NA())</f>
        <v>#N/A</v>
      </c>
      <c r="AO579" s="14"/>
      <c r="AP579" s="14"/>
      <c r="AQ579" s="14"/>
      <c r="AR579" s="14"/>
      <c r="AS579" s="14"/>
      <c r="AT579" s="14"/>
      <c r="AU579" s="14"/>
      <c r="AV579" s="14"/>
      <c r="AW579" s="14"/>
      <c r="AX579" s="14"/>
      <c r="AY579" s="14"/>
      <c r="AZ579" s="14"/>
      <c r="BA579" s="14"/>
      <c r="BB579" s="14"/>
      <c r="BC579" s="14"/>
      <c r="BD579" s="14"/>
      <c r="BE579" s="14"/>
      <c r="BF579" s="14"/>
      <c r="BG579" s="14"/>
      <c r="BH579" s="14"/>
      <c r="BI579" s="14"/>
    </row>
    <row r="580" spans="1:6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67"/>
      <c r="AK580" s="14"/>
      <c r="AL580" s="14"/>
      <c r="AM580" s="14"/>
      <c r="AN580" s="14" t="e">
        <f>IF('ETF Data'!$H$2,IF(ISNUMBER(AK580),AK580,NA()),NA())</f>
        <v>#N/A</v>
      </c>
      <c r="AO580" s="14"/>
      <c r="AP580" s="14"/>
      <c r="AQ580" s="14"/>
      <c r="AR580" s="14"/>
      <c r="AS580" s="14"/>
      <c r="AT580" s="14"/>
      <c r="AU580" s="14"/>
      <c r="AV580" s="14"/>
      <c r="AW580" s="14"/>
      <c r="AX580" s="14"/>
      <c r="AY580" s="14"/>
      <c r="AZ580" s="14"/>
      <c r="BA580" s="14"/>
      <c r="BB580" s="14"/>
      <c r="BC580" s="14"/>
      <c r="BD580" s="14"/>
      <c r="BE580" s="14"/>
      <c r="BF580" s="14"/>
      <c r="BG580" s="14"/>
      <c r="BH580" s="14"/>
      <c r="BI580" s="14"/>
    </row>
    <row r="581" spans="1:6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67"/>
      <c r="AK581" s="14"/>
      <c r="AL581" s="14"/>
      <c r="AM581" s="14"/>
      <c r="AN581" s="14" t="e">
        <f>IF('ETF Data'!$H$2,IF(ISNUMBER(AK581),AK581,NA()),NA())</f>
        <v>#N/A</v>
      </c>
      <c r="AO581" s="14"/>
      <c r="AP581" s="14"/>
      <c r="AQ581" s="14"/>
      <c r="AR581" s="14"/>
      <c r="AS581" s="14"/>
      <c r="AT581" s="14"/>
      <c r="AU581" s="14"/>
      <c r="AV581" s="14"/>
      <c r="AW581" s="14"/>
      <c r="AX581" s="14"/>
      <c r="AY581" s="14"/>
      <c r="AZ581" s="14"/>
      <c r="BA581" s="14"/>
      <c r="BB581" s="14"/>
      <c r="BC581" s="14"/>
      <c r="BD581" s="14"/>
      <c r="BE581" s="14"/>
      <c r="BF581" s="14"/>
      <c r="BG581" s="14"/>
      <c r="BH581" s="14"/>
      <c r="BI581" s="14"/>
    </row>
    <row r="582" spans="1:6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67"/>
      <c r="AK582" s="14"/>
      <c r="AL582" s="14"/>
      <c r="AM582" s="14"/>
      <c r="AN582" s="14" t="e">
        <f>IF('ETF Data'!$H$2,IF(ISNUMBER(AK582),AK582,NA()),NA())</f>
        <v>#N/A</v>
      </c>
      <c r="AO582" s="14"/>
      <c r="AP582" s="14"/>
      <c r="AQ582" s="14"/>
      <c r="AR582" s="14"/>
      <c r="AS582" s="14"/>
      <c r="AT582" s="14"/>
      <c r="AU582" s="14"/>
      <c r="AV582" s="14"/>
      <c r="AW582" s="14"/>
      <c r="AX582" s="14"/>
      <c r="AY582" s="14"/>
      <c r="AZ582" s="14"/>
      <c r="BA582" s="14"/>
      <c r="BB582" s="14"/>
      <c r="BC582" s="14"/>
      <c r="BD582" s="14"/>
      <c r="BE582" s="14"/>
      <c r="BF582" s="14"/>
      <c r="BG582" s="14"/>
      <c r="BH582" s="14"/>
      <c r="BI582" s="14"/>
    </row>
    <row r="583" spans="1:6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67"/>
      <c r="AK583" s="14"/>
      <c r="AL583" s="14"/>
      <c r="AM583" s="14"/>
      <c r="AN583" s="14" t="e">
        <f>IF('ETF Data'!$H$2,IF(ISNUMBER(AK583),AK583,NA()),NA())</f>
        <v>#N/A</v>
      </c>
      <c r="AO583" s="14"/>
      <c r="AP583" s="14"/>
      <c r="AQ583" s="14"/>
      <c r="AR583" s="14"/>
      <c r="AS583" s="14"/>
      <c r="AT583" s="14"/>
      <c r="AU583" s="14"/>
      <c r="AV583" s="14"/>
      <c r="AW583" s="14"/>
      <c r="AX583" s="14"/>
      <c r="AY583" s="14"/>
      <c r="AZ583" s="14"/>
      <c r="BA583" s="14"/>
      <c r="BB583" s="14"/>
      <c r="BC583" s="14"/>
      <c r="BD583" s="14"/>
      <c r="BE583" s="14"/>
      <c r="BF583" s="14"/>
      <c r="BG583" s="14"/>
      <c r="BH583" s="14"/>
      <c r="BI583" s="14"/>
    </row>
    <row r="584" spans="1:6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67"/>
      <c r="AK584" s="14"/>
      <c r="AL584" s="14"/>
      <c r="AM584" s="14"/>
      <c r="AN584" s="14" t="e">
        <f>IF('ETF Data'!$H$2,IF(ISNUMBER(AK584),AK584,NA()),NA())</f>
        <v>#N/A</v>
      </c>
      <c r="AO584" s="14"/>
      <c r="AP584" s="14"/>
      <c r="AQ584" s="14"/>
      <c r="AR584" s="14"/>
      <c r="AS584" s="14"/>
      <c r="AT584" s="14"/>
      <c r="AU584" s="14"/>
      <c r="AV584" s="14"/>
      <c r="AW584" s="14"/>
      <c r="AX584" s="14"/>
      <c r="AY584" s="14"/>
      <c r="AZ584" s="14"/>
      <c r="BA584" s="14"/>
      <c r="BB584" s="14"/>
      <c r="BC584" s="14"/>
      <c r="BD584" s="14"/>
      <c r="BE584" s="14"/>
      <c r="BF584" s="14"/>
      <c r="BG584" s="14"/>
      <c r="BH584" s="14"/>
      <c r="BI584" s="14"/>
    </row>
    <row r="585" spans="1:6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67"/>
      <c r="AK585" s="14"/>
      <c r="AL585" s="14"/>
      <c r="AM585" s="14"/>
      <c r="AN585" s="14" t="e">
        <f>IF('ETF Data'!$H$2,IF(ISNUMBER(AK585),AK585,NA()),NA())</f>
        <v>#N/A</v>
      </c>
      <c r="AO585" s="14"/>
      <c r="AP585" s="14"/>
      <c r="AQ585" s="14"/>
      <c r="AR585" s="14"/>
      <c r="AS585" s="14"/>
      <c r="AT585" s="14"/>
      <c r="AU585" s="14"/>
      <c r="AV585" s="14"/>
      <c r="AW585" s="14"/>
      <c r="AX585" s="14"/>
      <c r="AY585" s="14"/>
      <c r="AZ585" s="14"/>
      <c r="BA585" s="14"/>
      <c r="BB585" s="14"/>
      <c r="BC585" s="14"/>
      <c r="BD585" s="14"/>
      <c r="BE585" s="14"/>
      <c r="BF585" s="14"/>
      <c r="BG585" s="14"/>
      <c r="BH585" s="14"/>
      <c r="BI585" s="14"/>
    </row>
    <row r="586" spans="1:6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67"/>
      <c r="AK586" s="14"/>
      <c r="AL586" s="14"/>
      <c r="AM586" s="14"/>
      <c r="AN586" s="14" t="e">
        <f>IF('ETF Data'!$H$2,IF(ISNUMBER(AK586),AK586,NA()),NA())</f>
        <v>#N/A</v>
      </c>
      <c r="AO586" s="14"/>
      <c r="AP586" s="14"/>
      <c r="AQ586" s="14"/>
      <c r="AR586" s="14"/>
      <c r="AS586" s="14"/>
      <c r="AT586" s="14"/>
      <c r="AU586" s="14"/>
      <c r="AV586" s="14"/>
      <c r="AW586" s="14"/>
      <c r="AX586" s="14"/>
      <c r="AY586" s="14"/>
      <c r="AZ586" s="14"/>
      <c r="BA586" s="14"/>
      <c r="BB586" s="14"/>
      <c r="BC586" s="14"/>
      <c r="BD586" s="14"/>
      <c r="BE586" s="14"/>
      <c r="BF586" s="14"/>
      <c r="BG586" s="14"/>
      <c r="BH586" s="14"/>
      <c r="BI586" s="14"/>
    </row>
    <row r="587" spans="1:6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67"/>
      <c r="AK587" s="14"/>
      <c r="AL587" s="14"/>
      <c r="AM587" s="14"/>
      <c r="AN587" s="14" t="e">
        <f>IF('ETF Data'!$H$2,IF(ISNUMBER(AK587),AK587,NA()),NA())</f>
        <v>#N/A</v>
      </c>
      <c r="AO587" s="14"/>
      <c r="AP587" s="14"/>
      <c r="AQ587" s="14"/>
      <c r="AR587" s="14"/>
      <c r="AS587" s="14"/>
      <c r="AT587" s="14"/>
      <c r="AU587" s="14"/>
      <c r="AV587" s="14"/>
      <c r="AW587" s="14"/>
      <c r="AX587" s="14"/>
      <c r="AY587" s="14"/>
      <c r="AZ587" s="14"/>
      <c r="BA587" s="14"/>
      <c r="BB587" s="14"/>
      <c r="BC587" s="14"/>
      <c r="BD587" s="14"/>
      <c r="BE587" s="14"/>
      <c r="BF587" s="14"/>
      <c r="BG587" s="14"/>
      <c r="BH587" s="14"/>
      <c r="BI587" s="14"/>
    </row>
    <row r="588" spans="1:6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67"/>
      <c r="AK588" s="14"/>
      <c r="AL588" s="14"/>
      <c r="AM588" s="14"/>
      <c r="AN588" s="14" t="e">
        <f>IF('ETF Data'!$H$2,IF(ISNUMBER(AK588),AK588,NA()),NA())</f>
        <v>#N/A</v>
      </c>
      <c r="AO588" s="14"/>
      <c r="AP588" s="14"/>
      <c r="AQ588" s="14"/>
      <c r="AR588" s="14"/>
      <c r="AS588" s="14"/>
      <c r="AT588" s="14"/>
      <c r="AU588" s="14"/>
      <c r="AV588" s="14"/>
      <c r="AW588" s="14"/>
      <c r="AX588" s="14"/>
      <c r="AY588" s="14"/>
      <c r="AZ588" s="14"/>
      <c r="BA588" s="14"/>
      <c r="BB588" s="14"/>
      <c r="BC588" s="14"/>
      <c r="BD588" s="14"/>
      <c r="BE588" s="14"/>
      <c r="BF588" s="14"/>
      <c r="BG588" s="14"/>
      <c r="BH588" s="14"/>
      <c r="BI588" s="14"/>
    </row>
    <row r="589" spans="1:6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67"/>
      <c r="AK589" s="14"/>
      <c r="AL589" s="14"/>
      <c r="AM589" s="14"/>
      <c r="AN589" s="14" t="e">
        <f>IF('ETF Data'!$H$2,IF(ISNUMBER(AK589),AK589,NA()),NA())</f>
        <v>#N/A</v>
      </c>
      <c r="AO589" s="14"/>
      <c r="AP589" s="14"/>
      <c r="AQ589" s="14"/>
      <c r="AR589" s="14"/>
      <c r="AS589" s="14"/>
      <c r="AT589" s="14"/>
      <c r="AU589" s="14"/>
      <c r="AV589" s="14"/>
      <c r="AW589" s="14"/>
      <c r="AX589" s="14"/>
      <c r="AY589" s="14"/>
      <c r="AZ589" s="14"/>
      <c r="BA589" s="14"/>
      <c r="BB589" s="14"/>
      <c r="BC589" s="14"/>
      <c r="BD589" s="14"/>
      <c r="BE589" s="14"/>
      <c r="BF589" s="14"/>
      <c r="BG589" s="14"/>
      <c r="BH589" s="14"/>
      <c r="BI589" s="14"/>
    </row>
    <row r="590" spans="1:6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67"/>
      <c r="AK590" s="14"/>
      <c r="AL590" s="14"/>
      <c r="AM590" s="14"/>
      <c r="AN590" s="14" t="e">
        <f>IF('ETF Data'!$H$2,IF(ISNUMBER(AK590),AK590,NA()),NA())</f>
        <v>#N/A</v>
      </c>
      <c r="AO590" s="14"/>
      <c r="AP590" s="14"/>
      <c r="AQ590" s="14"/>
      <c r="AR590" s="14"/>
      <c r="AS590" s="14"/>
      <c r="AT590" s="14"/>
      <c r="AU590" s="14"/>
      <c r="AV590" s="14"/>
      <c r="AW590" s="14"/>
      <c r="AX590" s="14"/>
      <c r="AY590" s="14"/>
      <c r="AZ590" s="14"/>
      <c r="BA590" s="14"/>
      <c r="BB590" s="14"/>
      <c r="BC590" s="14"/>
      <c r="BD590" s="14"/>
      <c r="BE590" s="14"/>
      <c r="BF590" s="14"/>
      <c r="BG590" s="14"/>
      <c r="BH590" s="14"/>
      <c r="BI590" s="14"/>
    </row>
    <row r="591" spans="1:6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67"/>
      <c r="AK591" s="14"/>
      <c r="AL591" s="14"/>
      <c r="AM591" s="14"/>
      <c r="AN591" s="14" t="e">
        <f>IF('ETF Data'!$H$2,IF(ISNUMBER(AK591),AK591,NA()),NA())</f>
        <v>#N/A</v>
      </c>
      <c r="AO591" s="14"/>
      <c r="AP591" s="14"/>
      <c r="AQ591" s="14"/>
      <c r="AR591" s="14"/>
      <c r="AS591" s="14"/>
      <c r="AT591" s="14"/>
      <c r="AU591" s="14"/>
      <c r="AV591" s="14"/>
      <c r="AW591" s="14"/>
      <c r="AX591" s="14"/>
      <c r="AY591" s="14"/>
      <c r="AZ591" s="14"/>
      <c r="BA591" s="14"/>
      <c r="BB591" s="14"/>
      <c r="BC591" s="14"/>
      <c r="BD591" s="14"/>
      <c r="BE591" s="14"/>
      <c r="BF591" s="14"/>
      <c r="BG591" s="14"/>
      <c r="BH591" s="14"/>
      <c r="BI591" s="14"/>
    </row>
    <row r="592" spans="1:6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67"/>
      <c r="AK592" s="14"/>
      <c r="AL592" s="14"/>
      <c r="AM592" s="14"/>
      <c r="AN592" s="14" t="e">
        <f>IF('ETF Data'!$H$2,IF(ISNUMBER(AK592),AK592,NA()),NA())</f>
        <v>#N/A</v>
      </c>
      <c r="AO592" s="14"/>
      <c r="AP592" s="14"/>
      <c r="AQ592" s="14"/>
      <c r="AR592" s="14"/>
      <c r="AS592" s="14"/>
      <c r="AT592" s="14"/>
      <c r="AU592" s="14"/>
      <c r="AV592" s="14"/>
      <c r="AW592" s="14"/>
      <c r="AX592" s="14"/>
      <c r="AY592" s="14"/>
      <c r="AZ592" s="14"/>
      <c r="BA592" s="14"/>
      <c r="BB592" s="14"/>
      <c r="BC592" s="14"/>
      <c r="BD592" s="14"/>
      <c r="BE592" s="14"/>
      <c r="BF592" s="14"/>
      <c r="BG592" s="14"/>
      <c r="BH592" s="14"/>
      <c r="BI592" s="14"/>
    </row>
    <row r="593" spans="1:6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67"/>
      <c r="AK593" s="14"/>
      <c r="AL593" s="14"/>
      <c r="AM593" s="14"/>
      <c r="AN593" s="14" t="e">
        <f>IF('ETF Data'!$H$2,IF(ISNUMBER(AK593),AK593,NA()),NA())</f>
        <v>#N/A</v>
      </c>
      <c r="AO593" s="14"/>
      <c r="AP593" s="14"/>
      <c r="AQ593" s="14"/>
      <c r="AR593" s="14"/>
      <c r="AS593" s="14"/>
      <c r="AT593" s="14"/>
      <c r="AU593" s="14"/>
      <c r="AV593" s="14"/>
      <c r="AW593" s="14"/>
      <c r="AX593" s="14"/>
      <c r="AY593" s="14"/>
      <c r="AZ593" s="14"/>
      <c r="BA593" s="14"/>
      <c r="BB593" s="14"/>
      <c r="BC593" s="14"/>
      <c r="BD593" s="14"/>
      <c r="BE593" s="14"/>
      <c r="BF593" s="14"/>
      <c r="BG593" s="14"/>
      <c r="BH593" s="14"/>
      <c r="BI593" s="14"/>
    </row>
    <row r="594" spans="1:6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67"/>
      <c r="AK594" s="14"/>
      <c r="AL594" s="14"/>
      <c r="AM594" s="14"/>
      <c r="AN594" s="14" t="e">
        <f>IF('ETF Data'!$H$2,IF(ISNUMBER(AK594),AK594,NA()),NA())</f>
        <v>#N/A</v>
      </c>
      <c r="AO594" s="14"/>
      <c r="AP594" s="14"/>
      <c r="AQ594" s="14"/>
      <c r="AR594" s="14"/>
      <c r="AS594" s="14"/>
      <c r="AT594" s="14"/>
      <c r="AU594" s="14"/>
      <c r="AV594" s="14"/>
      <c r="AW594" s="14"/>
      <c r="AX594" s="14"/>
      <c r="AY594" s="14"/>
      <c r="AZ594" s="14"/>
      <c r="BA594" s="14"/>
      <c r="BB594" s="14"/>
      <c r="BC594" s="14"/>
      <c r="BD594" s="14"/>
      <c r="BE594" s="14"/>
      <c r="BF594" s="14"/>
      <c r="BG594" s="14"/>
      <c r="BH594" s="14"/>
      <c r="BI594" s="14"/>
    </row>
    <row r="595" spans="1:6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67"/>
      <c r="AK595" s="14"/>
      <c r="AL595" s="14"/>
      <c r="AM595" s="14"/>
      <c r="AN595" s="14" t="e">
        <f>IF('ETF Data'!$H$2,IF(ISNUMBER(AK595),AK595,NA()),NA())</f>
        <v>#N/A</v>
      </c>
      <c r="AO595" s="14"/>
      <c r="AP595" s="14"/>
      <c r="AQ595" s="14"/>
      <c r="AR595" s="14"/>
      <c r="AS595" s="14"/>
      <c r="AT595" s="14"/>
      <c r="AU595" s="14"/>
      <c r="AV595" s="14"/>
      <c r="AW595" s="14"/>
      <c r="AX595" s="14"/>
      <c r="AY595" s="14"/>
      <c r="AZ595" s="14"/>
      <c r="BA595" s="14"/>
      <c r="BB595" s="14"/>
      <c r="BC595" s="14"/>
      <c r="BD595" s="14"/>
      <c r="BE595" s="14"/>
      <c r="BF595" s="14"/>
      <c r="BG595" s="14"/>
      <c r="BH595" s="14"/>
      <c r="BI595" s="14"/>
    </row>
    <row r="596" spans="1:6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67"/>
      <c r="AK596" s="14"/>
      <c r="AL596" s="14"/>
      <c r="AM596" s="14"/>
      <c r="AN596" s="14" t="e">
        <f>IF('ETF Data'!$H$2,IF(ISNUMBER(AK596),AK596,NA()),NA())</f>
        <v>#N/A</v>
      </c>
      <c r="AO596" s="14"/>
      <c r="AP596" s="14"/>
      <c r="AQ596" s="14"/>
      <c r="AR596" s="14"/>
      <c r="AS596" s="14"/>
      <c r="AT596" s="14"/>
      <c r="AU596" s="14"/>
      <c r="AV596" s="14"/>
      <c r="AW596" s="14"/>
      <c r="AX596" s="14"/>
      <c r="AY596" s="14"/>
      <c r="AZ596" s="14"/>
      <c r="BA596" s="14"/>
      <c r="BB596" s="14"/>
      <c r="BC596" s="14"/>
      <c r="BD596" s="14"/>
      <c r="BE596" s="14"/>
      <c r="BF596" s="14"/>
      <c r="BG596" s="14"/>
      <c r="BH596" s="14"/>
      <c r="BI596" s="14"/>
    </row>
    <row r="597" spans="1:6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67"/>
      <c r="AK597" s="14"/>
      <c r="AL597" s="14"/>
      <c r="AM597" s="14"/>
      <c r="AN597" s="14" t="e">
        <f>IF('ETF Data'!$H$2,IF(ISNUMBER(AK597),AK597,NA()),NA())</f>
        <v>#N/A</v>
      </c>
      <c r="AO597" s="14"/>
      <c r="AP597" s="14"/>
      <c r="AQ597" s="14"/>
      <c r="AR597" s="14"/>
      <c r="AS597" s="14"/>
      <c r="AT597" s="14"/>
      <c r="AU597" s="14"/>
      <c r="AV597" s="14"/>
      <c r="AW597" s="14"/>
      <c r="AX597" s="14"/>
      <c r="AY597" s="14"/>
      <c r="AZ597" s="14"/>
      <c r="BA597" s="14"/>
      <c r="BB597" s="14"/>
      <c r="BC597" s="14"/>
      <c r="BD597" s="14"/>
      <c r="BE597" s="14"/>
      <c r="BF597" s="14"/>
      <c r="BG597" s="14"/>
      <c r="BH597" s="14"/>
      <c r="BI597" s="14"/>
    </row>
    <row r="598" spans="1:6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67"/>
      <c r="AK598" s="14"/>
      <c r="AL598" s="14"/>
      <c r="AM598" s="14"/>
      <c r="AN598" s="14" t="e">
        <f>IF('ETF Data'!$H$2,IF(ISNUMBER(AK598),AK598,NA()),NA())</f>
        <v>#N/A</v>
      </c>
      <c r="AO598" s="14"/>
      <c r="AP598" s="14"/>
      <c r="AQ598" s="14"/>
      <c r="AR598" s="14"/>
      <c r="AS598" s="14"/>
      <c r="AT598" s="14"/>
      <c r="AU598" s="14"/>
      <c r="AV598" s="14"/>
      <c r="AW598" s="14"/>
      <c r="AX598" s="14"/>
      <c r="AY598" s="14"/>
      <c r="AZ598" s="14"/>
      <c r="BA598" s="14"/>
      <c r="BB598" s="14"/>
      <c r="BC598" s="14"/>
      <c r="BD598" s="14"/>
      <c r="BE598" s="14"/>
      <c r="BF598" s="14"/>
      <c r="BG598" s="14"/>
      <c r="BH598" s="14"/>
      <c r="BI598" s="14"/>
    </row>
    <row r="599" spans="1:6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67"/>
      <c r="AK599" s="14"/>
      <c r="AL599" s="14"/>
      <c r="AM599" s="14"/>
      <c r="AN599" s="14" t="e">
        <f>IF('ETF Data'!$H$2,IF(ISNUMBER(AK599),AK599,NA()),NA())</f>
        <v>#N/A</v>
      </c>
      <c r="AO599" s="14"/>
      <c r="AP599" s="14"/>
      <c r="AQ599" s="14"/>
      <c r="AR599" s="14"/>
      <c r="AS599" s="14"/>
      <c r="AT599" s="14"/>
      <c r="AU599" s="14"/>
      <c r="AV599" s="14"/>
      <c r="AW599" s="14"/>
      <c r="AX599" s="14"/>
      <c r="AY599" s="14"/>
      <c r="AZ599" s="14"/>
      <c r="BA599" s="14"/>
      <c r="BB599" s="14"/>
      <c r="BC599" s="14"/>
      <c r="BD599" s="14"/>
      <c r="BE599" s="14"/>
      <c r="BF599" s="14"/>
      <c r="BG599" s="14"/>
      <c r="BH599" s="14"/>
      <c r="BI599" s="14"/>
    </row>
    <row r="600" spans="1:6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67"/>
      <c r="AK600" s="14"/>
      <c r="AL600" s="14"/>
      <c r="AM600" s="14"/>
      <c r="AN600" s="14" t="e">
        <f>IF('ETF Data'!$H$2,IF(ISNUMBER(AK600),AK600,NA()),NA())</f>
        <v>#N/A</v>
      </c>
      <c r="AO600" s="14"/>
      <c r="AP600" s="14"/>
      <c r="AQ600" s="14"/>
      <c r="AR600" s="14"/>
      <c r="AS600" s="14"/>
      <c r="AT600" s="14"/>
      <c r="AU600" s="14"/>
      <c r="AV600" s="14"/>
      <c r="AW600" s="14"/>
      <c r="AX600" s="14"/>
      <c r="AY600" s="14"/>
      <c r="AZ600" s="14"/>
      <c r="BA600" s="14"/>
      <c r="BB600" s="14"/>
      <c r="BC600" s="14"/>
      <c r="BD600" s="14"/>
      <c r="BE600" s="14"/>
      <c r="BF600" s="14"/>
      <c r="BG600" s="14"/>
      <c r="BH600" s="14"/>
      <c r="BI600"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I600"/>
  <sheetViews>
    <sheetView showGridLines="0" workbookViewId="0">
      <pane ySplit="1" topLeftCell="A45" activePane="bottomLeft" state="frozen"/>
      <selection pane="bottomLeft" activeCell="B78" sqref="B78"/>
    </sheetView>
  </sheetViews>
  <sheetFormatPr defaultRowHeight="14.25"/>
  <cols>
    <col min="1" max="1" width="18" customWidth="1"/>
    <col min="2" max="2" width="45" customWidth="1"/>
    <col min="3" max="4" width="18" customWidth="1"/>
    <col min="5" max="7" width="38" customWidth="1"/>
    <col min="8" max="61" width="18" customWidth="1"/>
  </cols>
  <sheetData>
    <row r="1" spans="1:61">
      <c r="A1" s="15" t="s">
        <v>129</v>
      </c>
      <c r="B1" s="15" t="s">
        <v>525</v>
      </c>
      <c r="C1" s="15" t="s">
        <v>526</v>
      </c>
      <c r="D1" s="15" t="s">
        <v>527</v>
      </c>
      <c r="E1" s="15" t="s">
        <v>128</v>
      </c>
      <c r="F1" s="15" t="s">
        <v>320</v>
      </c>
      <c r="G1" s="15" t="s">
        <v>528</v>
      </c>
      <c r="H1" s="14" t="s">
        <v>529</v>
      </c>
      <c r="I1" s="14"/>
      <c r="J1" s="15" t="s">
        <v>86</v>
      </c>
      <c r="K1" s="15" t="s">
        <v>530</v>
      </c>
      <c r="L1" s="15" t="s">
        <v>88</v>
      </c>
      <c r="M1" s="15" t="s">
        <v>527</v>
      </c>
      <c r="N1" s="15" t="s">
        <v>128</v>
      </c>
      <c r="O1" s="14"/>
      <c r="P1" s="15" t="s">
        <v>531</v>
      </c>
      <c r="Q1" s="15" t="s">
        <v>532</v>
      </c>
      <c r="R1" s="15" t="s">
        <v>533</v>
      </c>
      <c r="S1" s="15" t="s">
        <v>527</v>
      </c>
      <c r="T1" s="15" t="s">
        <v>128</v>
      </c>
      <c r="U1" s="14"/>
      <c r="V1" s="15" t="s">
        <v>48</v>
      </c>
      <c r="W1" s="15" t="s">
        <v>49</v>
      </c>
      <c r="X1" s="15" t="s">
        <v>534</v>
      </c>
      <c r="Y1" s="15" t="s">
        <v>535</v>
      </c>
      <c r="Z1" s="15" t="s">
        <v>536</v>
      </c>
      <c r="AA1" s="15" t="s">
        <v>537</v>
      </c>
      <c r="AB1" s="15" t="s">
        <v>128</v>
      </c>
      <c r="AC1" s="14"/>
      <c r="AD1" s="15" t="s">
        <v>538</v>
      </c>
      <c r="AE1" s="15" t="s">
        <v>539</v>
      </c>
      <c r="AF1" s="15" t="s">
        <v>540</v>
      </c>
      <c r="AG1" s="15" t="s">
        <v>527</v>
      </c>
      <c r="AH1" s="15" t="s">
        <v>541</v>
      </c>
      <c r="AI1" s="14"/>
      <c r="AJ1" s="15" t="s">
        <v>542</v>
      </c>
      <c r="AK1" s="15" t="s">
        <v>543</v>
      </c>
      <c r="AL1" s="15" t="s">
        <v>533</v>
      </c>
      <c r="AM1" s="15" t="s">
        <v>128</v>
      </c>
      <c r="AN1" s="14" t="s">
        <v>544</v>
      </c>
      <c r="AO1" s="14"/>
      <c r="AP1" s="14"/>
      <c r="AQ1" s="15" t="s">
        <v>545</v>
      </c>
      <c r="AR1" s="15" t="s">
        <v>537</v>
      </c>
      <c r="AS1" s="15" t="s">
        <v>38</v>
      </c>
      <c r="AT1" s="15" t="s">
        <v>546</v>
      </c>
      <c r="AU1" s="15" t="s">
        <v>547</v>
      </c>
      <c r="AV1" s="15" t="s">
        <v>128</v>
      </c>
      <c r="AW1" s="15" t="s">
        <v>548</v>
      </c>
      <c r="AX1" s="14"/>
      <c r="AY1" s="15" t="s">
        <v>549</v>
      </c>
      <c r="AZ1" s="15" t="s">
        <v>542</v>
      </c>
      <c r="BA1" s="15" t="s">
        <v>550</v>
      </c>
      <c r="BB1" s="15" t="s">
        <v>551</v>
      </c>
      <c r="BC1" s="14"/>
      <c r="BD1" s="15" t="s">
        <v>552</v>
      </c>
      <c r="BE1" s="15" t="s">
        <v>128</v>
      </c>
      <c r="BF1" s="15" t="s">
        <v>553</v>
      </c>
      <c r="BG1" s="15" t="s">
        <v>554</v>
      </c>
      <c r="BH1" s="15" t="s">
        <v>555</v>
      </c>
      <c r="BI1" s="15" t="s">
        <v>877</v>
      </c>
    </row>
    <row r="2" spans="1:61">
      <c r="A2" s="14" t="s">
        <v>140</v>
      </c>
      <c r="B2" s="14" t="s">
        <v>1023</v>
      </c>
      <c r="C2" s="14"/>
      <c r="D2" s="14">
        <v>46304</v>
      </c>
      <c r="E2" s="14" t="s">
        <v>242</v>
      </c>
      <c r="F2" s="14" t="s">
        <v>557</v>
      </c>
      <c r="G2" s="14" t="s">
        <v>1024</v>
      </c>
      <c r="H2" s="14" t="b">
        <f>UPPER('Mutual Fund'!T5)='Fund Data'!$B$88</f>
        <v>1</v>
      </c>
      <c r="I2" s="14"/>
      <c r="J2" s="14" t="s">
        <v>639</v>
      </c>
      <c r="K2" s="14" t="s">
        <v>848</v>
      </c>
      <c r="L2" s="14">
        <v>7.46E-2</v>
      </c>
      <c r="M2" s="14">
        <v>46265</v>
      </c>
      <c r="N2" s="14" t="s">
        <v>227</v>
      </c>
      <c r="O2" s="14"/>
      <c r="P2" s="14" t="s">
        <v>559</v>
      </c>
      <c r="Q2" s="14">
        <v>0.12328799999999999</v>
      </c>
      <c r="R2" s="14" t="s">
        <v>849</v>
      </c>
      <c r="S2" s="14">
        <v>46295</v>
      </c>
      <c r="T2" s="14" t="s">
        <v>232</v>
      </c>
      <c r="U2" s="14"/>
      <c r="V2" s="14">
        <v>46003</v>
      </c>
      <c r="W2" s="14">
        <v>5.0999999999999997E-2</v>
      </c>
      <c r="X2" s="14">
        <v>46002</v>
      </c>
      <c r="Y2" s="14">
        <v>46003</v>
      </c>
      <c r="Z2" s="14"/>
      <c r="AA2" s="14" t="s">
        <v>1029</v>
      </c>
      <c r="AB2" s="14" t="s">
        <v>254</v>
      </c>
      <c r="AC2" s="14"/>
      <c r="AD2" s="14" t="s">
        <v>1001</v>
      </c>
      <c r="AE2" s="14">
        <v>42005</v>
      </c>
      <c r="AF2" s="14">
        <v>11.75</v>
      </c>
      <c r="AG2" s="14">
        <v>46295</v>
      </c>
      <c r="AH2" s="14" t="s">
        <v>1002</v>
      </c>
      <c r="AI2" s="14"/>
      <c r="AJ2" s="14">
        <v>45943</v>
      </c>
      <c r="AK2" s="14">
        <v>14.36</v>
      </c>
      <c r="AL2" s="14" t="s">
        <v>850</v>
      </c>
      <c r="AM2" s="14" t="s">
        <v>248</v>
      </c>
      <c r="AN2" s="14">
        <f>IF('Fund Data'!$H$2,IF(ISNUMBER(AK2),AK2,NA()),NA())</f>
        <v>14.36</v>
      </c>
      <c r="AO2" s="14"/>
      <c r="AP2" s="14"/>
      <c r="AQ2" s="14"/>
      <c r="AR2" s="14"/>
      <c r="AS2" s="14"/>
      <c r="AT2" s="14"/>
      <c r="AU2" s="14"/>
      <c r="AV2" s="14"/>
      <c r="AW2" s="14"/>
      <c r="AX2" s="14"/>
      <c r="AY2" s="14"/>
      <c r="AZ2" s="14"/>
      <c r="BA2" s="14"/>
      <c r="BB2" s="14"/>
      <c r="BC2" s="14"/>
      <c r="BD2" s="14" t="s">
        <v>588</v>
      </c>
      <c r="BE2" s="14" t="s">
        <v>589</v>
      </c>
      <c r="BF2" s="14" t="s">
        <v>566</v>
      </c>
      <c r="BG2" s="14"/>
      <c r="BH2" s="14">
        <v>200</v>
      </c>
      <c r="BI2" s="14">
        <v>46307.76939814815</v>
      </c>
    </row>
    <row r="3" spans="1:61">
      <c r="A3" s="14" t="s">
        <v>149</v>
      </c>
      <c r="B3" s="14" t="s">
        <v>338</v>
      </c>
      <c r="C3" s="14"/>
      <c r="D3" s="14">
        <v>46304</v>
      </c>
      <c r="E3" s="14" t="s">
        <v>242</v>
      </c>
      <c r="F3" s="14" t="s">
        <v>557</v>
      </c>
      <c r="G3" s="14" t="s">
        <v>568</v>
      </c>
      <c r="H3" s="14"/>
      <c r="I3" s="14"/>
      <c r="J3" s="14" t="s">
        <v>643</v>
      </c>
      <c r="K3" s="14" t="s">
        <v>853</v>
      </c>
      <c r="L3" s="14">
        <v>6.5000000000000002E-2</v>
      </c>
      <c r="M3" s="14">
        <v>46265</v>
      </c>
      <c r="N3" s="14" t="s">
        <v>227</v>
      </c>
      <c r="O3" s="14"/>
      <c r="P3" s="14" t="s">
        <v>645</v>
      </c>
      <c r="Q3" s="14">
        <v>0.15387999999999999</v>
      </c>
      <c r="R3" s="14" t="s">
        <v>849</v>
      </c>
      <c r="S3" s="14">
        <v>46295</v>
      </c>
      <c r="T3" s="14" t="s">
        <v>232</v>
      </c>
      <c r="U3" s="14"/>
      <c r="V3" s="14"/>
      <c r="W3" s="14"/>
      <c r="X3" s="14"/>
      <c r="Y3" s="14"/>
      <c r="Z3" s="14"/>
      <c r="AA3" s="14"/>
      <c r="AB3" s="14"/>
      <c r="AC3" s="14"/>
      <c r="AD3" s="14" t="s">
        <v>1003</v>
      </c>
      <c r="AE3" s="14">
        <v>40909</v>
      </c>
      <c r="AF3" s="14">
        <v>14.76</v>
      </c>
      <c r="AG3" s="14">
        <v>46295</v>
      </c>
      <c r="AH3" s="14" t="s">
        <v>1004</v>
      </c>
      <c r="AI3" s="14"/>
      <c r="AJ3" s="14">
        <v>45944</v>
      </c>
      <c r="AK3" s="14">
        <v>14.35</v>
      </c>
      <c r="AL3" s="14" t="s">
        <v>850</v>
      </c>
      <c r="AM3" s="14" t="s">
        <v>248</v>
      </c>
      <c r="AN3" s="14">
        <f>IF('Fund Data'!$H$2,IF(ISNUMBER(AK3),AK3,NA()),NA())</f>
        <v>14.35</v>
      </c>
      <c r="AO3" s="14"/>
      <c r="AP3" s="14"/>
      <c r="AQ3" s="14"/>
      <c r="AR3" s="14"/>
      <c r="AS3" s="14"/>
      <c r="AT3" s="14"/>
      <c r="AU3" s="14"/>
      <c r="AV3" s="14"/>
      <c r="AW3" s="14"/>
      <c r="AX3" s="14"/>
      <c r="AY3" s="14"/>
      <c r="AZ3" s="14"/>
      <c r="BA3" s="14"/>
      <c r="BB3" s="14"/>
      <c r="BC3" s="14"/>
      <c r="BD3" s="14" t="s">
        <v>881</v>
      </c>
      <c r="BE3" s="14" t="s">
        <v>882</v>
      </c>
      <c r="BF3" s="14" t="s">
        <v>566</v>
      </c>
      <c r="BG3" s="14" t="s">
        <v>980</v>
      </c>
      <c r="BH3" s="14">
        <v>200</v>
      </c>
      <c r="BI3" s="14">
        <v>46307.76939814815</v>
      </c>
    </row>
    <row r="4" spans="1:61">
      <c r="A4" s="14" t="s">
        <v>155</v>
      </c>
      <c r="B4" s="14" t="s">
        <v>854</v>
      </c>
      <c r="C4" s="14"/>
      <c r="D4" s="14">
        <v>46304</v>
      </c>
      <c r="E4" s="14" t="s">
        <v>242</v>
      </c>
      <c r="F4" s="14" t="s">
        <v>557</v>
      </c>
      <c r="G4" s="14" t="s">
        <v>855</v>
      </c>
      <c r="H4" s="14"/>
      <c r="I4" s="14"/>
      <c r="J4" s="14" t="s">
        <v>648</v>
      </c>
      <c r="K4" s="14" t="s">
        <v>1018</v>
      </c>
      <c r="L4" s="14">
        <v>5.2600000000000001E-2</v>
      </c>
      <c r="M4" s="14">
        <v>46265</v>
      </c>
      <c r="N4" s="14" t="s">
        <v>227</v>
      </c>
      <c r="O4" s="14"/>
      <c r="P4" s="14" t="s">
        <v>650</v>
      </c>
      <c r="Q4" s="14">
        <v>0.225296</v>
      </c>
      <c r="R4" s="14" t="s">
        <v>849</v>
      </c>
      <c r="S4" s="14">
        <v>46295</v>
      </c>
      <c r="T4" s="14" t="s">
        <v>232</v>
      </c>
      <c r="U4" s="14"/>
      <c r="V4" s="14"/>
      <c r="W4" s="14"/>
      <c r="X4" s="14"/>
      <c r="Y4" s="14"/>
      <c r="Z4" s="14"/>
      <c r="AA4" s="14"/>
      <c r="AB4" s="14"/>
      <c r="AC4" s="14"/>
      <c r="AD4" s="14" t="s">
        <v>1005</v>
      </c>
      <c r="AE4" s="14">
        <v>44927</v>
      </c>
      <c r="AF4" s="14">
        <v>3.75</v>
      </c>
      <c r="AG4" s="14">
        <v>46295</v>
      </c>
      <c r="AH4" s="14" t="s">
        <v>1006</v>
      </c>
      <c r="AI4" s="14"/>
      <c r="AJ4" s="14">
        <v>45945</v>
      </c>
      <c r="AK4" s="14">
        <v>14.41</v>
      </c>
      <c r="AL4" s="14" t="s">
        <v>850</v>
      </c>
      <c r="AM4" s="14" t="s">
        <v>248</v>
      </c>
      <c r="AN4" s="14">
        <f>IF('Fund Data'!$H$2,IF(ISNUMBER(AK4),AK4,NA()),NA())</f>
        <v>14.41</v>
      </c>
      <c r="AO4" s="14"/>
      <c r="AP4" s="14"/>
      <c r="AQ4" s="14"/>
      <c r="AR4" s="14"/>
      <c r="AS4" s="14"/>
      <c r="AT4" s="14"/>
      <c r="AU4" s="14"/>
      <c r="AV4" s="14"/>
      <c r="AW4" s="14"/>
      <c r="AX4" s="14"/>
      <c r="AY4" s="14"/>
      <c r="AZ4" s="14"/>
      <c r="BA4" s="14"/>
      <c r="BB4" s="14"/>
      <c r="BC4" s="14"/>
      <c r="BD4" s="14" t="s">
        <v>199</v>
      </c>
      <c r="BE4" s="14" t="s">
        <v>203</v>
      </c>
      <c r="BF4" s="14" t="s">
        <v>851</v>
      </c>
      <c r="BG4" s="14" t="s">
        <v>852</v>
      </c>
      <c r="BH4" s="14">
        <v>200</v>
      </c>
      <c r="BI4" s="14">
        <v>46307.769409722219</v>
      </c>
    </row>
    <row r="5" spans="1:61">
      <c r="A5" s="14" t="s">
        <v>161</v>
      </c>
      <c r="B5" s="14">
        <v>16.739999999999998</v>
      </c>
      <c r="C5" s="14"/>
      <c r="D5" s="14">
        <v>46304</v>
      </c>
      <c r="E5" s="14" t="s">
        <v>242</v>
      </c>
      <c r="F5" s="14" t="s">
        <v>557</v>
      </c>
      <c r="G5" s="14" t="s">
        <v>1025</v>
      </c>
      <c r="H5" s="14"/>
      <c r="I5" s="14"/>
      <c r="J5" s="14" t="s">
        <v>651</v>
      </c>
      <c r="K5" s="14" t="s">
        <v>856</v>
      </c>
      <c r="L5" s="14">
        <v>3.5499999999999997E-2</v>
      </c>
      <c r="M5" s="14">
        <v>46265</v>
      </c>
      <c r="N5" s="14" t="s">
        <v>227</v>
      </c>
      <c r="O5" s="14"/>
      <c r="P5" s="14" t="s">
        <v>653</v>
      </c>
      <c r="Q5" s="14">
        <v>0.129523</v>
      </c>
      <c r="R5" s="14" t="s">
        <v>849</v>
      </c>
      <c r="S5" s="14">
        <v>46295</v>
      </c>
      <c r="T5" s="14" t="s">
        <v>232</v>
      </c>
      <c r="U5" s="14"/>
      <c r="V5" s="14"/>
      <c r="W5" s="14"/>
      <c r="X5" s="14"/>
      <c r="Y5" s="14"/>
      <c r="Z5" s="14"/>
      <c r="AA5" s="14"/>
      <c r="AB5" s="14"/>
      <c r="AC5" s="14"/>
      <c r="AD5" s="14" t="s">
        <v>1007</v>
      </c>
      <c r="AE5" s="14">
        <v>39448</v>
      </c>
      <c r="AF5" s="14">
        <v>18.760000000000002</v>
      </c>
      <c r="AG5" s="14">
        <v>46295</v>
      </c>
      <c r="AH5" s="14" t="s">
        <v>1008</v>
      </c>
      <c r="AI5" s="14"/>
      <c r="AJ5" s="14">
        <v>45946</v>
      </c>
      <c r="AK5" s="14">
        <v>14.31</v>
      </c>
      <c r="AL5" s="14" t="s">
        <v>850</v>
      </c>
      <c r="AM5" s="14" t="s">
        <v>248</v>
      </c>
      <c r="AN5" s="14">
        <f>IF('Fund Data'!$H$2,IF(ISNUMBER(AK5),AK5,NA()),NA())</f>
        <v>14.31</v>
      </c>
      <c r="AO5" s="14"/>
      <c r="AP5" s="14"/>
      <c r="AQ5" s="14"/>
      <c r="AR5" s="14"/>
      <c r="AS5" s="14"/>
      <c r="AT5" s="14"/>
      <c r="AU5" s="14"/>
      <c r="AV5" s="14"/>
      <c r="AW5" s="14"/>
      <c r="AX5" s="14"/>
      <c r="AY5" s="14"/>
      <c r="AZ5" s="14"/>
      <c r="BA5" s="14"/>
      <c r="BB5" s="14"/>
      <c r="BC5" s="14"/>
      <c r="BD5" s="14" t="s">
        <v>206</v>
      </c>
      <c r="BE5" s="14" t="s">
        <v>210</v>
      </c>
      <c r="BF5" s="14" t="s">
        <v>566</v>
      </c>
      <c r="BG5" s="14"/>
      <c r="BH5" s="14">
        <v>200</v>
      </c>
      <c r="BI5" s="14">
        <v>46307.769409722219</v>
      </c>
    </row>
    <row r="6" spans="1:61">
      <c r="A6" s="14" t="s">
        <v>168</v>
      </c>
      <c r="B6" s="14" t="s">
        <v>599</v>
      </c>
      <c r="C6" s="14"/>
      <c r="D6" s="14"/>
      <c r="E6" s="14"/>
      <c r="F6" s="14" t="s">
        <v>600</v>
      </c>
      <c r="G6" s="14"/>
      <c r="H6" s="14"/>
      <c r="I6" s="14"/>
      <c r="J6" s="14" t="s">
        <v>654</v>
      </c>
      <c r="K6" s="14" t="s">
        <v>1019</v>
      </c>
      <c r="L6" s="14">
        <v>2.7799999999999998E-2</v>
      </c>
      <c r="M6" s="14">
        <v>46265</v>
      </c>
      <c r="N6" s="14" t="s">
        <v>227</v>
      </c>
      <c r="O6" s="14"/>
      <c r="P6" s="14" t="s">
        <v>656</v>
      </c>
      <c r="Q6" s="14">
        <v>0.14933099999999999</v>
      </c>
      <c r="R6" s="14" t="s">
        <v>849</v>
      </c>
      <c r="S6" s="14">
        <v>46295</v>
      </c>
      <c r="T6" s="14" t="s">
        <v>232</v>
      </c>
      <c r="U6" s="14"/>
      <c r="V6" s="14"/>
      <c r="W6" s="14"/>
      <c r="X6" s="14"/>
      <c r="Y6" s="14"/>
      <c r="Z6" s="14"/>
      <c r="AA6" s="14"/>
      <c r="AB6" s="14"/>
      <c r="AC6" s="14"/>
      <c r="AD6" s="14" t="s">
        <v>1009</v>
      </c>
      <c r="AE6" s="14">
        <v>39506</v>
      </c>
      <c r="AF6" s="14">
        <v>18.600000000000001</v>
      </c>
      <c r="AG6" s="14">
        <v>46295</v>
      </c>
      <c r="AH6" s="14" t="s">
        <v>1010</v>
      </c>
      <c r="AI6" s="14"/>
      <c r="AJ6" s="14">
        <v>45947</v>
      </c>
      <c r="AK6" s="14">
        <v>14.38</v>
      </c>
      <c r="AL6" s="14" t="s">
        <v>850</v>
      </c>
      <c r="AM6" s="14" t="s">
        <v>248</v>
      </c>
      <c r="AN6" s="14">
        <f>IF('Fund Data'!$H$2,IF(ISNUMBER(AK6),AK6,NA()),NA())</f>
        <v>14.38</v>
      </c>
      <c r="AO6" s="14"/>
      <c r="AP6" s="14"/>
      <c r="AQ6" s="14"/>
      <c r="AR6" s="14"/>
      <c r="AS6" s="14"/>
      <c r="AT6" s="14"/>
      <c r="AU6" s="14"/>
      <c r="AV6" s="14"/>
      <c r="AW6" s="14"/>
      <c r="AX6" s="14"/>
      <c r="AY6" s="14"/>
      <c r="AZ6" s="14"/>
      <c r="BA6" s="14"/>
      <c r="BB6" s="14"/>
      <c r="BC6" s="14"/>
      <c r="BD6" s="14" t="s">
        <v>213</v>
      </c>
      <c r="BE6" s="14" t="s">
        <v>216</v>
      </c>
      <c r="BF6" s="14" t="s">
        <v>566</v>
      </c>
      <c r="BG6" s="14"/>
      <c r="BH6" s="14">
        <v>200</v>
      </c>
      <c r="BI6" s="14">
        <v>46307.769421296296</v>
      </c>
    </row>
    <row r="7" spans="1:61">
      <c r="A7" s="14" t="s">
        <v>174</v>
      </c>
      <c r="B7" s="14">
        <v>0.1</v>
      </c>
      <c r="C7" s="14"/>
      <c r="D7" s="14">
        <v>46304</v>
      </c>
      <c r="E7" s="14" t="s">
        <v>242</v>
      </c>
      <c r="F7" s="14" t="s">
        <v>557</v>
      </c>
      <c r="G7" s="14" t="s">
        <v>1027</v>
      </c>
      <c r="H7" s="14"/>
      <c r="I7" s="14"/>
      <c r="J7" s="14" t="s">
        <v>657</v>
      </c>
      <c r="K7" s="14" t="s">
        <v>658</v>
      </c>
      <c r="L7" s="14">
        <v>2.4500000000000001E-2</v>
      </c>
      <c r="M7" s="14">
        <v>46265</v>
      </c>
      <c r="N7" s="14" t="s">
        <v>227</v>
      </c>
      <c r="O7" s="14"/>
      <c r="P7" s="14" t="s">
        <v>659</v>
      </c>
      <c r="Q7" s="14">
        <v>0.1079</v>
      </c>
      <c r="R7" s="14" t="s">
        <v>849</v>
      </c>
      <c r="S7" s="14">
        <v>46295</v>
      </c>
      <c r="T7" s="14" t="s">
        <v>232</v>
      </c>
      <c r="U7" s="14"/>
      <c r="V7" s="14"/>
      <c r="W7" s="14"/>
      <c r="X7" s="14"/>
      <c r="Y7" s="14"/>
      <c r="Z7" s="14"/>
      <c r="AA7" s="14"/>
      <c r="AB7" s="14"/>
      <c r="AC7" s="14"/>
      <c r="AD7" s="14" t="s">
        <v>1011</v>
      </c>
      <c r="AE7" s="14">
        <v>41275</v>
      </c>
      <c r="AF7" s="14">
        <v>13.75</v>
      </c>
      <c r="AG7" s="14">
        <v>46295</v>
      </c>
      <c r="AH7" s="14" t="s">
        <v>1012</v>
      </c>
      <c r="AI7" s="14"/>
      <c r="AJ7" s="14">
        <v>45950</v>
      </c>
      <c r="AK7" s="14">
        <v>14.53</v>
      </c>
      <c r="AL7" s="14" t="s">
        <v>850</v>
      </c>
      <c r="AM7" s="14" t="s">
        <v>248</v>
      </c>
      <c r="AN7" s="14">
        <f>IF('Fund Data'!$H$2,IF(ISNUMBER(AK7),AK7,NA()),NA())</f>
        <v>14.53</v>
      </c>
      <c r="AO7" s="14"/>
      <c r="AP7" s="14"/>
      <c r="AQ7" s="14"/>
      <c r="AR7" s="14"/>
      <c r="AS7" s="14"/>
      <c r="AT7" s="14"/>
      <c r="AU7" s="14"/>
      <c r="AV7" s="14"/>
      <c r="AW7" s="14"/>
      <c r="AX7" s="14"/>
      <c r="AY7" s="14"/>
      <c r="AZ7" s="14"/>
      <c r="BA7" s="14"/>
      <c r="BB7" s="14"/>
      <c r="BC7" s="14"/>
      <c r="BD7" s="14" t="s">
        <v>219</v>
      </c>
      <c r="BE7" s="14" t="s">
        <v>221</v>
      </c>
      <c r="BF7" s="14" t="s">
        <v>566</v>
      </c>
      <c r="BG7" s="14"/>
      <c r="BH7" s="14">
        <v>200</v>
      </c>
      <c r="BI7" s="14">
        <v>46307.769421296296</v>
      </c>
    </row>
    <row r="8" spans="1:61">
      <c r="A8" s="14" t="s">
        <v>180</v>
      </c>
      <c r="B8" s="14">
        <v>6.0099999999999997E-3</v>
      </c>
      <c r="C8" s="14"/>
      <c r="D8" s="14">
        <v>46304</v>
      </c>
      <c r="E8" s="14" t="s">
        <v>242</v>
      </c>
      <c r="F8" s="14" t="s">
        <v>557</v>
      </c>
      <c r="G8" s="14" t="s">
        <v>1028</v>
      </c>
      <c r="H8" s="14"/>
      <c r="I8" s="14"/>
      <c r="J8" s="14" t="s">
        <v>660</v>
      </c>
      <c r="K8" s="14" t="s">
        <v>1020</v>
      </c>
      <c r="L8" s="14">
        <v>2.2099999999999998E-2</v>
      </c>
      <c r="M8" s="14">
        <v>46265</v>
      </c>
      <c r="N8" s="14" t="s">
        <v>227</v>
      </c>
      <c r="O8" s="14"/>
      <c r="P8" s="14" t="s">
        <v>559</v>
      </c>
      <c r="Q8" s="14">
        <v>0.12328799999999999</v>
      </c>
      <c r="R8" s="14" t="s">
        <v>857</v>
      </c>
      <c r="S8" s="14">
        <v>46295</v>
      </c>
      <c r="T8" s="14" t="s">
        <v>237</v>
      </c>
      <c r="U8" s="14"/>
      <c r="V8" s="14"/>
      <c r="W8" s="14"/>
      <c r="X8" s="14"/>
      <c r="Y8" s="14"/>
      <c r="Z8" s="14"/>
      <c r="AA8" s="14"/>
      <c r="AB8" s="14"/>
      <c r="AC8" s="14"/>
      <c r="AD8" s="14" t="s">
        <v>1013</v>
      </c>
      <c r="AE8" s="14">
        <v>43466</v>
      </c>
      <c r="AF8" s="14">
        <v>7.75</v>
      </c>
      <c r="AG8" s="14">
        <v>46295</v>
      </c>
      <c r="AH8" s="14" t="s">
        <v>1014</v>
      </c>
      <c r="AI8" s="14"/>
      <c r="AJ8" s="14">
        <v>45951</v>
      </c>
      <c r="AK8" s="14">
        <v>14.53</v>
      </c>
      <c r="AL8" s="14" t="s">
        <v>850</v>
      </c>
      <c r="AM8" s="14" t="s">
        <v>248</v>
      </c>
      <c r="AN8" s="14">
        <f>IF('Fund Data'!$H$2,IF(ISNUMBER(AK8),AK8,NA()),NA())</f>
        <v>14.53</v>
      </c>
      <c r="AO8" s="14"/>
      <c r="AP8" s="14"/>
      <c r="AQ8" s="14"/>
      <c r="AR8" s="14"/>
      <c r="AS8" s="14"/>
      <c r="AT8" s="14"/>
      <c r="AU8" s="14"/>
      <c r="AV8" s="14"/>
      <c r="AW8" s="14"/>
      <c r="AX8" s="14"/>
      <c r="AY8" s="14"/>
      <c r="AZ8" s="14"/>
      <c r="BA8" s="14"/>
      <c r="BB8" s="14"/>
      <c r="BC8" s="14"/>
      <c r="BD8" s="14" t="s">
        <v>224</v>
      </c>
      <c r="BE8" s="14" t="s">
        <v>227</v>
      </c>
      <c r="BF8" s="14" t="s">
        <v>566</v>
      </c>
      <c r="BG8" s="14"/>
      <c r="BH8" s="14">
        <v>200</v>
      </c>
      <c r="BI8" s="14">
        <v>46307.769421296296</v>
      </c>
    </row>
    <row r="9" spans="1:61">
      <c r="A9" s="14" t="s">
        <v>187</v>
      </c>
      <c r="B9" s="14">
        <v>46304</v>
      </c>
      <c r="C9" s="14"/>
      <c r="D9" s="14">
        <v>46304</v>
      </c>
      <c r="E9" s="14" t="s">
        <v>242</v>
      </c>
      <c r="F9" s="14" t="s">
        <v>557</v>
      </c>
      <c r="G9" s="14" t="s">
        <v>580</v>
      </c>
      <c r="H9" s="14"/>
      <c r="I9" s="14"/>
      <c r="J9" s="14" t="s">
        <v>662</v>
      </c>
      <c r="K9" s="14" t="s">
        <v>1021</v>
      </c>
      <c r="L9" s="14">
        <v>1.7500000000000002E-2</v>
      </c>
      <c r="M9" s="14">
        <v>46265</v>
      </c>
      <c r="N9" s="14" t="s">
        <v>227</v>
      </c>
      <c r="O9" s="14"/>
      <c r="P9" s="14" t="s">
        <v>645</v>
      </c>
      <c r="Q9" s="14">
        <v>0.15387999999999999</v>
      </c>
      <c r="R9" s="14" t="s">
        <v>857</v>
      </c>
      <c r="S9" s="14">
        <v>46295</v>
      </c>
      <c r="T9" s="14" t="s">
        <v>237</v>
      </c>
      <c r="U9" s="14"/>
      <c r="V9" s="14"/>
      <c r="W9" s="14"/>
      <c r="X9" s="14"/>
      <c r="Y9" s="14"/>
      <c r="Z9" s="14"/>
      <c r="AA9" s="14"/>
      <c r="AB9" s="14"/>
      <c r="AC9" s="14"/>
      <c r="AD9" s="14" t="s">
        <v>1015</v>
      </c>
      <c r="AE9" s="14">
        <v>42736</v>
      </c>
      <c r="AF9" s="14">
        <v>9.75</v>
      </c>
      <c r="AG9" s="14">
        <v>46295</v>
      </c>
      <c r="AH9" s="14" t="s">
        <v>1016</v>
      </c>
      <c r="AI9" s="14"/>
      <c r="AJ9" s="14">
        <v>45952</v>
      </c>
      <c r="AK9" s="14">
        <v>14.44</v>
      </c>
      <c r="AL9" s="14" t="s">
        <v>850</v>
      </c>
      <c r="AM9" s="14" t="s">
        <v>248</v>
      </c>
      <c r="AN9" s="14">
        <f>IF('Fund Data'!$H$2,IF(ISNUMBER(AK9),AK9,NA()),NA())</f>
        <v>14.44</v>
      </c>
      <c r="AO9" s="14"/>
      <c r="AP9" s="14"/>
      <c r="AQ9" s="14"/>
      <c r="AR9" s="14"/>
      <c r="AS9" s="14"/>
      <c r="AT9" s="14"/>
      <c r="AU9" s="14"/>
      <c r="AV9" s="14"/>
      <c r="AW9" s="14"/>
      <c r="AX9" s="14"/>
      <c r="AY9" s="14"/>
      <c r="AZ9" s="14"/>
      <c r="BA9" s="14"/>
      <c r="BB9" s="14"/>
      <c r="BC9" s="14"/>
      <c r="BD9" s="14" t="s">
        <v>230</v>
      </c>
      <c r="BE9" s="14" t="s">
        <v>232</v>
      </c>
      <c r="BF9" s="14" t="s">
        <v>566</v>
      </c>
      <c r="BG9" s="14"/>
      <c r="BH9" s="14">
        <v>200</v>
      </c>
      <c r="BI9" s="14">
        <v>46307.769421296296</v>
      </c>
    </row>
    <row r="10" spans="1:61">
      <c r="A10" s="14" t="s">
        <v>191</v>
      </c>
      <c r="B10" s="14" t="s">
        <v>599</v>
      </c>
      <c r="C10" s="14"/>
      <c r="D10" s="14"/>
      <c r="E10" s="14"/>
      <c r="F10" s="14" t="s">
        <v>600</v>
      </c>
      <c r="G10" s="14"/>
      <c r="H10" s="14"/>
      <c r="I10" s="14"/>
      <c r="J10" s="14" t="s">
        <v>665</v>
      </c>
      <c r="K10" s="14" t="s">
        <v>1022</v>
      </c>
      <c r="L10" s="14">
        <v>1.5100000000000001E-2</v>
      </c>
      <c r="M10" s="14">
        <v>46265</v>
      </c>
      <c r="N10" s="14" t="s">
        <v>227</v>
      </c>
      <c r="O10" s="14"/>
      <c r="P10" s="14" t="s">
        <v>650</v>
      </c>
      <c r="Q10" s="14">
        <v>0.225296</v>
      </c>
      <c r="R10" s="14" t="s">
        <v>857</v>
      </c>
      <c r="S10" s="14">
        <v>46295</v>
      </c>
      <c r="T10" s="14" t="s">
        <v>237</v>
      </c>
      <c r="U10" s="14"/>
      <c r="V10" s="14"/>
      <c r="W10" s="14"/>
      <c r="X10" s="14"/>
      <c r="Y10" s="14"/>
      <c r="Z10" s="14"/>
      <c r="AA10" s="14"/>
      <c r="AB10" s="14"/>
      <c r="AC10" s="14"/>
      <c r="AD10" s="14"/>
      <c r="AE10" s="14"/>
      <c r="AF10" s="14"/>
      <c r="AG10" s="14"/>
      <c r="AH10" s="14"/>
      <c r="AI10" s="14"/>
      <c r="AJ10" s="14">
        <v>45953</v>
      </c>
      <c r="AK10" s="14">
        <v>14.54</v>
      </c>
      <c r="AL10" s="14" t="s">
        <v>850</v>
      </c>
      <c r="AM10" s="14" t="s">
        <v>248</v>
      </c>
      <c r="AN10" s="14">
        <f>IF('Fund Data'!$H$2,IF(ISNUMBER(AK10),AK10,NA()),NA())</f>
        <v>14.54</v>
      </c>
      <c r="AO10" s="14"/>
      <c r="AP10" s="14"/>
      <c r="AQ10" s="14"/>
      <c r="AR10" s="14"/>
      <c r="AS10" s="14"/>
      <c r="AT10" s="14"/>
      <c r="AU10" s="14"/>
      <c r="AV10" s="14"/>
      <c r="AW10" s="14"/>
      <c r="AX10" s="14"/>
      <c r="AY10" s="14"/>
      <c r="AZ10" s="14"/>
      <c r="BA10" s="14"/>
      <c r="BB10" s="14"/>
      <c r="BC10" s="14"/>
      <c r="BD10" s="14" t="s">
        <v>235</v>
      </c>
      <c r="BE10" s="14" t="s">
        <v>237</v>
      </c>
      <c r="BF10" s="14" t="s">
        <v>566</v>
      </c>
      <c r="BG10" s="14"/>
      <c r="BH10" s="14">
        <v>200</v>
      </c>
      <c r="BI10" s="14">
        <v>46307.769421296296</v>
      </c>
    </row>
    <row r="11" spans="1:61">
      <c r="A11" s="14" t="s">
        <v>197</v>
      </c>
      <c r="B11" s="14" t="s">
        <v>599</v>
      </c>
      <c r="C11" s="14"/>
      <c r="D11" s="14"/>
      <c r="E11" s="14"/>
      <c r="F11" s="14" t="s">
        <v>600</v>
      </c>
      <c r="G11" s="14"/>
      <c r="H11" s="14"/>
      <c r="I11" s="14"/>
      <c r="J11" s="14" t="s">
        <v>667</v>
      </c>
      <c r="K11" s="14" t="s">
        <v>668</v>
      </c>
      <c r="L11" s="14">
        <v>1.4499999999999999E-2</v>
      </c>
      <c r="M11" s="14">
        <v>46265</v>
      </c>
      <c r="N11" s="14" t="s">
        <v>227</v>
      </c>
      <c r="O11" s="14"/>
      <c r="P11" s="14" t="s">
        <v>653</v>
      </c>
      <c r="Q11" s="14">
        <v>0.129523</v>
      </c>
      <c r="R11" s="14" t="s">
        <v>857</v>
      </c>
      <c r="S11" s="14">
        <v>46295</v>
      </c>
      <c r="T11" s="14" t="s">
        <v>237</v>
      </c>
      <c r="U11" s="14"/>
      <c r="V11" s="14"/>
      <c r="W11" s="14"/>
      <c r="X11" s="14"/>
      <c r="Y11" s="14"/>
      <c r="Z11" s="14"/>
      <c r="AA11" s="14"/>
      <c r="AB11" s="14"/>
      <c r="AC11" s="14"/>
      <c r="AD11" s="14"/>
      <c r="AE11" s="14"/>
      <c r="AF11" s="14"/>
      <c r="AG11" s="14"/>
      <c r="AH11" s="14"/>
      <c r="AI11" s="14"/>
      <c r="AJ11" s="14">
        <v>45954</v>
      </c>
      <c r="AK11" s="14">
        <v>14.65</v>
      </c>
      <c r="AL11" s="14" t="s">
        <v>850</v>
      </c>
      <c r="AM11" s="14" t="s">
        <v>248</v>
      </c>
      <c r="AN11" s="14">
        <f>IF('Fund Data'!$H$2,IF(ISNUMBER(AK11),AK11,NA()),NA())</f>
        <v>14.65</v>
      </c>
      <c r="AO11" s="14"/>
      <c r="AP11" s="14"/>
      <c r="AQ11" s="14"/>
      <c r="AR11" s="14"/>
      <c r="AS11" s="14"/>
      <c r="AT11" s="14"/>
      <c r="AU11" s="14"/>
      <c r="AV11" s="14"/>
      <c r="AW11" s="14"/>
      <c r="AX11" s="14"/>
      <c r="AY11" s="14"/>
      <c r="AZ11" s="14"/>
      <c r="BA11" s="14"/>
      <c r="BB11" s="14"/>
      <c r="BC11" s="14"/>
      <c r="BD11" s="14" t="s">
        <v>240</v>
      </c>
      <c r="BE11" s="14" t="s">
        <v>242</v>
      </c>
      <c r="BF11" s="14" t="s">
        <v>566</v>
      </c>
      <c r="BG11" s="14"/>
      <c r="BH11" s="14">
        <v>200</v>
      </c>
      <c r="BI11" s="14">
        <v>46307.769421296296</v>
      </c>
    </row>
    <row r="12" spans="1:61">
      <c r="A12" s="14" t="s">
        <v>204</v>
      </c>
      <c r="B12" s="14">
        <v>16.64</v>
      </c>
      <c r="C12" s="14"/>
      <c r="D12" s="14">
        <v>46304</v>
      </c>
      <c r="E12" s="14" t="s">
        <v>242</v>
      </c>
      <c r="F12" s="14" t="s">
        <v>557</v>
      </c>
      <c r="G12" s="14" t="s">
        <v>1026</v>
      </c>
      <c r="H12" s="14"/>
      <c r="I12" s="14"/>
      <c r="J12" s="14"/>
      <c r="K12" s="14"/>
      <c r="L12" s="14"/>
      <c r="M12" s="14"/>
      <c r="N12" s="14"/>
      <c r="O12" s="14"/>
      <c r="P12" s="14" t="s">
        <v>656</v>
      </c>
      <c r="Q12" s="14">
        <v>0.14933099999999999</v>
      </c>
      <c r="R12" s="14" t="s">
        <v>857</v>
      </c>
      <c r="S12" s="14">
        <v>46295</v>
      </c>
      <c r="T12" s="14" t="s">
        <v>237</v>
      </c>
      <c r="U12" s="14"/>
      <c r="V12" s="14"/>
      <c r="W12" s="14"/>
      <c r="X12" s="14"/>
      <c r="Y12" s="14"/>
      <c r="Z12" s="14"/>
      <c r="AA12" s="14"/>
      <c r="AB12" s="14"/>
      <c r="AC12" s="14"/>
      <c r="AD12" s="14"/>
      <c r="AE12" s="14"/>
      <c r="AF12" s="14"/>
      <c r="AG12" s="14"/>
      <c r="AH12" s="14"/>
      <c r="AI12" s="14"/>
      <c r="AJ12" s="14">
        <v>45957</v>
      </c>
      <c r="AK12" s="14">
        <v>14.83</v>
      </c>
      <c r="AL12" s="14" t="s">
        <v>850</v>
      </c>
      <c r="AM12" s="14" t="s">
        <v>248</v>
      </c>
      <c r="AN12" s="14">
        <f>IF('Fund Data'!$H$2,IF(ISNUMBER(AK12),AK12,NA()),NA())</f>
        <v>14.83</v>
      </c>
      <c r="AO12" s="14"/>
      <c r="AP12" s="14"/>
      <c r="AQ12" s="14"/>
      <c r="AR12" s="14"/>
      <c r="AS12" s="14"/>
      <c r="AT12" s="14"/>
      <c r="AU12" s="14"/>
      <c r="AV12" s="14"/>
      <c r="AW12" s="14"/>
      <c r="AX12" s="14"/>
      <c r="AY12" s="14"/>
      <c r="AZ12" s="14"/>
      <c r="BA12" s="14"/>
      <c r="BB12" s="14"/>
      <c r="BC12" s="14"/>
      <c r="BD12" s="14" t="s">
        <v>245</v>
      </c>
      <c r="BE12" s="14" t="s">
        <v>248</v>
      </c>
      <c r="BF12" s="14" t="s">
        <v>566</v>
      </c>
      <c r="BG12" s="14"/>
      <c r="BH12" s="14">
        <v>200</v>
      </c>
      <c r="BI12" s="14">
        <v>46307.769421296296</v>
      </c>
    </row>
    <row r="13" spans="1:61">
      <c r="A13" s="14" t="s">
        <v>211</v>
      </c>
      <c r="B13" s="14" t="s">
        <v>599</v>
      </c>
      <c r="C13" s="14"/>
      <c r="D13" s="14"/>
      <c r="E13" s="14"/>
      <c r="F13" s="14" t="s">
        <v>600</v>
      </c>
      <c r="G13" s="14"/>
      <c r="H13" s="14"/>
      <c r="I13" s="14"/>
      <c r="J13" s="14"/>
      <c r="K13" s="14"/>
      <c r="L13" s="14"/>
      <c r="M13" s="14"/>
      <c r="N13" s="14"/>
      <c r="O13" s="14"/>
      <c r="P13" s="14" t="s">
        <v>659</v>
      </c>
      <c r="Q13" s="14">
        <v>0.1079</v>
      </c>
      <c r="R13" s="14" t="s">
        <v>857</v>
      </c>
      <c r="S13" s="14">
        <v>46295</v>
      </c>
      <c r="T13" s="14" t="s">
        <v>237</v>
      </c>
      <c r="U13" s="14"/>
      <c r="V13" s="14"/>
      <c r="W13" s="14"/>
      <c r="X13" s="14"/>
      <c r="Y13" s="14"/>
      <c r="Z13" s="14"/>
      <c r="AA13" s="14"/>
      <c r="AB13" s="14"/>
      <c r="AC13" s="14"/>
      <c r="AD13" s="14"/>
      <c r="AE13" s="14"/>
      <c r="AF13" s="14"/>
      <c r="AG13" s="14"/>
      <c r="AH13" s="14"/>
      <c r="AI13" s="14"/>
      <c r="AJ13" s="14">
        <v>45958</v>
      </c>
      <c r="AK13" s="14">
        <v>14.85</v>
      </c>
      <c r="AL13" s="14" t="s">
        <v>850</v>
      </c>
      <c r="AM13" s="14" t="s">
        <v>248</v>
      </c>
      <c r="AN13" s="14">
        <f>IF('Fund Data'!$H$2,IF(ISNUMBER(AK13),AK13,NA()),NA())</f>
        <v>14.85</v>
      </c>
      <c r="AO13" s="14"/>
      <c r="AP13" s="14"/>
      <c r="AQ13" s="14"/>
      <c r="AR13" s="14"/>
      <c r="AS13" s="14"/>
      <c r="AT13" s="14"/>
      <c r="AU13" s="14"/>
      <c r="AV13" s="14"/>
      <c r="AW13" s="14"/>
      <c r="AX13" s="14"/>
      <c r="AY13" s="14"/>
      <c r="AZ13" s="14"/>
      <c r="BA13" s="14"/>
      <c r="BB13" s="14"/>
      <c r="BC13" s="14"/>
      <c r="BD13" s="14" t="s">
        <v>251</v>
      </c>
      <c r="BE13" s="14" t="s">
        <v>254</v>
      </c>
      <c r="BF13" s="14" t="s">
        <v>566</v>
      </c>
      <c r="BG13" s="14"/>
      <c r="BH13" s="14">
        <v>200</v>
      </c>
      <c r="BI13" s="14">
        <v>46307.769432870373</v>
      </c>
    </row>
    <row r="14" spans="1:61">
      <c r="A14" s="14" t="s">
        <v>217</v>
      </c>
      <c r="B14" s="14" t="s">
        <v>599</v>
      </c>
      <c r="C14" s="14"/>
      <c r="D14" s="14"/>
      <c r="E14" s="14"/>
      <c r="F14" s="14" t="s">
        <v>600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v>45959</v>
      </c>
      <c r="AK14" s="14">
        <v>14.85</v>
      </c>
      <c r="AL14" s="14" t="s">
        <v>850</v>
      </c>
      <c r="AM14" s="14" t="s">
        <v>248</v>
      </c>
      <c r="AN14" s="14">
        <f>IF('Fund Data'!$H$2,IF(ISNUMBER(AK14),AK14,NA()),NA())</f>
        <v>14.85</v>
      </c>
      <c r="AO14" s="14"/>
      <c r="AP14" s="14"/>
      <c r="AQ14" s="14"/>
      <c r="AR14" s="14"/>
      <c r="AS14" s="14"/>
      <c r="AT14" s="14"/>
      <c r="AU14" s="14"/>
      <c r="AV14" s="14"/>
      <c r="AW14" s="14"/>
      <c r="AX14" s="14"/>
      <c r="AY14" s="14"/>
      <c r="AZ14" s="14"/>
      <c r="BA14" s="14"/>
      <c r="BB14" s="14"/>
      <c r="BC14" s="14"/>
      <c r="BD14" s="14"/>
      <c r="BE14" s="14"/>
      <c r="BF14" s="14"/>
      <c r="BG14" s="14"/>
      <c r="BH14" s="14"/>
      <c r="BI14" s="14"/>
    </row>
    <row r="15" spans="1:61">
      <c r="A15" s="14" t="s">
        <v>222</v>
      </c>
      <c r="B15" s="14" t="s">
        <v>599</v>
      </c>
      <c r="C15" s="14"/>
      <c r="D15" s="14"/>
      <c r="E15" s="14"/>
      <c r="F15" s="14" t="s">
        <v>600</v>
      </c>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v>45960</v>
      </c>
      <c r="AK15" s="14">
        <v>14.69</v>
      </c>
      <c r="AL15" s="14" t="s">
        <v>850</v>
      </c>
      <c r="AM15" s="14" t="s">
        <v>248</v>
      </c>
      <c r="AN15" s="14">
        <f>IF('Fund Data'!$H$2,IF(ISNUMBER(AK15),AK15,NA()),NA())</f>
        <v>14.69</v>
      </c>
      <c r="AO15" s="14"/>
      <c r="AP15" s="14"/>
      <c r="AQ15" s="14"/>
      <c r="AR15" s="14"/>
      <c r="AS15" s="14"/>
      <c r="AT15" s="14"/>
      <c r="AU15" s="14"/>
      <c r="AV15" s="14"/>
      <c r="AW15" s="14"/>
      <c r="AX15" s="14"/>
      <c r="AY15" s="14"/>
      <c r="AZ15" s="14"/>
      <c r="BA15" s="14"/>
      <c r="BB15" s="14"/>
      <c r="BC15" s="14"/>
      <c r="BD15" s="14"/>
      <c r="BE15" s="14"/>
      <c r="BF15" s="14"/>
      <c r="BG15" s="14"/>
      <c r="BH15" s="14"/>
      <c r="BI15" s="14"/>
    </row>
    <row r="16" spans="1:61">
      <c r="A16" s="14" t="s">
        <v>228</v>
      </c>
      <c r="B16" s="14" t="s">
        <v>599</v>
      </c>
      <c r="C16" s="14"/>
      <c r="D16" s="14"/>
      <c r="E16" s="14"/>
      <c r="F16" s="14" t="s">
        <v>600</v>
      </c>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v>45961</v>
      </c>
      <c r="AK16" s="14">
        <v>14.75</v>
      </c>
      <c r="AL16" s="14" t="s">
        <v>850</v>
      </c>
      <c r="AM16" s="14" t="s">
        <v>248</v>
      </c>
      <c r="AN16" s="14">
        <f>IF('Fund Data'!$H$2,IF(ISNUMBER(AK16),AK16,NA()),NA())</f>
        <v>14.75</v>
      </c>
      <c r="AO16" s="14"/>
      <c r="AP16" s="14"/>
      <c r="AQ16" s="14"/>
      <c r="AR16" s="14"/>
      <c r="AS16" s="14"/>
      <c r="AT16" s="14"/>
      <c r="AU16" s="14"/>
      <c r="AV16" s="14"/>
      <c r="AW16" s="14"/>
      <c r="AX16" s="14"/>
      <c r="AY16" s="14"/>
      <c r="AZ16" s="14"/>
      <c r="BA16" s="14"/>
      <c r="BB16" s="14"/>
      <c r="BC16" s="14"/>
      <c r="BD16" s="14"/>
      <c r="BE16" s="14"/>
      <c r="BF16" s="14"/>
      <c r="BG16" s="14"/>
      <c r="BH16" s="14"/>
      <c r="BI16" s="14"/>
    </row>
    <row r="17" spans="1:61">
      <c r="A17" s="14" t="s">
        <v>233</v>
      </c>
      <c r="B17" s="14" t="s">
        <v>599</v>
      </c>
      <c r="C17" s="14"/>
      <c r="D17" s="14"/>
      <c r="E17" s="14"/>
      <c r="F17" s="14" t="s">
        <v>600</v>
      </c>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v>45964</v>
      </c>
      <c r="AK17" s="14">
        <v>14.77</v>
      </c>
      <c r="AL17" s="14" t="s">
        <v>850</v>
      </c>
      <c r="AM17" s="14" t="s">
        <v>248</v>
      </c>
      <c r="AN17" s="14">
        <f>IF('Fund Data'!$H$2,IF(ISNUMBER(AK17),AK17,NA()),NA())</f>
        <v>14.77</v>
      </c>
      <c r="AO17" s="14"/>
      <c r="AP17" s="14"/>
      <c r="AQ17" s="14"/>
      <c r="AR17" s="14"/>
      <c r="AS17" s="14"/>
      <c r="AT17" s="14"/>
      <c r="AU17" s="14"/>
      <c r="AV17" s="14"/>
      <c r="AW17" s="14"/>
      <c r="AX17" s="14"/>
      <c r="AY17" s="14"/>
      <c r="AZ17" s="14"/>
      <c r="BA17" s="14"/>
      <c r="BB17" s="14"/>
      <c r="BC17" s="14"/>
      <c r="BD17" s="14"/>
      <c r="BE17" s="14"/>
      <c r="BF17" s="14"/>
      <c r="BG17" s="14"/>
      <c r="BH17" s="14"/>
      <c r="BI17" s="14"/>
    </row>
    <row r="18" spans="1:61">
      <c r="A18" s="14" t="s">
        <v>238</v>
      </c>
      <c r="B18" s="14" t="s">
        <v>599</v>
      </c>
      <c r="C18" s="14"/>
      <c r="D18" s="14"/>
      <c r="E18" s="14"/>
      <c r="F18" s="14" t="s">
        <v>600</v>
      </c>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v>45965</v>
      </c>
      <c r="AK18" s="14">
        <v>14.58</v>
      </c>
      <c r="AL18" s="14" t="s">
        <v>850</v>
      </c>
      <c r="AM18" s="14" t="s">
        <v>248</v>
      </c>
      <c r="AN18" s="14">
        <f>IF('Fund Data'!$H$2,IF(ISNUMBER(AK18),AK18,NA()),NA())</f>
        <v>14.58</v>
      </c>
      <c r="AO18" s="14"/>
      <c r="AP18" s="14"/>
      <c r="AQ18" s="14"/>
      <c r="AR18" s="14"/>
      <c r="AS18" s="14"/>
      <c r="AT18" s="14"/>
      <c r="AU18" s="14"/>
      <c r="AV18" s="14"/>
      <c r="AW18" s="14"/>
      <c r="AX18" s="14"/>
      <c r="AY18" s="14"/>
      <c r="AZ18" s="14"/>
      <c r="BA18" s="14"/>
      <c r="BB18" s="14"/>
      <c r="BC18" s="14"/>
      <c r="BD18" s="14"/>
      <c r="BE18" s="14"/>
      <c r="BF18" s="14"/>
      <c r="BG18" s="14"/>
      <c r="BH18" s="14"/>
      <c r="BI18" s="14"/>
    </row>
    <row r="19" spans="1:61">
      <c r="A19" s="14" t="s">
        <v>243</v>
      </c>
      <c r="B19" s="14" t="s">
        <v>599</v>
      </c>
      <c r="C19" s="14"/>
      <c r="D19" s="14"/>
      <c r="E19" s="14"/>
      <c r="F19" s="14" t="s">
        <v>600</v>
      </c>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v>45966</v>
      </c>
      <c r="AK19" s="14">
        <v>14.64</v>
      </c>
      <c r="AL19" s="14" t="s">
        <v>850</v>
      </c>
      <c r="AM19" s="14" t="s">
        <v>248</v>
      </c>
      <c r="AN19" s="14">
        <f>IF('Fund Data'!$H$2,IF(ISNUMBER(AK19),AK19,NA()),NA())</f>
        <v>14.64</v>
      </c>
      <c r="AO19" s="14"/>
      <c r="AP19" s="14"/>
      <c r="AQ19" s="14"/>
      <c r="AR19" s="14"/>
      <c r="AS19" s="14"/>
      <c r="AT19" s="14"/>
      <c r="AU19" s="14"/>
      <c r="AV19" s="14"/>
      <c r="AW19" s="14"/>
      <c r="AX19" s="14"/>
      <c r="AY19" s="14"/>
      <c r="AZ19" s="14"/>
      <c r="BA19" s="14"/>
      <c r="BB19" s="14"/>
      <c r="BC19" s="14"/>
      <c r="BD19" s="14"/>
      <c r="BE19" s="14"/>
      <c r="BF19" s="14"/>
      <c r="BG19" s="14"/>
      <c r="BH19" s="14"/>
      <c r="BI19" s="14"/>
    </row>
    <row r="20" spans="1:61">
      <c r="A20" s="14" t="s">
        <v>249</v>
      </c>
      <c r="B20" s="14" t="s">
        <v>599</v>
      </c>
      <c r="C20" s="14"/>
      <c r="D20" s="14"/>
      <c r="E20" s="14"/>
      <c r="F20" s="14" t="s">
        <v>600</v>
      </c>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v>45967</v>
      </c>
      <c r="AK20" s="14">
        <v>14.47</v>
      </c>
      <c r="AL20" s="14" t="s">
        <v>850</v>
      </c>
      <c r="AM20" s="14" t="s">
        <v>248</v>
      </c>
      <c r="AN20" s="14">
        <f>IF('Fund Data'!$H$2,IF(ISNUMBER(AK20),AK20,NA()),NA())</f>
        <v>14.47</v>
      </c>
      <c r="AO20" s="14"/>
      <c r="AP20" s="14"/>
      <c r="AQ20" s="14"/>
      <c r="AR20" s="14"/>
      <c r="AS20" s="14"/>
      <c r="AT20" s="14"/>
      <c r="AU20" s="14"/>
      <c r="AV20" s="14"/>
      <c r="AW20" s="14"/>
      <c r="AX20" s="14"/>
      <c r="AY20" s="14"/>
      <c r="AZ20" s="14"/>
      <c r="BA20" s="14"/>
      <c r="BB20" s="14"/>
      <c r="BC20" s="14"/>
      <c r="BD20" s="14"/>
      <c r="BE20" s="14"/>
      <c r="BF20" s="14"/>
      <c r="BG20" s="14"/>
      <c r="BH20" s="14"/>
      <c r="BI20" s="14"/>
    </row>
    <row r="21" spans="1:61">
      <c r="A21" s="14" t="s">
        <v>255</v>
      </c>
      <c r="B21" s="14" t="s">
        <v>599</v>
      </c>
      <c r="C21" s="14"/>
      <c r="D21" s="14"/>
      <c r="E21" s="14"/>
      <c r="F21" s="14" t="s">
        <v>600</v>
      </c>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v>45968</v>
      </c>
      <c r="AK21" s="14">
        <v>14.51</v>
      </c>
      <c r="AL21" s="14" t="s">
        <v>850</v>
      </c>
      <c r="AM21" s="14" t="s">
        <v>248</v>
      </c>
      <c r="AN21" s="14">
        <f>IF('Fund Data'!$H$2,IF(ISNUMBER(AK21),AK21,NA()),NA())</f>
        <v>14.51</v>
      </c>
      <c r="AO21" s="14"/>
      <c r="AP21" s="14"/>
      <c r="AQ21" s="14"/>
      <c r="AR21" s="14"/>
      <c r="AS21" s="14"/>
      <c r="AT21" s="14"/>
      <c r="AU21" s="14"/>
      <c r="AV21" s="14"/>
      <c r="AW21" s="14"/>
      <c r="AX21" s="14"/>
      <c r="AY21" s="14"/>
      <c r="AZ21" s="14"/>
      <c r="BA21" s="14"/>
      <c r="BB21" s="14"/>
      <c r="BC21" s="14"/>
      <c r="BD21" s="14"/>
      <c r="BE21" s="14"/>
      <c r="BF21" s="14"/>
      <c r="BG21" s="14"/>
      <c r="BH21" s="14"/>
      <c r="BI21" s="14"/>
    </row>
    <row r="22" spans="1:61">
      <c r="A22" s="14" t="s">
        <v>262</v>
      </c>
      <c r="B22" s="14" t="s">
        <v>599</v>
      </c>
      <c r="C22" s="14"/>
      <c r="D22" s="14"/>
      <c r="E22" s="14"/>
      <c r="F22" s="14" t="s">
        <v>600</v>
      </c>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v>45971</v>
      </c>
      <c r="AK22" s="14">
        <v>14.73</v>
      </c>
      <c r="AL22" s="14" t="s">
        <v>850</v>
      </c>
      <c r="AM22" s="14" t="s">
        <v>248</v>
      </c>
      <c r="AN22" s="14">
        <f>IF('Fund Data'!$H$2,IF(ISNUMBER(AK22),AK22,NA()),NA())</f>
        <v>14.73</v>
      </c>
      <c r="AO22" s="14"/>
      <c r="AP22" s="14"/>
      <c r="AQ22" s="14"/>
      <c r="AR22" s="14"/>
      <c r="AS22" s="14"/>
      <c r="AT22" s="14"/>
      <c r="AU22" s="14"/>
      <c r="AV22" s="14"/>
      <c r="AW22" s="14"/>
      <c r="AX22" s="14"/>
      <c r="AY22" s="14"/>
      <c r="AZ22" s="14"/>
      <c r="BA22" s="14"/>
      <c r="BB22" s="14"/>
      <c r="BC22" s="14"/>
      <c r="BD22" s="14"/>
      <c r="BE22" s="14"/>
      <c r="BF22" s="14"/>
      <c r="BG22" s="14"/>
      <c r="BH22" s="14"/>
      <c r="BI22" s="14"/>
    </row>
    <row r="23" spans="1:61">
      <c r="A23" s="14" t="s">
        <v>268</v>
      </c>
      <c r="B23" s="14" t="s">
        <v>599</v>
      </c>
      <c r="C23" s="14"/>
      <c r="D23" s="14"/>
      <c r="E23" s="14"/>
      <c r="F23" s="14" t="s">
        <v>600</v>
      </c>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v>45972</v>
      </c>
      <c r="AK23" s="14">
        <v>14.75</v>
      </c>
      <c r="AL23" s="14" t="s">
        <v>850</v>
      </c>
      <c r="AM23" s="14" t="s">
        <v>248</v>
      </c>
      <c r="AN23" s="14">
        <f>IF('Fund Data'!$H$2,IF(ISNUMBER(AK23),AK23,NA()),NA())</f>
        <v>14.75</v>
      </c>
      <c r="AO23" s="14"/>
      <c r="AP23" s="14"/>
      <c r="AQ23" s="14"/>
      <c r="AR23" s="14"/>
      <c r="AS23" s="14"/>
      <c r="AT23" s="14"/>
      <c r="AU23" s="14"/>
      <c r="AV23" s="14"/>
      <c r="AW23" s="14"/>
      <c r="AX23" s="14"/>
      <c r="AY23" s="14"/>
      <c r="AZ23" s="14"/>
      <c r="BA23" s="14"/>
      <c r="BB23" s="14"/>
      <c r="BC23" s="14"/>
      <c r="BD23" s="14"/>
      <c r="BE23" s="14"/>
      <c r="BF23" s="14"/>
      <c r="BG23" s="14"/>
      <c r="BH23" s="14"/>
      <c r="BI23" s="14"/>
    </row>
    <row r="24" spans="1:61">
      <c r="A24" s="14" t="s">
        <v>274</v>
      </c>
      <c r="B24" s="14" t="s">
        <v>599</v>
      </c>
      <c r="C24" s="14"/>
      <c r="D24" s="14"/>
      <c r="E24" s="14"/>
      <c r="F24" s="14" t="s">
        <v>600</v>
      </c>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v>45973</v>
      </c>
      <c r="AK24" s="14">
        <v>14.76</v>
      </c>
      <c r="AL24" s="14" t="s">
        <v>850</v>
      </c>
      <c r="AM24" s="14" t="s">
        <v>248</v>
      </c>
      <c r="AN24" s="14">
        <f>IF('Fund Data'!$H$2,IF(ISNUMBER(AK24),AK24,NA()),NA())</f>
        <v>14.76</v>
      </c>
      <c r="AO24" s="14"/>
      <c r="AP24" s="14"/>
      <c r="AQ24" s="14"/>
      <c r="AR24" s="14"/>
      <c r="AS24" s="14"/>
      <c r="AT24" s="14"/>
      <c r="AU24" s="14"/>
      <c r="AV24" s="14"/>
      <c r="AW24" s="14"/>
      <c r="AX24" s="14"/>
      <c r="AY24" s="14"/>
      <c r="AZ24" s="14"/>
      <c r="BA24" s="14"/>
      <c r="BB24" s="14"/>
      <c r="BC24" s="14"/>
      <c r="BD24" s="14"/>
      <c r="BE24" s="14"/>
      <c r="BF24" s="14"/>
      <c r="BG24" s="14"/>
      <c r="BH24" s="14"/>
      <c r="BI24" s="14"/>
    </row>
    <row r="25" spans="1:61">
      <c r="A25" s="14" t="s">
        <v>280</v>
      </c>
      <c r="B25" s="14" t="s">
        <v>599</v>
      </c>
      <c r="C25" s="14"/>
      <c r="D25" s="14"/>
      <c r="E25" s="14"/>
      <c r="F25" s="14" t="s">
        <v>600</v>
      </c>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v>45974</v>
      </c>
      <c r="AK25" s="14">
        <v>14.5</v>
      </c>
      <c r="AL25" s="14" t="s">
        <v>850</v>
      </c>
      <c r="AM25" s="14" t="s">
        <v>248</v>
      </c>
      <c r="AN25" s="14">
        <f>IF('Fund Data'!$H$2,IF(ISNUMBER(AK25),AK25,NA()),NA())</f>
        <v>14.5</v>
      </c>
      <c r="AO25" s="14"/>
      <c r="AP25" s="14"/>
      <c r="AQ25" s="14"/>
      <c r="AR25" s="14"/>
      <c r="AS25" s="14"/>
      <c r="AT25" s="14"/>
      <c r="AU25" s="14"/>
      <c r="AV25" s="14"/>
      <c r="AW25" s="14"/>
      <c r="AX25" s="14"/>
      <c r="AY25" s="14"/>
      <c r="AZ25" s="14"/>
      <c r="BA25" s="14"/>
      <c r="BB25" s="14"/>
      <c r="BC25" s="14"/>
      <c r="BD25" s="14"/>
      <c r="BE25" s="14"/>
      <c r="BF25" s="14"/>
      <c r="BG25" s="14"/>
      <c r="BH25" s="14"/>
      <c r="BI25" s="14"/>
    </row>
    <row r="26" spans="1:61">
      <c r="A26" s="14" t="s">
        <v>282</v>
      </c>
      <c r="B26" s="14" t="s">
        <v>599</v>
      </c>
      <c r="C26" s="14"/>
      <c r="D26" s="14"/>
      <c r="E26" s="14"/>
      <c r="F26" s="14" t="s">
        <v>600</v>
      </c>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v>45975</v>
      </c>
      <c r="AK26" s="14">
        <v>14.5</v>
      </c>
      <c r="AL26" s="14" t="s">
        <v>850</v>
      </c>
      <c r="AM26" s="14" t="s">
        <v>248</v>
      </c>
      <c r="AN26" s="14">
        <f>IF('Fund Data'!$H$2,IF(ISNUMBER(AK26),AK26,NA()),NA())</f>
        <v>14.5</v>
      </c>
      <c r="AO26" s="14"/>
      <c r="AP26" s="14"/>
      <c r="AQ26" s="14"/>
      <c r="AR26" s="14"/>
      <c r="AS26" s="14"/>
      <c r="AT26" s="14"/>
      <c r="AU26" s="14"/>
      <c r="AV26" s="14"/>
      <c r="AW26" s="14"/>
      <c r="AX26" s="14"/>
      <c r="AY26" s="14"/>
      <c r="AZ26" s="14"/>
      <c r="BA26" s="14"/>
      <c r="BB26" s="14"/>
      <c r="BC26" s="14"/>
      <c r="BD26" s="14"/>
      <c r="BE26" s="14"/>
      <c r="BF26" s="14"/>
      <c r="BG26" s="14"/>
      <c r="BH26" s="14"/>
      <c r="BI26" s="14"/>
    </row>
    <row r="27" spans="1:61">
      <c r="A27" s="14" t="s">
        <v>284</v>
      </c>
      <c r="B27" s="14" t="s">
        <v>599</v>
      </c>
      <c r="C27" s="14"/>
      <c r="D27" s="14"/>
      <c r="E27" s="14"/>
      <c r="F27" s="14" t="s">
        <v>600</v>
      </c>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v>45978</v>
      </c>
      <c r="AK27" s="14">
        <v>14.35</v>
      </c>
      <c r="AL27" s="14" t="s">
        <v>850</v>
      </c>
      <c r="AM27" s="14" t="s">
        <v>248</v>
      </c>
      <c r="AN27" s="14">
        <f>IF('Fund Data'!$H$2,IF(ISNUMBER(AK27),AK27,NA()),NA())</f>
        <v>14.35</v>
      </c>
      <c r="AO27" s="14"/>
      <c r="AP27" s="14"/>
      <c r="AQ27" s="14"/>
      <c r="AR27" s="14"/>
      <c r="AS27" s="14"/>
      <c r="AT27" s="14"/>
      <c r="AU27" s="14"/>
      <c r="AV27" s="14"/>
      <c r="AW27" s="14"/>
      <c r="AX27" s="14"/>
      <c r="AY27" s="14"/>
      <c r="AZ27" s="14"/>
      <c r="BA27" s="14"/>
      <c r="BB27" s="14"/>
      <c r="BC27" s="14"/>
      <c r="BD27" s="14"/>
      <c r="BE27" s="14"/>
      <c r="BF27" s="14"/>
      <c r="BG27" s="14"/>
      <c r="BH27" s="14"/>
      <c r="BI27" s="14"/>
    </row>
    <row r="28" spans="1:61">
      <c r="A28" s="14" t="s">
        <v>286</v>
      </c>
      <c r="B28" s="14" t="s">
        <v>599</v>
      </c>
      <c r="C28" s="14"/>
      <c r="D28" s="14"/>
      <c r="E28" s="14"/>
      <c r="F28" s="14" t="s">
        <v>600</v>
      </c>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v>45979</v>
      </c>
      <c r="AK28" s="14">
        <v>14.25</v>
      </c>
      <c r="AL28" s="14" t="s">
        <v>850</v>
      </c>
      <c r="AM28" s="14" t="s">
        <v>248</v>
      </c>
      <c r="AN28" s="14">
        <f>IF('Fund Data'!$H$2,IF(ISNUMBER(AK28),AK28,NA()),NA())</f>
        <v>14.25</v>
      </c>
      <c r="AO28" s="14"/>
      <c r="AP28" s="14"/>
      <c r="AQ28" s="14"/>
      <c r="AR28" s="14"/>
      <c r="AS28" s="14"/>
      <c r="AT28" s="14"/>
      <c r="AU28" s="14"/>
      <c r="AV28" s="14"/>
      <c r="AW28" s="14"/>
      <c r="AX28" s="14"/>
      <c r="AY28" s="14"/>
      <c r="AZ28" s="14"/>
      <c r="BA28" s="14"/>
      <c r="BB28" s="14"/>
      <c r="BC28" s="14"/>
      <c r="BD28" s="14"/>
      <c r="BE28" s="14"/>
      <c r="BF28" s="14"/>
      <c r="BG28" s="14"/>
      <c r="BH28" s="14"/>
      <c r="BI28" s="14"/>
    </row>
    <row r="29" spans="1:61">
      <c r="A29" s="14" t="s">
        <v>288</v>
      </c>
      <c r="B29" s="14" t="s">
        <v>599</v>
      </c>
      <c r="C29" s="14"/>
      <c r="D29" s="14"/>
      <c r="E29" s="14"/>
      <c r="F29" s="14" t="s">
        <v>600</v>
      </c>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v>45980</v>
      </c>
      <c r="AK29" s="14">
        <v>14.3</v>
      </c>
      <c r="AL29" s="14" t="s">
        <v>850</v>
      </c>
      <c r="AM29" s="14" t="s">
        <v>248</v>
      </c>
      <c r="AN29" s="14">
        <f>IF('Fund Data'!$H$2,IF(ISNUMBER(AK29),AK29,NA()),NA())</f>
        <v>14.3</v>
      </c>
      <c r="AO29" s="14"/>
      <c r="AP29" s="14"/>
      <c r="AQ29" s="14"/>
      <c r="AR29" s="14"/>
      <c r="AS29" s="14"/>
      <c r="AT29" s="14"/>
      <c r="AU29" s="14"/>
      <c r="AV29" s="14"/>
      <c r="AW29" s="14"/>
      <c r="AX29" s="14"/>
      <c r="AY29" s="14"/>
      <c r="AZ29" s="14"/>
      <c r="BA29" s="14"/>
      <c r="BB29" s="14"/>
      <c r="BC29" s="14"/>
      <c r="BD29" s="14"/>
      <c r="BE29" s="14"/>
      <c r="BF29" s="14"/>
      <c r="BG29" s="14"/>
      <c r="BH29" s="14"/>
      <c r="BI29" s="14"/>
    </row>
    <row r="30" spans="1:61">
      <c r="A30" s="14" t="s">
        <v>290</v>
      </c>
      <c r="B30" s="14" t="s">
        <v>599</v>
      </c>
      <c r="C30" s="14"/>
      <c r="D30" s="14"/>
      <c r="E30" s="14"/>
      <c r="F30" s="14" t="s">
        <v>600</v>
      </c>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v>45981</v>
      </c>
      <c r="AK30" s="14">
        <v>14.07</v>
      </c>
      <c r="AL30" s="14" t="s">
        <v>850</v>
      </c>
      <c r="AM30" s="14" t="s">
        <v>248</v>
      </c>
      <c r="AN30" s="14">
        <f>IF('Fund Data'!$H$2,IF(ISNUMBER(AK30),AK30,NA()),NA())</f>
        <v>14.07</v>
      </c>
      <c r="AO30" s="14"/>
      <c r="AP30" s="14"/>
      <c r="AQ30" s="14"/>
      <c r="AR30" s="14"/>
      <c r="AS30" s="14"/>
      <c r="AT30" s="14"/>
      <c r="AU30" s="14"/>
      <c r="AV30" s="14"/>
      <c r="AW30" s="14"/>
      <c r="AX30" s="14"/>
      <c r="AY30" s="14"/>
      <c r="AZ30" s="14"/>
      <c r="BA30" s="14"/>
      <c r="BB30" s="14"/>
      <c r="BC30" s="14"/>
      <c r="BD30" s="14"/>
      <c r="BE30" s="14"/>
      <c r="BF30" s="14"/>
      <c r="BG30" s="14"/>
      <c r="BH30" s="14"/>
      <c r="BI30" s="14"/>
    </row>
    <row r="31" spans="1:61">
      <c r="A31" s="14" t="s">
        <v>292</v>
      </c>
      <c r="B31" s="14" t="s">
        <v>599</v>
      </c>
      <c r="C31" s="14"/>
      <c r="D31" s="14"/>
      <c r="E31" s="14"/>
      <c r="F31" s="14" t="s">
        <v>600</v>
      </c>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v>45982</v>
      </c>
      <c r="AK31" s="14">
        <v>14.21</v>
      </c>
      <c r="AL31" s="14" t="s">
        <v>850</v>
      </c>
      <c r="AM31" s="14" t="s">
        <v>248</v>
      </c>
      <c r="AN31" s="14">
        <f>IF('Fund Data'!$H$2,IF(ISNUMBER(AK31),AK31,NA()),NA())</f>
        <v>14.21</v>
      </c>
      <c r="AO31" s="14"/>
      <c r="AP31" s="14"/>
      <c r="AQ31" s="14"/>
      <c r="AR31" s="14"/>
      <c r="AS31" s="14"/>
      <c r="AT31" s="14"/>
      <c r="AU31" s="14"/>
      <c r="AV31" s="14"/>
      <c r="AW31" s="14"/>
      <c r="AX31" s="14"/>
      <c r="AY31" s="14"/>
      <c r="AZ31" s="14"/>
      <c r="BA31" s="14"/>
      <c r="BB31" s="14"/>
      <c r="BC31" s="14"/>
      <c r="BD31" s="14"/>
      <c r="BE31" s="14"/>
      <c r="BF31" s="14"/>
      <c r="BG31" s="14"/>
      <c r="BH31" s="14"/>
      <c r="BI31" s="14"/>
    </row>
    <row r="32" spans="1:61">
      <c r="A32" s="14" t="s">
        <v>294</v>
      </c>
      <c r="B32" s="14" t="s">
        <v>599</v>
      </c>
      <c r="C32" s="14"/>
      <c r="D32" s="14"/>
      <c r="E32" s="14"/>
      <c r="F32" s="14" t="s">
        <v>600</v>
      </c>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v>45985</v>
      </c>
      <c r="AK32" s="14">
        <v>14.44</v>
      </c>
      <c r="AL32" s="14" t="s">
        <v>850</v>
      </c>
      <c r="AM32" s="14" t="s">
        <v>248</v>
      </c>
      <c r="AN32" s="14">
        <f>IF('Fund Data'!$H$2,IF(ISNUMBER(AK32),AK32,NA()),NA())</f>
        <v>14.44</v>
      </c>
      <c r="AO32" s="14"/>
      <c r="AP32" s="14"/>
      <c r="AQ32" s="14"/>
      <c r="AR32" s="14"/>
      <c r="AS32" s="14"/>
      <c r="AT32" s="14"/>
      <c r="AU32" s="14"/>
      <c r="AV32" s="14"/>
      <c r="AW32" s="14"/>
      <c r="AX32" s="14"/>
      <c r="AY32" s="14"/>
      <c r="AZ32" s="14"/>
      <c r="BA32" s="14"/>
      <c r="BB32" s="14"/>
      <c r="BC32" s="14"/>
      <c r="BD32" s="14"/>
      <c r="BE32" s="14"/>
      <c r="BF32" s="14"/>
      <c r="BG32" s="14"/>
      <c r="BH32" s="14"/>
      <c r="BI32" s="14"/>
    </row>
    <row r="33" spans="1:61">
      <c r="A33" s="14" t="s">
        <v>296</v>
      </c>
      <c r="B33" s="14" t="s">
        <v>599</v>
      </c>
      <c r="C33" s="14"/>
      <c r="D33" s="14"/>
      <c r="E33" s="14"/>
      <c r="F33" s="14" t="s">
        <v>600</v>
      </c>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v>45986</v>
      </c>
      <c r="AK33" s="14">
        <v>14.58</v>
      </c>
      <c r="AL33" s="14" t="s">
        <v>850</v>
      </c>
      <c r="AM33" s="14" t="s">
        <v>248</v>
      </c>
      <c r="AN33" s="14">
        <f>IF('Fund Data'!$H$2,IF(ISNUMBER(AK33),AK33,NA()),NA())</f>
        <v>14.58</v>
      </c>
      <c r="AO33" s="14"/>
      <c r="AP33" s="14"/>
      <c r="AQ33" s="14"/>
      <c r="AR33" s="14"/>
      <c r="AS33" s="14"/>
      <c r="AT33" s="14"/>
      <c r="AU33" s="14"/>
      <c r="AV33" s="14"/>
      <c r="AW33" s="14"/>
      <c r="AX33" s="14"/>
      <c r="AY33" s="14"/>
      <c r="AZ33" s="14"/>
      <c r="BA33" s="14"/>
      <c r="BB33" s="14"/>
      <c r="BC33" s="14"/>
      <c r="BD33" s="14"/>
      <c r="BE33" s="14"/>
      <c r="BF33" s="14"/>
      <c r="BG33" s="14"/>
      <c r="BH33" s="14"/>
      <c r="BI33" s="14"/>
    </row>
    <row r="34" spans="1:61">
      <c r="A34" s="14" t="s">
        <v>298</v>
      </c>
      <c r="B34" s="14" t="s">
        <v>599</v>
      </c>
      <c r="C34" s="14"/>
      <c r="D34" s="14"/>
      <c r="E34" s="14"/>
      <c r="F34" s="14" t="s">
        <v>600</v>
      </c>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v>45987</v>
      </c>
      <c r="AK34" s="14">
        <v>14.68</v>
      </c>
      <c r="AL34" s="14" t="s">
        <v>850</v>
      </c>
      <c r="AM34" s="14" t="s">
        <v>248</v>
      </c>
      <c r="AN34" s="14">
        <f>IF('Fund Data'!$H$2,IF(ISNUMBER(AK34),AK34,NA()),NA())</f>
        <v>14.68</v>
      </c>
      <c r="AO34" s="14"/>
      <c r="AP34" s="14"/>
      <c r="AQ34" s="14"/>
      <c r="AR34" s="14"/>
      <c r="AS34" s="14"/>
      <c r="AT34" s="14"/>
      <c r="AU34" s="14"/>
      <c r="AV34" s="14"/>
      <c r="AW34" s="14"/>
      <c r="AX34" s="14"/>
      <c r="AY34" s="14"/>
      <c r="AZ34" s="14"/>
      <c r="BA34" s="14"/>
      <c r="BB34" s="14"/>
      <c r="BC34" s="14"/>
      <c r="BD34" s="14"/>
      <c r="BE34" s="14"/>
      <c r="BF34" s="14"/>
      <c r="BG34" s="14"/>
      <c r="BH34" s="14"/>
      <c r="BI34" s="14"/>
    </row>
    <row r="35" spans="1:61">
      <c r="A35" s="14" t="s">
        <v>300</v>
      </c>
      <c r="B35" s="14" t="s">
        <v>599</v>
      </c>
      <c r="C35" s="14"/>
      <c r="D35" s="14"/>
      <c r="E35" s="14"/>
      <c r="F35" s="14" t="s">
        <v>600</v>
      </c>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v>45989</v>
      </c>
      <c r="AK35" s="14">
        <v>14.76</v>
      </c>
      <c r="AL35" s="14" t="s">
        <v>850</v>
      </c>
      <c r="AM35" s="14" t="s">
        <v>248</v>
      </c>
      <c r="AN35" s="14">
        <f>IF('Fund Data'!$H$2,IF(ISNUMBER(AK35),AK35,NA()),NA())</f>
        <v>14.76</v>
      </c>
      <c r="AO35" s="14"/>
      <c r="AP35" s="14"/>
      <c r="AQ35" s="14"/>
      <c r="AR35" s="14"/>
      <c r="AS35" s="14"/>
      <c r="AT35" s="14"/>
      <c r="AU35" s="14"/>
      <c r="AV35" s="14"/>
      <c r="AW35" s="14"/>
      <c r="AX35" s="14"/>
      <c r="AY35" s="14"/>
      <c r="AZ35" s="14"/>
      <c r="BA35" s="14"/>
      <c r="BB35" s="14"/>
      <c r="BC35" s="14"/>
      <c r="BD35" s="14"/>
      <c r="BE35" s="14"/>
      <c r="BF35" s="14"/>
      <c r="BG35" s="14"/>
      <c r="BH35" s="14"/>
      <c r="BI35" s="14"/>
    </row>
    <row r="36" spans="1:61">
      <c r="A36" s="14" t="s">
        <v>305</v>
      </c>
      <c r="B36" s="14" t="s">
        <v>983</v>
      </c>
      <c r="C36" s="14"/>
      <c r="D36" s="14">
        <v>46295</v>
      </c>
      <c r="E36" s="14" t="s">
        <v>216</v>
      </c>
      <c r="F36" s="14" t="s">
        <v>557</v>
      </c>
      <c r="G36" s="14" t="s">
        <v>984</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v>45992</v>
      </c>
      <c r="AK36" s="14">
        <v>14.69</v>
      </c>
      <c r="AL36" s="14" t="s">
        <v>850</v>
      </c>
      <c r="AM36" s="14" t="s">
        <v>248</v>
      </c>
      <c r="AN36" s="14">
        <f>IF('Fund Data'!$H$2,IF(ISNUMBER(AK36),AK36,NA()),NA())</f>
        <v>14.69</v>
      </c>
      <c r="AO36" s="14"/>
      <c r="AP36" s="14"/>
      <c r="AQ36" s="14"/>
      <c r="AR36" s="14"/>
      <c r="AS36" s="14"/>
      <c r="AT36" s="14"/>
      <c r="AU36" s="14"/>
      <c r="AV36" s="14"/>
      <c r="AW36" s="14"/>
      <c r="AX36" s="14"/>
      <c r="AY36" s="14"/>
      <c r="AZ36" s="14"/>
      <c r="BA36" s="14"/>
      <c r="BB36" s="14"/>
      <c r="BC36" s="14"/>
      <c r="BD36" s="14"/>
      <c r="BE36" s="14"/>
      <c r="BF36" s="14"/>
      <c r="BG36" s="14"/>
      <c r="BH36" s="14"/>
      <c r="BI36" s="14"/>
    </row>
    <row r="37" spans="1:61">
      <c r="A37" s="14" t="s">
        <v>309</v>
      </c>
      <c r="B37" s="14" t="s">
        <v>1017</v>
      </c>
      <c r="C37" s="14"/>
      <c r="D37" s="14">
        <v>46295</v>
      </c>
      <c r="E37" s="14" t="s">
        <v>221</v>
      </c>
      <c r="F37" s="14" t="s">
        <v>557</v>
      </c>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v>45993</v>
      </c>
      <c r="AK37" s="14">
        <v>14.72</v>
      </c>
      <c r="AL37" s="14" t="s">
        <v>850</v>
      </c>
      <c r="AM37" s="14" t="s">
        <v>248</v>
      </c>
      <c r="AN37" s="14">
        <f>IF('Fund Data'!$H$2,IF(ISNUMBER(AK37),AK37,NA()),NA())</f>
        <v>14.72</v>
      </c>
      <c r="AO37" s="14"/>
      <c r="AP37" s="14"/>
      <c r="AQ37" s="14"/>
      <c r="AR37" s="14"/>
      <c r="AS37" s="14"/>
      <c r="AT37" s="14"/>
      <c r="AU37" s="14"/>
      <c r="AV37" s="14"/>
      <c r="AW37" s="14"/>
      <c r="AX37" s="14"/>
      <c r="AY37" s="14"/>
      <c r="AZ37" s="14"/>
      <c r="BA37" s="14"/>
      <c r="BB37" s="14"/>
      <c r="BC37" s="14"/>
      <c r="BD37" s="14"/>
      <c r="BE37" s="14"/>
      <c r="BF37" s="14"/>
      <c r="BG37" s="14"/>
      <c r="BH37" s="14"/>
      <c r="BI37" s="14"/>
    </row>
    <row r="38" spans="1:61">
      <c r="A38" s="14" t="s">
        <v>47</v>
      </c>
      <c r="B38" s="14" t="s">
        <v>599</v>
      </c>
      <c r="C38" s="14"/>
      <c r="D38" s="14"/>
      <c r="E38" s="14"/>
      <c r="F38" s="14" t="s">
        <v>600</v>
      </c>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v>45994</v>
      </c>
      <c r="AK38" s="14">
        <v>14.77</v>
      </c>
      <c r="AL38" s="14" t="s">
        <v>850</v>
      </c>
      <c r="AM38" s="14" t="s">
        <v>248</v>
      </c>
      <c r="AN38" s="14">
        <f>IF('Fund Data'!$H$2,IF(ISNUMBER(AK38),AK38,NA()),NA())</f>
        <v>14.77</v>
      </c>
      <c r="AO38" s="14"/>
      <c r="AP38" s="14"/>
      <c r="AQ38" s="14"/>
      <c r="AR38" s="14"/>
      <c r="AS38" s="14"/>
      <c r="AT38" s="14"/>
      <c r="AU38" s="14"/>
      <c r="AV38" s="14"/>
      <c r="AW38" s="14"/>
      <c r="AX38" s="14"/>
      <c r="AY38" s="14"/>
      <c r="AZ38" s="14"/>
      <c r="BA38" s="14"/>
      <c r="BB38" s="14"/>
      <c r="BC38" s="14"/>
      <c r="BD38" s="14"/>
      <c r="BE38" s="14"/>
      <c r="BF38" s="14"/>
      <c r="BG38" s="14"/>
      <c r="BH38" s="14"/>
      <c r="BI38" s="14"/>
    </row>
    <row r="39" spans="1:61">
      <c r="A39" s="14" t="s">
        <v>316</v>
      </c>
      <c r="B39" s="14" t="s">
        <v>599</v>
      </c>
      <c r="C39" s="14"/>
      <c r="D39" s="14"/>
      <c r="E39" s="14"/>
      <c r="F39" s="14" t="s">
        <v>600</v>
      </c>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v>45995</v>
      </c>
      <c r="AK39" s="14">
        <v>14.8</v>
      </c>
      <c r="AL39" s="14" t="s">
        <v>850</v>
      </c>
      <c r="AM39" s="14" t="s">
        <v>248</v>
      </c>
      <c r="AN39" s="14">
        <f>IF('Fund Data'!$H$2,IF(ISNUMBER(AK39),AK39,NA()),NA())</f>
        <v>14.8</v>
      </c>
      <c r="AO39" s="14"/>
      <c r="AP39" s="14"/>
      <c r="AQ39" s="14"/>
      <c r="AR39" s="14"/>
      <c r="AS39" s="14"/>
      <c r="AT39" s="14"/>
      <c r="AU39" s="14"/>
      <c r="AV39" s="14"/>
      <c r="AW39" s="14"/>
      <c r="AX39" s="14"/>
      <c r="AY39" s="14"/>
      <c r="AZ39" s="14"/>
      <c r="BA39" s="14"/>
      <c r="BB39" s="14"/>
      <c r="BC39" s="14"/>
      <c r="BD39" s="14"/>
      <c r="BE39" s="14"/>
      <c r="BF39" s="14"/>
      <c r="BG39" s="14"/>
      <c r="BH39" s="14"/>
      <c r="BI39" s="14"/>
    </row>
    <row r="40" spans="1:61">
      <c r="A40" s="14" t="s">
        <v>320</v>
      </c>
      <c r="B40" s="14" t="s">
        <v>599</v>
      </c>
      <c r="C40" s="14"/>
      <c r="D40" s="14"/>
      <c r="E40" s="14"/>
      <c r="F40" s="14" t="s">
        <v>600</v>
      </c>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v>45996</v>
      </c>
      <c r="AK40" s="14">
        <v>14.83</v>
      </c>
      <c r="AL40" s="14" t="s">
        <v>850</v>
      </c>
      <c r="AM40" s="14" t="s">
        <v>248</v>
      </c>
      <c r="AN40" s="14">
        <f>IF('Fund Data'!$H$2,IF(ISNUMBER(AK40),AK40,NA()),NA())</f>
        <v>14.83</v>
      </c>
      <c r="AO40" s="14"/>
      <c r="AP40" s="14"/>
      <c r="AQ40" s="14"/>
      <c r="AR40" s="14"/>
      <c r="AS40" s="14"/>
      <c r="AT40" s="14"/>
      <c r="AU40" s="14"/>
      <c r="AV40" s="14"/>
      <c r="AW40" s="14"/>
      <c r="AX40" s="14"/>
      <c r="AY40" s="14"/>
      <c r="AZ40" s="14"/>
      <c r="BA40" s="14"/>
      <c r="BB40" s="14"/>
      <c r="BC40" s="14"/>
      <c r="BD40" s="14"/>
      <c r="BE40" s="14"/>
      <c r="BF40" s="14"/>
      <c r="BG40" s="14"/>
      <c r="BH40" s="14"/>
      <c r="BI40" s="14"/>
    </row>
    <row r="41" spans="1:61">
      <c r="A41" s="14" t="s">
        <v>324</v>
      </c>
      <c r="B41" s="14" t="s">
        <v>599</v>
      </c>
      <c r="C41" s="14"/>
      <c r="D41" s="14"/>
      <c r="E41" s="14"/>
      <c r="F41" s="14" t="s">
        <v>600</v>
      </c>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v>45999</v>
      </c>
      <c r="AK41" s="14">
        <v>14.78</v>
      </c>
      <c r="AL41" s="14" t="s">
        <v>850</v>
      </c>
      <c r="AM41" s="14" t="s">
        <v>248</v>
      </c>
      <c r="AN41" s="14">
        <f>IF('Fund Data'!$H$2,IF(ISNUMBER(AK41),AK41,NA()),NA())</f>
        <v>14.78</v>
      </c>
      <c r="AO41" s="14"/>
      <c r="AP41" s="14"/>
      <c r="AQ41" s="14"/>
      <c r="AR41" s="14"/>
      <c r="AS41" s="14"/>
      <c r="AT41" s="14"/>
      <c r="AU41" s="14"/>
      <c r="AV41" s="14"/>
      <c r="AW41" s="14"/>
      <c r="AX41" s="14"/>
      <c r="AY41" s="14"/>
      <c r="AZ41" s="14"/>
      <c r="BA41" s="14"/>
      <c r="BB41" s="14"/>
      <c r="BC41" s="14"/>
      <c r="BD41" s="14"/>
      <c r="BE41" s="14"/>
      <c r="BF41" s="14"/>
      <c r="BG41" s="14"/>
      <c r="BH41" s="14"/>
      <c r="BI41" s="14"/>
    </row>
    <row r="42" spans="1:61">
      <c r="A42" s="14" t="s">
        <v>51</v>
      </c>
      <c r="B42" s="14" t="s">
        <v>599</v>
      </c>
      <c r="C42" s="14"/>
      <c r="D42" s="14"/>
      <c r="E42" s="14"/>
      <c r="F42" s="14" t="s">
        <v>600</v>
      </c>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v>46000</v>
      </c>
      <c r="AK42" s="14">
        <v>14.76</v>
      </c>
      <c r="AL42" s="14" t="s">
        <v>850</v>
      </c>
      <c r="AM42" s="14" t="s">
        <v>248</v>
      </c>
      <c r="AN42" s="14">
        <f>IF('Fund Data'!$H$2,IF(ISNUMBER(AK42),AK42,NA()),NA())</f>
        <v>14.76</v>
      </c>
      <c r="AO42" s="14"/>
      <c r="AP42" s="14"/>
      <c r="AQ42" s="14"/>
      <c r="AR42" s="14"/>
      <c r="AS42" s="14"/>
      <c r="AT42" s="14"/>
      <c r="AU42" s="14"/>
      <c r="AV42" s="14"/>
      <c r="AW42" s="14"/>
      <c r="AX42" s="14"/>
      <c r="AY42" s="14"/>
      <c r="AZ42" s="14"/>
      <c r="BA42" s="14"/>
      <c r="BB42" s="14"/>
      <c r="BC42" s="14"/>
      <c r="BD42" s="14"/>
      <c r="BE42" s="14"/>
      <c r="BF42" s="14"/>
      <c r="BG42" s="14"/>
      <c r="BH42" s="14"/>
      <c r="BI42" s="14"/>
    </row>
    <row r="43" spans="1:61">
      <c r="A43" s="14" t="s">
        <v>331</v>
      </c>
      <c r="B43" s="14" t="s">
        <v>858</v>
      </c>
      <c r="C43" s="14"/>
      <c r="D43" s="14">
        <v>46295</v>
      </c>
      <c r="E43" s="14" t="s">
        <v>216</v>
      </c>
      <c r="F43" s="14" t="s">
        <v>557</v>
      </c>
      <c r="G43" s="14" t="s">
        <v>859</v>
      </c>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v>46001</v>
      </c>
      <c r="AK43" s="14">
        <v>14.87</v>
      </c>
      <c r="AL43" s="14" t="s">
        <v>850</v>
      </c>
      <c r="AM43" s="14" t="s">
        <v>248</v>
      </c>
      <c r="AN43" s="14">
        <f>IF('Fund Data'!$H$2,IF(ISNUMBER(AK43),AK43,NA()),NA())</f>
        <v>14.87</v>
      </c>
      <c r="AO43" s="14"/>
      <c r="AP43" s="14"/>
      <c r="AQ43" s="14"/>
      <c r="AR43" s="14"/>
      <c r="AS43" s="14"/>
      <c r="AT43" s="14"/>
      <c r="AU43" s="14"/>
      <c r="AV43" s="14"/>
      <c r="AW43" s="14"/>
      <c r="AX43" s="14"/>
      <c r="AY43" s="14"/>
      <c r="AZ43" s="14"/>
      <c r="BA43" s="14"/>
      <c r="BB43" s="14"/>
      <c r="BC43" s="14"/>
      <c r="BD43" s="14"/>
      <c r="BE43" s="14"/>
      <c r="BF43" s="14"/>
      <c r="BG43" s="14"/>
      <c r="BH43" s="14"/>
      <c r="BI43" s="14"/>
    </row>
    <row r="44" spans="1:61">
      <c r="A44" s="14" t="s">
        <v>125</v>
      </c>
      <c r="B44" s="14">
        <v>22860446507.099998</v>
      </c>
      <c r="C44" s="14"/>
      <c r="D44" s="14">
        <v>46295</v>
      </c>
      <c r="E44" s="14" t="s">
        <v>216</v>
      </c>
      <c r="F44" s="14" t="s">
        <v>557</v>
      </c>
      <c r="G44" s="14" t="s">
        <v>991</v>
      </c>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v>46002</v>
      </c>
      <c r="AK44" s="14">
        <v>14.91</v>
      </c>
      <c r="AL44" s="14" t="s">
        <v>850</v>
      </c>
      <c r="AM44" s="14" t="s">
        <v>248</v>
      </c>
      <c r="AN44" s="14">
        <f>IF('Fund Data'!$H$2,IF(ISNUMBER(AK44),AK44,NA()),NA())</f>
        <v>14.91</v>
      </c>
      <c r="AO44" s="14"/>
      <c r="AP44" s="14"/>
      <c r="AQ44" s="14"/>
      <c r="AR44" s="14"/>
      <c r="AS44" s="14"/>
      <c r="AT44" s="14"/>
      <c r="AU44" s="14"/>
      <c r="AV44" s="14"/>
      <c r="AW44" s="14"/>
      <c r="AX44" s="14"/>
      <c r="AY44" s="14"/>
      <c r="AZ44" s="14"/>
      <c r="BA44" s="14"/>
      <c r="BB44" s="14"/>
      <c r="BC44" s="14"/>
      <c r="BD44" s="14"/>
      <c r="BE44" s="14"/>
      <c r="BF44" s="14"/>
      <c r="BG44" s="14"/>
      <c r="BH44" s="14"/>
      <c r="BI44" s="14"/>
    </row>
    <row r="45" spans="1:61">
      <c r="A45" s="14" t="s">
        <v>340</v>
      </c>
      <c r="B45" s="14" t="s">
        <v>599</v>
      </c>
      <c r="C45" s="14"/>
      <c r="D45" s="14"/>
      <c r="E45" s="14"/>
      <c r="F45" s="14" t="s">
        <v>600</v>
      </c>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v>46003</v>
      </c>
      <c r="AK45" s="14">
        <v>14.53</v>
      </c>
      <c r="AL45" s="14" t="s">
        <v>850</v>
      </c>
      <c r="AM45" s="14" t="s">
        <v>248</v>
      </c>
      <c r="AN45" s="14">
        <f>IF('Fund Data'!$H$2,IF(ISNUMBER(AK45),AK45,NA()),NA())</f>
        <v>14.53</v>
      </c>
      <c r="AO45" s="14"/>
      <c r="AP45" s="14"/>
      <c r="AQ45" s="14"/>
      <c r="AR45" s="14"/>
      <c r="AS45" s="14"/>
      <c r="AT45" s="14"/>
      <c r="AU45" s="14"/>
      <c r="AV45" s="14"/>
      <c r="AW45" s="14"/>
      <c r="AX45" s="14"/>
      <c r="AY45" s="14"/>
      <c r="AZ45" s="14"/>
      <c r="BA45" s="14"/>
      <c r="BB45" s="14"/>
      <c r="BC45" s="14"/>
      <c r="BD45" s="14"/>
      <c r="BE45" s="14"/>
      <c r="BF45" s="14"/>
      <c r="BG45" s="14"/>
      <c r="BH45" s="14"/>
      <c r="BI45" s="14"/>
    </row>
    <row r="46" spans="1:61">
      <c r="A46" s="14" t="s">
        <v>38</v>
      </c>
      <c r="B46" s="14" t="s">
        <v>599</v>
      </c>
      <c r="C46" s="14"/>
      <c r="D46" s="14"/>
      <c r="E46" s="14"/>
      <c r="F46" s="14" t="s">
        <v>600</v>
      </c>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v>46006</v>
      </c>
      <c r="AK46" s="14">
        <v>14.5</v>
      </c>
      <c r="AL46" s="14" t="s">
        <v>850</v>
      </c>
      <c r="AM46" s="14" t="s">
        <v>248</v>
      </c>
      <c r="AN46" s="14">
        <f>IF('Fund Data'!$H$2,IF(ISNUMBER(AK46),AK46,NA()),NA())</f>
        <v>14.5</v>
      </c>
      <c r="AO46" s="14"/>
      <c r="AP46" s="14"/>
      <c r="AQ46" s="14"/>
      <c r="AR46" s="14"/>
      <c r="AS46" s="14"/>
      <c r="AT46" s="14"/>
      <c r="AU46" s="14"/>
      <c r="AV46" s="14"/>
      <c r="AW46" s="14"/>
      <c r="AX46" s="14"/>
      <c r="AY46" s="14"/>
      <c r="AZ46" s="14"/>
      <c r="BA46" s="14"/>
      <c r="BB46" s="14"/>
      <c r="BC46" s="14"/>
      <c r="BD46" s="14"/>
      <c r="BE46" s="14"/>
      <c r="BF46" s="14"/>
      <c r="BG46" s="14"/>
      <c r="BH46" s="14"/>
      <c r="BI46" s="14"/>
    </row>
    <row r="47" spans="1:61">
      <c r="A47" s="14" t="s">
        <v>347</v>
      </c>
      <c r="B47" s="14" t="s">
        <v>599</v>
      </c>
      <c r="C47" s="14"/>
      <c r="D47" s="14"/>
      <c r="E47" s="14"/>
      <c r="F47" s="14" t="s">
        <v>600</v>
      </c>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v>46007</v>
      </c>
      <c r="AK47" s="14">
        <v>14.46</v>
      </c>
      <c r="AL47" s="14" t="s">
        <v>850</v>
      </c>
      <c r="AM47" s="14" t="s">
        <v>248</v>
      </c>
      <c r="AN47" s="14">
        <f>IF('Fund Data'!$H$2,IF(ISNUMBER(AK47),AK47,NA()),NA())</f>
        <v>14.46</v>
      </c>
      <c r="AO47" s="14"/>
      <c r="AP47" s="14"/>
      <c r="AQ47" s="14"/>
      <c r="AR47" s="14"/>
      <c r="AS47" s="14"/>
      <c r="AT47" s="14"/>
      <c r="AU47" s="14"/>
      <c r="AV47" s="14"/>
      <c r="AW47" s="14"/>
      <c r="AX47" s="14"/>
      <c r="AY47" s="14"/>
      <c r="AZ47" s="14"/>
      <c r="BA47" s="14"/>
      <c r="BB47" s="14"/>
      <c r="BC47" s="14"/>
      <c r="BD47" s="14"/>
      <c r="BE47" s="14"/>
      <c r="BF47" s="14"/>
      <c r="BG47" s="14"/>
      <c r="BH47" s="14"/>
      <c r="BI47" s="14"/>
    </row>
    <row r="48" spans="1:61">
      <c r="A48" s="14" t="s">
        <v>351</v>
      </c>
      <c r="B48" s="14">
        <v>9.7987804999999997E-3</v>
      </c>
      <c r="C48" s="14"/>
      <c r="D48" s="14">
        <v>46295</v>
      </c>
      <c r="E48" s="14" t="s">
        <v>216</v>
      </c>
      <c r="F48" s="14" t="s">
        <v>557</v>
      </c>
      <c r="G48" s="14" t="s">
        <v>994</v>
      </c>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v>46008</v>
      </c>
      <c r="AK48" s="14">
        <v>14.3</v>
      </c>
      <c r="AL48" s="14" t="s">
        <v>850</v>
      </c>
      <c r="AM48" s="14" t="s">
        <v>248</v>
      </c>
      <c r="AN48" s="14">
        <f>IF('Fund Data'!$H$2,IF(ISNUMBER(AK48),AK48,NA()),NA())</f>
        <v>14.3</v>
      </c>
      <c r="AO48" s="14"/>
      <c r="AP48" s="14"/>
      <c r="AQ48" s="14"/>
      <c r="AR48" s="14"/>
      <c r="AS48" s="14"/>
      <c r="AT48" s="14"/>
      <c r="AU48" s="14"/>
      <c r="AV48" s="14"/>
      <c r="AW48" s="14"/>
      <c r="AX48" s="14"/>
      <c r="AY48" s="14"/>
      <c r="AZ48" s="14"/>
      <c r="BA48" s="14"/>
      <c r="BB48" s="14"/>
      <c r="BC48" s="14"/>
      <c r="BD48" s="14"/>
      <c r="BE48" s="14"/>
      <c r="BF48" s="14"/>
      <c r="BG48" s="14"/>
      <c r="BH48" s="14"/>
      <c r="BI48" s="14"/>
    </row>
    <row r="49" spans="1:61">
      <c r="A49" s="14" t="s">
        <v>355</v>
      </c>
      <c r="B49" s="14" t="s">
        <v>599</v>
      </c>
      <c r="C49" s="14"/>
      <c r="D49" s="14"/>
      <c r="E49" s="14"/>
      <c r="F49" s="14" t="s">
        <v>600</v>
      </c>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v>46009</v>
      </c>
      <c r="AK49" s="14">
        <v>14.41</v>
      </c>
      <c r="AL49" s="14" t="s">
        <v>850</v>
      </c>
      <c r="AM49" s="14" t="s">
        <v>248</v>
      </c>
      <c r="AN49" s="14">
        <f>IF('Fund Data'!$H$2,IF(ISNUMBER(AK49),AK49,NA()),NA())</f>
        <v>14.41</v>
      </c>
      <c r="AO49" s="14"/>
      <c r="AP49" s="14"/>
      <c r="AQ49" s="14"/>
      <c r="AR49" s="14"/>
      <c r="AS49" s="14"/>
      <c r="AT49" s="14"/>
      <c r="AU49" s="14"/>
      <c r="AV49" s="14"/>
      <c r="AW49" s="14"/>
      <c r="AX49" s="14"/>
      <c r="AY49" s="14"/>
      <c r="AZ49" s="14"/>
      <c r="BA49" s="14"/>
      <c r="BB49" s="14"/>
      <c r="BC49" s="14"/>
      <c r="BD49" s="14"/>
      <c r="BE49" s="14"/>
      <c r="BF49" s="14"/>
      <c r="BG49" s="14"/>
      <c r="BH49" s="14"/>
      <c r="BI49" s="14"/>
    </row>
    <row r="50" spans="1:61">
      <c r="A50" s="14" t="s">
        <v>359</v>
      </c>
      <c r="B50" s="14" t="s">
        <v>599</v>
      </c>
      <c r="C50" s="14"/>
      <c r="D50" s="14"/>
      <c r="E50" s="14"/>
      <c r="F50" s="14" t="s">
        <v>600</v>
      </c>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v>46010</v>
      </c>
      <c r="AK50" s="14">
        <v>14.54</v>
      </c>
      <c r="AL50" s="14" t="s">
        <v>850</v>
      </c>
      <c r="AM50" s="14" t="s">
        <v>248</v>
      </c>
      <c r="AN50" s="14">
        <f>IF('Fund Data'!$H$2,IF(ISNUMBER(AK50),AK50,NA()),NA())</f>
        <v>14.54</v>
      </c>
      <c r="AO50" s="14"/>
      <c r="AP50" s="14"/>
      <c r="AQ50" s="14"/>
      <c r="AR50" s="14"/>
      <c r="AS50" s="14"/>
      <c r="AT50" s="14"/>
      <c r="AU50" s="14"/>
      <c r="AV50" s="14"/>
      <c r="AW50" s="14"/>
      <c r="AX50" s="14"/>
      <c r="AY50" s="14"/>
      <c r="AZ50" s="14"/>
      <c r="BA50" s="14"/>
      <c r="BB50" s="14"/>
      <c r="BC50" s="14"/>
      <c r="BD50" s="14"/>
      <c r="BE50" s="14"/>
      <c r="BF50" s="14"/>
      <c r="BG50" s="14"/>
      <c r="BH50" s="14"/>
      <c r="BI50" s="14"/>
    </row>
    <row r="51" spans="1:61">
      <c r="A51" s="14" t="s">
        <v>363</v>
      </c>
      <c r="B51" s="14">
        <v>0.99745799999999996</v>
      </c>
      <c r="C51" s="14" t="s">
        <v>456</v>
      </c>
      <c r="D51" s="14">
        <v>46295</v>
      </c>
      <c r="E51" s="14" t="s">
        <v>216</v>
      </c>
      <c r="F51" s="14" t="s">
        <v>557</v>
      </c>
      <c r="G51" s="14" t="s">
        <v>998</v>
      </c>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v>46013</v>
      </c>
      <c r="AK51" s="14">
        <v>14.65</v>
      </c>
      <c r="AL51" s="14" t="s">
        <v>850</v>
      </c>
      <c r="AM51" s="14" t="s">
        <v>248</v>
      </c>
      <c r="AN51" s="14">
        <f>IF('Fund Data'!$H$2,IF(ISNUMBER(AK51),AK51,NA()),NA())</f>
        <v>14.65</v>
      </c>
      <c r="AO51" s="14"/>
      <c r="AP51" s="14"/>
      <c r="AQ51" s="14"/>
      <c r="AR51" s="14"/>
      <c r="AS51" s="14"/>
      <c r="AT51" s="14"/>
      <c r="AU51" s="14"/>
      <c r="AV51" s="14"/>
      <c r="AW51" s="14"/>
      <c r="AX51" s="14"/>
      <c r="AY51" s="14"/>
      <c r="AZ51" s="14"/>
      <c r="BA51" s="14"/>
      <c r="BB51" s="14"/>
      <c r="BC51" s="14"/>
      <c r="BD51" s="14"/>
      <c r="BE51" s="14"/>
      <c r="BF51" s="14"/>
      <c r="BG51" s="14"/>
      <c r="BH51" s="14"/>
      <c r="BI51" s="14"/>
    </row>
    <row r="52" spans="1:61">
      <c r="A52" s="14" t="s">
        <v>367</v>
      </c>
      <c r="B52" s="14" t="s">
        <v>599</v>
      </c>
      <c r="C52" s="14"/>
      <c r="D52" s="14"/>
      <c r="E52" s="14"/>
      <c r="F52" s="14" t="s">
        <v>600</v>
      </c>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v>46014</v>
      </c>
      <c r="AK52" s="14">
        <v>14.7</v>
      </c>
      <c r="AL52" s="14" t="s">
        <v>850</v>
      </c>
      <c r="AM52" s="14" t="s">
        <v>248</v>
      </c>
      <c r="AN52" s="14">
        <f>IF('Fund Data'!$H$2,IF(ISNUMBER(AK52),AK52,NA()),NA())</f>
        <v>14.7</v>
      </c>
      <c r="AO52" s="14"/>
      <c r="AP52" s="14"/>
      <c r="AQ52" s="14"/>
      <c r="AR52" s="14"/>
      <c r="AS52" s="14"/>
      <c r="AT52" s="14"/>
      <c r="AU52" s="14"/>
      <c r="AV52" s="14"/>
      <c r="AW52" s="14"/>
      <c r="AX52" s="14"/>
      <c r="AY52" s="14"/>
      <c r="AZ52" s="14"/>
      <c r="BA52" s="14"/>
      <c r="BB52" s="14"/>
      <c r="BC52" s="14"/>
      <c r="BD52" s="14"/>
      <c r="BE52" s="14"/>
      <c r="BF52" s="14"/>
      <c r="BG52" s="14"/>
      <c r="BH52" s="14"/>
      <c r="BI52" s="14"/>
    </row>
    <row r="53" spans="1:61">
      <c r="A53" s="14" t="s">
        <v>90</v>
      </c>
      <c r="B53" s="14" t="s">
        <v>981</v>
      </c>
      <c r="C53" s="14"/>
      <c r="D53" s="14">
        <v>46295</v>
      </c>
      <c r="E53" s="14" t="s">
        <v>210</v>
      </c>
      <c r="F53" s="14" t="s">
        <v>557</v>
      </c>
      <c r="G53" s="14" t="s">
        <v>982</v>
      </c>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v>46015</v>
      </c>
      <c r="AK53" s="14">
        <v>14.75</v>
      </c>
      <c r="AL53" s="14" t="s">
        <v>850</v>
      </c>
      <c r="AM53" s="14" t="s">
        <v>248</v>
      </c>
      <c r="AN53" s="14">
        <f>IF('Fund Data'!$H$2,IF(ISNUMBER(AK53),AK53,NA()),NA())</f>
        <v>14.75</v>
      </c>
      <c r="AO53" s="14"/>
      <c r="AP53" s="14"/>
      <c r="AQ53" s="14"/>
      <c r="AR53" s="14"/>
      <c r="AS53" s="14"/>
      <c r="AT53" s="14"/>
      <c r="AU53" s="14"/>
      <c r="AV53" s="14"/>
      <c r="AW53" s="14"/>
      <c r="AX53" s="14"/>
      <c r="AY53" s="14"/>
      <c r="AZ53" s="14"/>
      <c r="BA53" s="14"/>
      <c r="BB53" s="14"/>
      <c r="BC53" s="14"/>
      <c r="BD53" s="14"/>
      <c r="BE53" s="14"/>
      <c r="BF53" s="14"/>
      <c r="BG53" s="14"/>
      <c r="BH53" s="14"/>
      <c r="BI53" s="14"/>
    </row>
    <row r="54" spans="1:61">
      <c r="A54" s="14" t="s">
        <v>375</v>
      </c>
      <c r="B54" s="14" t="s">
        <v>985</v>
      </c>
      <c r="C54" s="14"/>
      <c r="D54" s="14">
        <v>46295</v>
      </c>
      <c r="E54" s="14" t="s">
        <v>216</v>
      </c>
      <c r="F54" s="14" t="s">
        <v>557</v>
      </c>
      <c r="G54" s="14" t="s">
        <v>986</v>
      </c>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v>46017</v>
      </c>
      <c r="AK54" s="14">
        <v>14.74</v>
      </c>
      <c r="AL54" s="14" t="s">
        <v>850</v>
      </c>
      <c r="AM54" s="14" t="s">
        <v>248</v>
      </c>
      <c r="AN54" s="14">
        <f>IF('Fund Data'!$H$2,IF(ISNUMBER(AK54),AK54,NA()),NA())</f>
        <v>14.74</v>
      </c>
      <c r="AO54" s="14"/>
      <c r="AP54" s="14"/>
      <c r="AQ54" s="14"/>
      <c r="AR54" s="14"/>
      <c r="AS54" s="14"/>
      <c r="AT54" s="14"/>
      <c r="AU54" s="14"/>
      <c r="AV54" s="14"/>
      <c r="AW54" s="14"/>
      <c r="AX54" s="14"/>
      <c r="AY54" s="14"/>
      <c r="AZ54" s="14"/>
      <c r="BA54" s="14"/>
      <c r="BB54" s="14"/>
      <c r="BC54" s="14"/>
      <c r="BD54" s="14"/>
      <c r="BE54" s="14"/>
      <c r="BF54" s="14"/>
      <c r="BG54" s="14"/>
      <c r="BH54" s="14"/>
      <c r="BI54" s="14"/>
    </row>
    <row r="55" spans="1:61">
      <c r="A55" s="14" t="s">
        <v>378</v>
      </c>
      <c r="B55" s="14" t="s">
        <v>599</v>
      </c>
      <c r="C55" s="14"/>
      <c r="D55" s="14"/>
      <c r="E55" s="14"/>
      <c r="F55" s="14" t="s">
        <v>600</v>
      </c>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v>46020</v>
      </c>
      <c r="AK55" s="14">
        <v>14.69</v>
      </c>
      <c r="AL55" s="14" t="s">
        <v>850</v>
      </c>
      <c r="AM55" s="14" t="s">
        <v>248</v>
      </c>
      <c r="AN55" s="14">
        <f>IF('Fund Data'!$H$2,IF(ISNUMBER(AK55),AK55,NA()),NA())</f>
        <v>14.69</v>
      </c>
      <c r="AO55" s="14"/>
      <c r="AP55" s="14"/>
      <c r="AQ55" s="14"/>
      <c r="AR55" s="14"/>
      <c r="AS55" s="14"/>
      <c r="AT55" s="14"/>
      <c r="AU55" s="14"/>
      <c r="AV55" s="14"/>
      <c r="AW55" s="14"/>
      <c r="AX55" s="14"/>
      <c r="AY55" s="14"/>
      <c r="AZ55" s="14"/>
      <c r="BA55" s="14"/>
      <c r="BB55" s="14"/>
      <c r="BC55" s="14"/>
      <c r="BD55" s="14"/>
      <c r="BE55" s="14"/>
      <c r="BF55" s="14"/>
      <c r="BG55" s="14"/>
      <c r="BH55" s="14"/>
      <c r="BI55" s="14"/>
    </row>
    <row r="56" spans="1:61">
      <c r="A56" s="14" t="s">
        <v>380</v>
      </c>
      <c r="B56" s="14">
        <v>33330</v>
      </c>
      <c r="C56" s="14"/>
      <c r="D56" s="14">
        <v>46295</v>
      </c>
      <c r="E56" s="14" t="s">
        <v>216</v>
      </c>
      <c r="F56" s="14" t="s">
        <v>557</v>
      </c>
      <c r="G56" s="14" t="s">
        <v>987</v>
      </c>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v>46021</v>
      </c>
      <c r="AK56" s="14">
        <v>14.66</v>
      </c>
      <c r="AL56" s="14" t="s">
        <v>850</v>
      </c>
      <c r="AM56" s="14" t="s">
        <v>248</v>
      </c>
      <c r="AN56" s="14">
        <f>IF('Fund Data'!$H$2,IF(ISNUMBER(AK56),AK56,NA()),NA())</f>
        <v>14.66</v>
      </c>
      <c r="AO56" s="14"/>
      <c r="AP56" s="14"/>
      <c r="AQ56" s="14"/>
      <c r="AR56" s="14"/>
      <c r="AS56" s="14"/>
      <c r="AT56" s="14"/>
      <c r="AU56" s="14"/>
      <c r="AV56" s="14"/>
      <c r="AW56" s="14"/>
      <c r="AX56" s="14"/>
      <c r="AY56" s="14"/>
      <c r="AZ56" s="14"/>
      <c r="BA56" s="14"/>
      <c r="BB56" s="14"/>
      <c r="BC56" s="14"/>
      <c r="BD56" s="14"/>
      <c r="BE56" s="14"/>
      <c r="BF56" s="14"/>
      <c r="BG56" s="14"/>
      <c r="BH56" s="14"/>
      <c r="BI56" s="14"/>
    </row>
    <row r="57" spans="1:61">
      <c r="A57" s="14" t="s">
        <v>384</v>
      </c>
      <c r="B57" s="14">
        <v>5.0000000000000001E-4</v>
      </c>
      <c r="C57" s="14"/>
      <c r="D57" s="14">
        <v>46295</v>
      </c>
      <c r="E57" s="14" t="s">
        <v>216</v>
      </c>
      <c r="F57" s="14" t="s">
        <v>557</v>
      </c>
      <c r="G57" s="14" t="s">
        <v>988</v>
      </c>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v>46022</v>
      </c>
      <c r="AK57" s="14">
        <v>14.55</v>
      </c>
      <c r="AL57" s="14" t="s">
        <v>850</v>
      </c>
      <c r="AM57" s="14" t="s">
        <v>248</v>
      </c>
      <c r="AN57" s="14">
        <f>IF('Fund Data'!$H$2,IF(ISNUMBER(AK57),AK57,NA()),NA())</f>
        <v>14.55</v>
      </c>
      <c r="AO57" s="14"/>
      <c r="AP57" s="14"/>
      <c r="AQ57" s="14"/>
      <c r="AR57" s="14"/>
      <c r="AS57" s="14"/>
      <c r="AT57" s="14"/>
      <c r="AU57" s="14"/>
      <c r="AV57" s="14"/>
      <c r="AW57" s="14"/>
      <c r="AX57" s="14"/>
      <c r="AY57" s="14"/>
      <c r="AZ57" s="14"/>
      <c r="BA57" s="14"/>
      <c r="BB57" s="14"/>
      <c r="BC57" s="14"/>
      <c r="BD57" s="14"/>
      <c r="BE57" s="14"/>
      <c r="BF57" s="14"/>
      <c r="BG57" s="14"/>
      <c r="BH57" s="14"/>
      <c r="BI57" s="14"/>
    </row>
    <row r="58" spans="1:61">
      <c r="A58" s="14" t="s">
        <v>388</v>
      </c>
      <c r="B58" s="14">
        <v>5.0000000000000001E-4</v>
      </c>
      <c r="C58" s="14"/>
      <c r="D58" s="14">
        <v>46295</v>
      </c>
      <c r="E58" s="14" t="s">
        <v>216</v>
      </c>
      <c r="F58" s="14" t="s">
        <v>557</v>
      </c>
      <c r="G58" s="14" t="s">
        <v>988</v>
      </c>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v>46024</v>
      </c>
      <c r="AK58" s="14">
        <v>14.6</v>
      </c>
      <c r="AL58" s="14" t="s">
        <v>850</v>
      </c>
      <c r="AM58" s="14" t="s">
        <v>248</v>
      </c>
      <c r="AN58" s="14">
        <f>IF('Fund Data'!$H$2,IF(ISNUMBER(AK58),AK58,NA()),NA())</f>
        <v>14.6</v>
      </c>
      <c r="AO58" s="14"/>
      <c r="AP58" s="14"/>
      <c r="AQ58" s="14"/>
      <c r="AR58" s="14"/>
      <c r="AS58" s="14"/>
      <c r="AT58" s="14"/>
      <c r="AU58" s="14"/>
      <c r="AV58" s="14"/>
      <c r="AW58" s="14"/>
      <c r="AX58" s="14"/>
      <c r="AY58" s="14"/>
      <c r="AZ58" s="14"/>
      <c r="BA58" s="14"/>
      <c r="BB58" s="14"/>
      <c r="BC58" s="14"/>
      <c r="BD58" s="14"/>
      <c r="BE58" s="14"/>
      <c r="BF58" s="14"/>
      <c r="BG58" s="14"/>
      <c r="BH58" s="14"/>
      <c r="BI58" s="14"/>
    </row>
    <row r="59" spans="1:61">
      <c r="A59" s="14" t="s">
        <v>92</v>
      </c>
      <c r="B59" s="14" t="s">
        <v>989</v>
      </c>
      <c r="C59" s="14"/>
      <c r="D59" s="14">
        <v>46295</v>
      </c>
      <c r="E59" s="14" t="s">
        <v>216</v>
      </c>
      <c r="F59" s="14" t="s">
        <v>557</v>
      </c>
      <c r="G59" s="14" t="s">
        <v>990</v>
      </c>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v>46027</v>
      </c>
      <c r="AK59" s="14">
        <v>14.7</v>
      </c>
      <c r="AL59" s="14" t="s">
        <v>850</v>
      </c>
      <c r="AM59" s="14" t="s">
        <v>248</v>
      </c>
      <c r="AN59" s="14">
        <f>IF('Fund Data'!$H$2,IF(ISNUMBER(AK59),AK59,NA()),NA())</f>
        <v>14.7</v>
      </c>
      <c r="AO59" s="14"/>
      <c r="AP59" s="14"/>
      <c r="AQ59" s="14"/>
      <c r="AR59" s="14"/>
      <c r="AS59" s="14"/>
      <c r="AT59" s="14"/>
      <c r="AU59" s="14"/>
      <c r="AV59" s="14"/>
      <c r="AW59" s="14"/>
      <c r="AX59" s="14"/>
      <c r="AY59" s="14"/>
      <c r="AZ59" s="14"/>
      <c r="BA59" s="14"/>
      <c r="BB59" s="14"/>
      <c r="BC59" s="14"/>
      <c r="BD59" s="14"/>
      <c r="BE59" s="14"/>
      <c r="BF59" s="14"/>
      <c r="BG59" s="14"/>
      <c r="BH59" s="14"/>
      <c r="BI59" s="14"/>
    </row>
    <row r="60" spans="1:61">
      <c r="A60" s="14" t="s">
        <v>407</v>
      </c>
      <c r="B60" s="14">
        <v>22253680324</v>
      </c>
      <c r="C60" s="14"/>
      <c r="D60" s="14">
        <v>46295</v>
      </c>
      <c r="E60" s="14" t="s">
        <v>216</v>
      </c>
      <c r="F60" s="14" t="s">
        <v>557</v>
      </c>
      <c r="G60" s="14" t="s">
        <v>992</v>
      </c>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v>46028</v>
      </c>
      <c r="AK60" s="14">
        <v>14.8</v>
      </c>
      <c r="AL60" s="14" t="s">
        <v>850</v>
      </c>
      <c r="AM60" s="14" t="s">
        <v>248</v>
      </c>
      <c r="AN60" s="14">
        <f>IF('Fund Data'!$H$2,IF(ISNUMBER(AK60),AK60,NA()),NA())</f>
        <v>14.8</v>
      </c>
      <c r="AO60" s="14"/>
      <c r="AP60" s="14"/>
      <c r="AQ60" s="14"/>
      <c r="AR60" s="14"/>
      <c r="AS60" s="14"/>
      <c r="AT60" s="14"/>
      <c r="AU60" s="14"/>
      <c r="AV60" s="14"/>
      <c r="AW60" s="14"/>
      <c r="AX60" s="14"/>
      <c r="AY60" s="14"/>
      <c r="AZ60" s="14"/>
      <c r="BA60" s="14"/>
      <c r="BB60" s="14"/>
      <c r="BC60" s="14"/>
      <c r="BD60" s="14"/>
      <c r="BE60" s="14"/>
      <c r="BF60" s="14"/>
      <c r="BG60" s="14"/>
      <c r="BH60" s="14"/>
      <c r="BI60" s="14"/>
    </row>
    <row r="61" spans="1:61">
      <c r="A61" s="14" t="s">
        <v>411</v>
      </c>
      <c r="B61" s="14">
        <v>0.25</v>
      </c>
      <c r="C61" s="14"/>
      <c r="D61" s="14">
        <v>46295</v>
      </c>
      <c r="E61" s="14" t="s">
        <v>216</v>
      </c>
      <c r="F61" s="14" t="s">
        <v>557</v>
      </c>
      <c r="G61" s="14" t="s">
        <v>993</v>
      </c>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v>46029</v>
      </c>
      <c r="AK61" s="14">
        <v>14.75</v>
      </c>
      <c r="AL61" s="14" t="s">
        <v>850</v>
      </c>
      <c r="AM61" s="14" t="s">
        <v>248</v>
      </c>
      <c r="AN61" s="14">
        <f>IF('Fund Data'!$H$2,IF(ISNUMBER(AK61),AK61,NA()),NA())</f>
        <v>14.75</v>
      </c>
      <c r="AO61" s="14"/>
      <c r="AP61" s="14"/>
      <c r="AQ61" s="14"/>
      <c r="AR61" s="14"/>
      <c r="AS61" s="14"/>
      <c r="AT61" s="14"/>
      <c r="AU61" s="14"/>
      <c r="AV61" s="14"/>
      <c r="AW61" s="14"/>
      <c r="AX61" s="14"/>
      <c r="AY61" s="14"/>
      <c r="AZ61" s="14"/>
      <c r="BA61" s="14"/>
      <c r="BB61" s="14"/>
      <c r="BC61" s="14"/>
      <c r="BD61" s="14"/>
      <c r="BE61" s="14"/>
      <c r="BF61" s="14"/>
      <c r="BG61" s="14"/>
      <c r="BH61" s="14"/>
      <c r="BI61" s="14"/>
    </row>
    <row r="62" spans="1:61">
      <c r="A62" s="14" t="s">
        <v>415</v>
      </c>
      <c r="B62" s="14" t="s">
        <v>599</v>
      </c>
      <c r="C62" s="14"/>
      <c r="D62" s="14"/>
      <c r="E62" s="14" t="s">
        <v>216</v>
      </c>
      <c r="F62" s="14" t="s">
        <v>851</v>
      </c>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v>46030</v>
      </c>
      <c r="AK62" s="14">
        <v>14.75</v>
      </c>
      <c r="AL62" s="14" t="s">
        <v>850</v>
      </c>
      <c r="AM62" s="14" t="s">
        <v>248</v>
      </c>
      <c r="AN62" s="14">
        <f>IF('Fund Data'!$H$2,IF(ISNUMBER(AK62),AK62,NA()),NA())</f>
        <v>14.75</v>
      </c>
      <c r="AO62" s="14"/>
      <c r="AP62" s="14"/>
      <c r="AQ62" s="14"/>
      <c r="AR62" s="14"/>
      <c r="AS62" s="14"/>
      <c r="AT62" s="14"/>
      <c r="AU62" s="14"/>
      <c r="AV62" s="14"/>
      <c r="AW62" s="14"/>
      <c r="AX62" s="14"/>
      <c r="AY62" s="14"/>
      <c r="AZ62" s="14"/>
      <c r="BA62" s="14"/>
      <c r="BB62" s="14"/>
      <c r="BC62" s="14"/>
      <c r="BD62" s="14"/>
      <c r="BE62" s="14"/>
      <c r="BF62" s="14"/>
      <c r="BG62" s="14"/>
      <c r="BH62" s="14"/>
      <c r="BI62" s="14"/>
    </row>
    <row r="63" spans="1:61">
      <c r="A63" s="14" t="s">
        <v>419</v>
      </c>
      <c r="B63" s="14" t="s">
        <v>599</v>
      </c>
      <c r="C63" s="14"/>
      <c r="D63" s="14"/>
      <c r="E63" s="14" t="s">
        <v>216</v>
      </c>
      <c r="F63" s="14" t="s">
        <v>851</v>
      </c>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v>46031</v>
      </c>
      <c r="AK63" s="14">
        <v>14.84</v>
      </c>
      <c r="AL63" s="14" t="s">
        <v>850</v>
      </c>
      <c r="AM63" s="14" t="s">
        <v>248</v>
      </c>
      <c r="AN63" s="14">
        <f>IF('Fund Data'!$H$2,IF(ISNUMBER(AK63),AK63,NA()),NA())</f>
        <v>14.84</v>
      </c>
      <c r="AO63" s="14"/>
      <c r="AP63" s="14"/>
      <c r="AQ63" s="14"/>
      <c r="AR63" s="14"/>
      <c r="AS63" s="14"/>
      <c r="AT63" s="14"/>
      <c r="AU63" s="14"/>
      <c r="AV63" s="14"/>
      <c r="AW63" s="14"/>
      <c r="AX63" s="14"/>
      <c r="AY63" s="14"/>
      <c r="AZ63" s="14"/>
      <c r="BA63" s="14"/>
      <c r="BB63" s="14"/>
      <c r="BC63" s="14"/>
      <c r="BD63" s="14"/>
      <c r="BE63" s="14"/>
      <c r="BF63" s="14"/>
      <c r="BG63" s="14"/>
      <c r="BH63" s="14"/>
      <c r="BI63" s="14"/>
    </row>
    <row r="64" spans="1:61">
      <c r="A64" s="14" t="s">
        <v>423</v>
      </c>
      <c r="B64" s="14" t="s">
        <v>599</v>
      </c>
      <c r="C64" s="14"/>
      <c r="D64" s="14"/>
      <c r="E64" s="14" t="s">
        <v>216</v>
      </c>
      <c r="F64" s="14" t="s">
        <v>851</v>
      </c>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v>46034</v>
      </c>
      <c r="AK64" s="14">
        <v>14.87</v>
      </c>
      <c r="AL64" s="14" t="s">
        <v>850</v>
      </c>
      <c r="AM64" s="14" t="s">
        <v>248</v>
      </c>
      <c r="AN64" s="14">
        <f>IF('Fund Data'!$H$2,IF(ISNUMBER(AK64),AK64,NA()),NA())</f>
        <v>14.87</v>
      </c>
      <c r="AO64" s="14"/>
      <c r="AP64" s="14"/>
      <c r="AQ64" s="14"/>
      <c r="AR64" s="14"/>
      <c r="AS64" s="14"/>
      <c r="AT64" s="14"/>
      <c r="AU64" s="14"/>
      <c r="AV64" s="14"/>
      <c r="AW64" s="14"/>
      <c r="AX64" s="14"/>
      <c r="AY64" s="14"/>
      <c r="AZ64" s="14"/>
      <c r="BA64" s="14"/>
      <c r="BB64" s="14"/>
      <c r="BC64" s="14"/>
      <c r="BD64" s="14"/>
      <c r="BE64" s="14"/>
      <c r="BF64" s="14"/>
      <c r="BG64" s="14"/>
      <c r="BH64" s="14"/>
      <c r="BI64" s="14"/>
    </row>
    <row r="65" spans="1:61">
      <c r="A65" s="14" t="s">
        <v>427</v>
      </c>
      <c r="B65" s="14" t="s">
        <v>599</v>
      </c>
      <c r="C65" s="14"/>
      <c r="D65" s="14"/>
      <c r="E65" s="14" t="s">
        <v>216</v>
      </c>
      <c r="F65" s="14" t="s">
        <v>851</v>
      </c>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v>46035</v>
      </c>
      <c r="AK65" s="14">
        <v>14.84</v>
      </c>
      <c r="AL65" s="14" t="s">
        <v>850</v>
      </c>
      <c r="AM65" s="14" t="s">
        <v>248</v>
      </c>
      <c r="AN65" s="14">
        <f>IF('Fund Data'!$H$2,IF(ISNUMBER(AK65),AK65,NA()),NA())</f>
        <v>14.84</v>
      </c>
      <c r="AO65" s="14"/>
      <c r="AP65" s="14"/>
      <c r="AQ65" s="14"/>
      <c r="AR65" s="14"/>
      <c r="AS65" s="14"/>
      <c r="AT65" s="14"/>
      <c r="AU65" s="14"/>
      <c r="AV65" s="14"/>
      <c r="AW65" s="14"/>
      <c r="AX65" s="14"/>
      <c r="AY65" s="14"/>
      <c r="AZ65" s="14"/>
      <c r="BA65" s="14"/>
      <c r="BB65" s="14"/>
      <c r="BC65" s="14"/>
      <c r="BD65" s="14"/>
      <c r="BE65" s="14"/>
      <c r="BF65" s="14"/>
      <c r="BG65" s="14"/>
      <c r="BH65" s="14"/>
      <c r="BI65" s="14"/>
    </row>
    <row r="66" spans="1:61">
      <c r="A66" s="14" t="s">
        <v>431</v>
      </c>
      <c r="B66" s="14" t="s">
        <v>599</v>
      </c>
      <c r="C66" s="14"/>
      <c r="D66" s="14"/>
      <c r="E66" s="14" t="s">
        <v>216</v>
      </c>
      <c r="F66" s="14" t="s">
        <v>851</v>
      </c>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v>46036</v>
      </c>
      <c r="AK66" s="14">
        <v>14.77</v>
      </c>
      <c r="AL66" s="14" t="s">
        <v>850</v>
      </c>
      <c r="AM66" s="14" t="s">
        <v>248</v>
      </c>
      <c r="AN66" s="14">
        <f>IF('Fund Data'!$H$2,IF(ISNUMBER(AK66),AK66,NA()),NA())</f>
        <v>14.77</v>
      </c>
      <c r="AO66" s="14"/>
      <c r="AP66" s="14"/>
      <c r="AQ66" s="14"/>
      <c r="AR66" s="14"/>
      <c r="AS66" s="14"/>
      <c r="AT66" s="14"/>
      <c r="AU66" s="14"/>
      <c r="AV66" s="14"/>
      <c r="AW66" s="14"/>
      <c r="AX66" s="14"/>
      <c r="AY66" s="14"/>
      <c r="AZ66" s="14"/>
      <c r="BA66" s="14"/>
      <c r="BB66" s="14"/>
      <c r="BC66" s="14"/>
      <c r="BD66" s="14"/>
      <c r="BE66" s="14"/>
      <c r="BF66" s="14"/>
      <c r="BG66" s="14"/>
      <c r="BH66" s="14"/>
      <c r="BI66" s="14"/>
    </row>
    <row r="67" spans="1:61">
      <c r="A67" s="14" t="s">
        <v>435</v>
      </c>
      <c r="B67" s="14" t="s">
        <v>599</v>
      </c>
      <c r="C67" s="14"/>
      <c r="D67" s="14"/>
      <c r="E67" s="14" t="s">
        <v>216</v>
      </c>
      <c r="F67" s="14" t="s">
        <v>851</v>
      </c>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v>46037</v>
      </c>
      <c r="AK67" s="14">
        <v>14.81</v>
      </c>
      <c r="AL67" s="14" t="s">
        <v>850</v>
      </c>
      <c r="AM67" s="14" t="s">
        <v>248</v>
      </c>
      <c r="AN67" s="14">
        <f>IF('Fund Data'!$H$2,IF(ISNUMBER(AK67),AK67,NA()),NA())</f>
        <v>14.81</v>
      </c>
      <c r="AO67" s="14"/>
      <c r="AP67" s="14"/>
      <c r="AQ67" s="14"/>
      <c r="AR67" s="14"/>
      <c r="AS67" s="14"/>
      <c r="AT67" s="14"/>
      <c r="AU67" s="14"/>
      <c r="AV67" s="14"/>
      <c r="AW67" s="14"/>
      <c r="AX67" s="14"/>
      <c r="AY67" s="14"/>
      <c r="AZ67" s="14"/>
      <c r="BA67" s="14"/>
      <c r="BB67" s="14"/>
      <c r="BC67" s="14"/>
      <c r="BD67" s="14"/>
      <c r="BE67" s="14"/>
      <c r="BF67" s="14"/>
      <c r="BG67" s="14"/>
      <c r="BH67" s="14"/>
      <c r="BI67" s="14"/>
    </row>
    <row r="68" spans="1:61">
      <c r="A68" s="14" t="s">
        <v>442</v>
      </c>
      <c r="B68" s="14">
        <v>2.6706428298895042</v>
      </c>
      <c r="C68" s="14"/>
      <c r="D68" s="14">
        <v>46295</v>
      </c>
      <c r="E68" s="14" t="s">
        <v>216</v>
      </c>
      <c r="F68" s="14" t="s">
        <v>557</v>
      </c>
      <c r="G68" s="14" t="s">
        <v>995</v>
      </c>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v>46038</v>
      </c>
      <c r="AK68" s="14">
        <v>14.81</v>
      </c>
      <c r="AL68" s="14" t="s">
        <v>850</v>
      </c>
      <c r="AM68" s="14" t="s">
        <v>248</v>
      </c>
      <c r="AN68" s="14">
        <f>IF('Fund Data'!$H$2,IF(ISNUMBER(AK68),AK68,NA()),NA())</f>
        <v>14.81</v>
      </c>
      <c r="AO68" s="14"/>
      <c r="AP68" s="14"/>
      <c r="AQ68" s="14"/>
      <c r="AR68" s="14"/>
      <c r="AS68" s="14"/>
      <c r="AT68" s="14"/>
      <c r="AU68" s="14"/>
      <c r="AV68" s="14"/>
      <c r="AW68" s="14"/>
      <c r="AX68" s="14"/>
      <c r="AY68" s="14"/>
      <c r="AZ68" s="14"/>
      <c r="BA68" s="14"/>
      <c r="BB68" s="14"/>
      <c r="BC68" s="14"/>
      <c r="BD68" s="14"/>
      <c r="BE68" s="14"/>
      <c r="BF68" s="14"/>
      <c r="BG68" s="14"/>
      <c r="BH68" s="14"/>
      <c r="BI68" s="14"/>
    </row>
    <row r="69" spans="1:61">
      <c r="A69" s="14" t="s">
        <v>446</v>
      </c>
      <c r="B69" s="14">
        <v>2.92134918</v>
      </c>
      <c r="C69" s="14"/>
      <c r="D69" s="14">
        <v>46295</v>
      </c>
      <c r="E69" s="14" t="s">
        <v>216</v>
      </c>
      <c r="F69" s="14" t="s">
        <v>557</v>
      </c>
      <c r="G69" s="14" t="s">
        <v>996</v>
      </c>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v>46042</v>
      </c>
      <c r="AK69" s="14">
        <v>14.51</v>
      </c>
      <c r="AL69" s="14" t="s">
        <v>850</v>
      </c>
      <c r="AM69" s="14" t="s">
        <v>248</v>
      </c>
      <c r="AN69" s="14">
        <f>IF('Fund Data'!$H$2,IF(ISNUMBER(AK69),AK69,NA()),NA())</f>
        <v>14.51</v>
      </c>
      <c r="AO69" s="14"/>
      <c r="AP69" s="14"/>
      <c r="AQ69" s="14"/>
      <c r="AR69" s="14"/>
      <c r="AS69" s="14"/>
      <c r="AT69" s="14"/>
      <c r="AU69" s="14"/>
      <c r="AV69" s="14"/>
      <c r="AW69" s="14"/>
      <c r="AX69" s="14"/>
      <c r="AY69" s="14"/>
      <c r="AZ69" s="14"/>
      <c r="BA69" s="14"/>
      <c r="BB69" s="14"/>
      <c r="BC69" s="14"/>
      <c r="BD69" s="14"/>
      <c r="BE69" s="14"/>
      <c r="BF69" s="14"/>
      <c r="BG69" s="14"/>
      <c r="BH69" s="14"/>
      <c r="BI69" s="14"/>
    </row>
    <row r="70" spans="1:61">
      <c r="A70" s="14" t="s">
        <v>450</v>
      </c>
      <c r="B70" s="14">
        <v>0.98181706000000002</v>
      </c>
      <c r="C70" s="14"/>
      <c r="D70" s="14">
        <v>46295</v>
      </c>
      <c r="E70" s="14" t="s">
        <v>216</v>
      </c>
      <c r="F70" s="14" t="s">
        <v>557</v>
      </c>
      <c r="G70" s="14" t="s">
        <v>997</v>
      </c>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v>46043</v>
      </c>
      <c r="AK70" s="14">
        <v>14.68</v>
      </c>
      <c r="AL70" s="14" t="s">
        <v>850</v>
      </c>
      <c r="AM70" s="14" t="s">
        <v>248</v>
      </c>
      <c r="AN70" s="14">
        <f>IF('Fund Data'!$H$2,IF(ISNUMBER(AK70),AK70,NA()),NA())</f>
        <v>14.68</v>
      </c>
      <c r="AO70" s="14"/>
      <c r="AP70" s="14"/>
      <c r="AQ70" s="14"/>
      <c r="AR70" s="14"/>
      <c r="AS70" s="14"/>
      <c r="AT70" s="14"/>
      <c r="AU70" s="14"/>
      <c r="AV70" s="14"/>
      <c r="AW70" s="14"/>
      <c r="AX70" s="14"/>
      <c r="AY70" s="14"/>
      <c r="AZ70" s="14"/>
      <c r="BA70" s="14"/>
      <c r="BB70" s="14"/>
      <c r="BC70" s="14"/>
      <c r="BD70" s="14"/>
      <c r="BE70" s="14"/>
      <c r="BF70" s="14"/>
      <c r="BG70" s="14"/>
      <c r="BH70" s="14"/>
      <c r="BI70" s="14"/>
    </row>
    <row r="71" spans="1:61">
      <c r="A71" s="14" t="s">
        <v>458</v>
      </c>
      <c r="B71" s="14">
        <v>0.14872827999999999</v>
      </c>
      <c r="C71" s="14"/>
      <c r="D71" s="14">
        <v>46295</v>
      </c>
      <c r="E71" s="14" t="s">
        <v>216</v>
      </c>
      <c r="F71" s="14" t="s">
        <v>557</v>
      </c>
      <c r="G71" s="14" t="s">
        <v>999</v>
      </c>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v>46044</v>
      </c>
      <c r="AK71" s="14">
        <v>14.76</v>
      </c>
      <c r="AL71" s="14" t="s">
        <v>850</v>
      </c>
      <c r="AM71" s="14" t="s">
        <v>248</v>
      </c>
      <c r="AN71" s="14">
        <f>IF('Fund Data'!$H$2,IF(ISNUMBER(AK71),AK71,NA()),NA())</f>
        <v>14.76</v>
      </c>
      <c r="AO71" s="14"/>
      <c r="AP71" s="14"/>
      <c r="AQ71" s="14"/>
      <c r="AR71" s="14"/>
      <c r="AS71" s="14"/>
      <c r="AT71" s="14"/>
      <c r="AU71" s="14"/>
      <c r="AV71" s="14"/>
      <c r="AW71" s="14"/>
      <c r="AX71" s="14"/>
      <c r="AY71" s="14"/>
      <c r="AZ71" s="14"/>
      <c r="BA71" s="14"/>
      <c r="BB71" s="14"/>
      <c r="BC71" s="14"/>
      <c r="BD71" s="14"/>
      <c r="BE71" s="14"/>
      <c r="BF71" s="14"/>
      <c r="BG71" s="14"/>
      <c r="BH71" s="14"/>
      <c r="BI71" s="14"/>
    </row>
    <row r="72" spans="1:61">
      <c r="A72" s="14" t="s">
        <v>462</v>
      </c>
      <c r="B72" s="14">
        <v>0.92198800000000003</v>
      </c>
      <c r="C72" s="14" t="s">
        <v>456</v>
      </c>
      <c r="D72" s="14">
        <v>46295</v>
      </c>
      <c r="E72" s="14" t="s">
        <v>216</v>
      </c>
      <c r="F72" s="14" t="s">
        <v>557</v>
      </c>
      <c r="G72" s="14" t="s">
        <v>1000</v>
      </c>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v>46045</v>
      </c>
      <c r="AK72" s="14">
        <v>14.75</v>
      </c>
      <c r="AL72" s="14" t="s">
        <v>850</v>
      </c>
      <c r="AM72" s="14" t="s">
        <v>248</v>
      </c>
      <c r="AN72" s="14">
        <f>IF('Fund Data'!$H$2,IF(ISNUMBER(AK72),AK72,NA()),NA())</f>
        <v>14.75</v>
      </c>
      <c r="AO72" s="14"/>
      <c r="AP72" s="14"/>
      <c r="AQ72" s="14"/>
      <c r="AR72" s="14"/>
      <c r="AS72" s="14"/>
      <c r="AT72" s="14"/>
      <c r="AU72" s="14"/>
      <c r="AV72" s="14"/>
      <c r="AW72" s="14"/>
      <c r="AX72" s="14"/>
      <c r="AY72" s="14"/>
      <c r="AZ72" s="14"/>
      <c r="BA72" s="14"/>
      <c r="BB72" s="14"/>
      <c r="BC72" s="14"/>
      <c r="BD72" s="14"/>
      <c r="BE72" s="14"/>
      <c r="BF72" s="14"/>
      <c r="BG72" s="14"/>
      <c r="BH72" s="14"/>
      <c r="BI72" s="14"/>
    </row>
    <row r="73" spans="1:61">
      <c r="A73" s="14" t="s">
        <v>471</v>
      </c>
      <c r="B73" s="14">
        <v>16.739999999999998</v>
      </c>
      <c r="C73" s="14"/>
      <c r="D73" s="14">
        <v>46304</v>
      </c>
      <c r="E73" s="14" t="s">
        <v>242</v>
      </c>
      <c r="F73" s="14" t="s">
        <v>557</v>
      </c>
      <c r="G73" s="14" t="s">
        <v>1025</v>
      </c>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v>46048</v>
      </c>
      <c r="AK73" s="14">
        <v>14.82</v>
      </c>
      <c r="AL73" s="14" t="s">
        <v>850</v>
      </c>
      <c r="AM73" s="14" t="s">
        <v>248</v>
      </c>
      <c r="AN73" s="14">
        <f>IF('Fund Data'!$H$2,IF(ISNUMBER(AK73),AK73,NA()),NA())</f>
        <v>14.82</v>
      </c>
      <c r="AO73" s="14"/>
      <c r="AP73" s="14"/>
      <c r="AQ73" s="14"/>
      <c r="AR73" s="14"/>
      <c r="AS73" s="14"/>
      <c r="AT73" s="14"/>
      <c r="AU73" s="14"/>
      <c r="AV73" s="14"/>
      <c r="AW73" s="14"/>
      <c r="AX73" s="14"/>
      <c r="AY73" s="14"/>
      <c r="AZ73" s="14"/>
      <c r="BA73" s="14"/>
      <c r="BB73" s="14"/>
      <c r="BC73" s="14"/>
      <c r="BD73" s="14"/>
      <c r="BE73" s="14"/>
      <c r="BF73" s="14"/>
      <c r="BG73" s="14"/>
      <c r="BH73" s="14"/>
      <c r="BI73" s="14"/>
    </row>
    <row r="74" spans="1:61">
      <c r="A74" s="14" t="s">
        <v>481</v>
      </c>
      <c r="B74" s="14" t="s">
        <v>599</v>
      </c>
      <c r="C74" s="14"/>
      <c r="D74" s="14"/>
      <c r="E74" s="14"/>
      <c r="F74" s="14" t="s">
        <v>600</v>
      </c>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v>46049</v>
      </c>
      <c r="AK74" s="14">
        <v>14.87</v>
      </c>
      <c r="AL74" s="14" t="s">
        <v>850</v>
      </c>
      <c r="AM74" s="14" t="s">
        <v>248</v>
      </c>
      <c r="AN74" s="14">
        <f>IF('Fund Data'!$H$2,IF(ISNUMBER(AK74),AK74,NA()),NA())</f>
        <v>14.87</v>
      </c>
      <c r="AO74" s="14"/>
      <c r="AP74" s="14"/>
      <c r="AQ74" s="14"/>
      <c r="AR74" s="14"/>
      <c r="AS74" s="14"/>
      <c r="AT74" s="14"/>
      <c r="AU74" s="14"/>
      <c r="AV74" s="14"/>
      <c r="AW74" s="14"/>
      <c r="AX74" s="14"/>
      <c r="AY74" s="14"/>
      <c r="AZ74" s="14"/>
      <c r="BA74" s="14"/>
      <c r="BB74" s="14"/>
      <c r="BC74" s="14"/>
      <c r="BD74" s="14"/>
      <c r="BE74" s="14"/>
      <c r="BF74" s="14"/>
      <c r="BG74" s="14"/>
      <c r="BH74" s="14"/>
      <c r="BI74" s="14"/>
    </row>
    <row r="75" spans="1:61">
      <c r="A75" s="14" t="s">
        <v>486</v>
      </c>
      <c r="B75" s="14" t="s">
        <v>599</v>
      </c>
      <c r="C75" s="14"/>
      <c r="D75" s="14"/>
      <c r="E75" s="14"/>
      <c r="F75" s="14" t="s">
        <v>600</v>
      </c>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v>46050</v>
      </c>
      <c r="AK75" s="14">
        <v>14.87</v>
      </c>
      <c r="AL75" s="14" t="s">
        <v>850</v>
      </c>
      <c r="AM75" s="14" t="s">
        <v>248</v>
      </c>
      <c r="AN75" s="14">
        <f>IF('Fund Data'!$H$2,IF(ISNUMBER(AK75),AK75,NA()),NA())</f>
        <v>14.87</v>
      </c>
      <c r="AO75" s="14"/>
      <c r="AP75" s="14"/>
      <c r="AQ75" s="14"/>
      <c r="AR75" s="14"/>
      <c r="AS75" s="14"/>
      <c r="AT75" s="14"/>
      <c r="AU75" s="14"/>
      <c r="AV75" s="14"/>
      <c r="AW75" s="14"/>
      <c r="AX75" s="14"/>
      <c r="AY75" s="14"/>
      <c r="AZ75" s="14"/>
      <c r="BA75" s="14"/>
      <c r="BB75" s="14"/>
      <c r="BC75" s="14"/>
      <c r="BD75" s="14"/>
      <c r="BE75" s="14"/>
      <c r="BF75" s="14"/>
      <c r="BG75" s="14"/>
      <c r="BH75" s="14"/>
      <c r="BI75" s="14"/>
    </row>
    <row r="76" spans="1:61">
      <c r="A76" s="14" t="s">
        <v>491</v>
      </c>
      <c r="B76" s="14" t="s">
        <v>599</v>
      </c>
      <c r="C76" s="14"/>
      <c r="D76" s="14"/>
      <c r="E76" s="14"/>
      <c r="F76" s="14" t="s">
        <v>600</v>
      </c>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v>46051</v>
      </c>
      <c r="AK76" s="14">
        <v>14.84</v>
      </c>
      <c r="AL76" s="14" t="s">
        <v>850</v>
      </c>
      <c r="AM76" s="14" t="s">
        <v>248</v>
      </c>
      <c r="AN76" s="14">
        <f>IF('Fund Data'!$H$2,IF(ISNUMBER(AK76),AK76,NA()),NA())</f>
        <v>14.84</v>
      </c>
      <c r="AO76" s="14"/>
      <c r="AP76" s="14"/>
      <c r="AQ76" s="14"/>
      <c r="AR76" s="14"/>
      <c r="AS76" s="14"/>
      <c r="AT76" s="14"/>
      <c r="AU76" s="14"/>
      <c r="AV76" s="14"/>
      <c r="AW76" s="14"/>
      <c r="AX76" s="14"/>
      <c r="AY76" s="14"/>
      <c r="AZ76" s="14"/>
      <c r="BA76" s="14"/>
      <c r="BB76" s="14"/>
      <c r="BC76" s="14"/>
      <c r="BD76" s="14"/>
      <c r="BE76" s="14"/>
      <c r="BF76" s="14"/>
      <c r="BG76" s="14"/>
      <c r="BH76" s="14"/>
      <c r="BI76" s="14"/>
    </row>
    <row r="77" spans="1:61">
      <c r="A77" s="14" t="s">
        <v>494</v>
      </c>
      <c r="B77" s="14" t="s">
        <v>599</v>
      </c>
      <c r="C77" s="14"/>
      <c r="D77" s="14"/>
      <c r="E77" s="14"/>
      <c r="F77" s="14" t="s">
        <v>600</v>
      </c>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v>46052</v>
      </c>
      <c r="AK77" s="14">
        <v>14.76</v>
      </c>
      <c r="AL77" s="14" t="s">
        <v>850</v>
      </c>
      <c r="AM77" s="14" t="s">
        <v>248</v>
      </c>
      <c r="AN77" s="14">
        <f>IF('Fund Data'!$H$2,IF(ISNUMBER(AK77),AK77,NA()),NA())</f>
        <v>14.76</v>
      </c>
      <c r="AO77" s="14"/>
      <c r="AP77" s="14"/>
      <c r="AQ77" s="14"/>
      <c r="AR77" s="14"/>
      <c r="AS77" s="14"/>
      <c r="AT77" s="14"/>
      <c r="AU77" s="14"/>
      <c r="AV77" s="14"/>
      <c r="AW77" s="14"/>
      <c r="AX77" s="14"/>
      <c r="AY77" s="14"/>
      <c r="AZ77" s="14"/>
      <c r="BA77" s="14"/>
      <c r="BB77" s="14"/>
      <c r="BC77" s="14"/>
      <c r="BD77" s="14"/>
      <c r="BE77" s="14"/>
      <c r="BF77" s="14"/>
      <c r="BG77" s="14"/>
      <c r="BH77" s="14"/>
      <c r="BI77" s="14"/>
    </row>
    <row r="78" spans="1:61">
      <c r="A78" s="14" t="s">
        <v>497</v>
      </c>
      <c r="B78" s="14" t="s">
        <v>599</v>
      </c>
      <c r="C78" s="14"/>
      <c r="D78" s="14"/>
      <c r="E78" s="14"/>
      <c r="F78" s="14" t="s">
        <v>600</v>
      </c>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v>46055</v>
      </c>
      <c r="AK78" s="14">
        <v>14.84</v>
      </c>
      <c r="AL78" s="14" t="s">
        <v>850</v>
      </c>
      <c r="AM78" s="14" t="s">
        <v>248</v>
      </c>
      <c r="AN78" s="14">
        <f>IF('Fund Data'!$H$2,IF(ISNUMBER(AK78),AK78,NA()),NA())</f>
        <v>14.84</v>
      </c>
      <c r="AO78" s="14"/>
      <c r="AP78" s="14"/>
      <c r="AQ78" s="14"/>
      <c r="AR78" s="14"/>
      <c r="AS78" s="14"/>
      <c r="AT78" s="14"/>
      <c r="AU78" s="14"/>
      <c r="AV78" s="14"/>
      <c r="AW78" s="14"/>
      <c r="AX78" s="14"/>
      <c r="AY78" s="14"/>
      <c r="AZ78" s="14"/>
      <c r="BA78" s="14"/>
      <c r="BB78" s="14"/>
      <c r="BC78" s="14"/>
      <c r="BD78" s="14"/>
      <c r="BE78" s="14"/>
      <c r="BF78" s="14"/>
      <c r="BG78" s="14"/>
      <c r="BH78" s="14"/>
      <c r="BI78" s="14"/>
    </row>
    <row r="79" spans="1:61">
      <c r="A79" s="14" t="s">
        <v>505</v>
      </c>
      <c r="B79" s="14" t="s">
        <v>599</v>
      </c>
      <c r="C79" s="14"/>
      <c r="D79" s="14"/>
      <c r="E79" s="14"/>
      <c r="F79" s="14" t="s">
        <v>600</v>
      </c>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v>46056</v>
      </c>
      <c r="AK79" s="14">
        <v>14.72</v>
      </c>
      <c r="AL79" s="14" t="s">
        <v>850</v>
      </c>
      <c r="AM79" s="14" t="s">
        <v>248</v>
      </c>
      <c r="AN79" s="14">
        <f>IF('Fund Data'!$H$2,IF(ISNUMBER(AK79),AK79,NA()),NA())</f>
        <v>14.72</v>
      </c>
      <c r="AO79" s="14"/>
      <c r="AP79" s="14"/>
      <c r="AQ79" s="14"/>
      <c r="AR79" s="14"/>
      <c r="AS79" s="14"/>
      <c r="AT79" s="14"/>
      <c r="AU79" s="14"/>
      <c r="AV79" s="14"/>
      <c r="AW79" s="14"/>
      <c r="AX79" s="14"/>
      <c r="AY79" s="14"/>
      <c r="AZ79" s="14"/>
      <c r="BA79" s="14"/>
      <c r="BB79" s="14"/>
      <c r="BC79" s="14"/>
      <c r="BD79" s="14"/>
      <c r="BE79" s="14"/>
      <c r="BF79" s="14"/>
      <c r="BG79" s="14"/>
      <c r="BH79" s="14"/>
      <c r="BI79" s="14"/>
    </row>
    <row r="80" spans="1:61">
      <c r="A80" s="14" t="s">
        <v>507</v>
      </c>
      <c r="B80" s="14" t="s">
        <v>599</v>
      </c>
      <c r="C80" s="14"/>
      <c r="D80" s="14"/>
      <c r="E80" s="14"/>
      <c r="F80" s="14" t="s">
        <v>600</v>
      </c>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v>46057</v>
      </c>
      <c r="AK80" s="14">
        <v>14.65</v>
      </c>
      <c r="AL80" s="14" t="s">
        <v>850</v>
      </c>
      <c r="AM80" s="14" t="s">
        <v>248</v>
      </c>
      <c r="AN80" s="14">
        <f>IF('Fund Data'!$H$2,IF(ISNUMBER(AK80),AK80,NA()),NA())</f>
        <v>14.65</v>
      </c>
      <c r="AO80" s="14"/>
      <c r="AP80" s="14"/>
      <c r="AQ80" s="14"/>
      <c r="AR80" s="14"/>
      <c r="AS80" s="14"/>
      <c r="AT80" s="14"/>
      <c r="AU80" s="14"/>
      <c r="AV80" s="14"/>
      <c r="AW80" s="14"/>
      <c r="AX80" s="14"/>
      <c r="AY80" s="14"/>
      <c r="AZ80" s="14"/>
      <c r="BA80" s="14"/>
      <c r="BB80" s="14"/>
      <c r="BC80" s="14"/>
      <c r="BD80" s="14"/>
      <c r="BE80" s="14"/>
      <c r="BF80" s="14"/>
      <c r="BG80" s="14"/>
      <c r="BH80" s="14"/>
      <c r="BI80" s="14"/>
    </row>
    <row r="81" spans="1:61">
      <c r="A81" s="14" t="s">
        <v>509</v>
      </c>
      <c r="B81" s="14" t="s">
        <v>599</v>
      </c>
      <c r="C81" s="14"/>
      <c r="D81" s="14"/>
      <c r="E81" s="14"/>
      <c r="F81" s="14" t="s">
        <v>600</v>
      </c>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v>46058</v>
      </c>
      <c r="AK81" s="14">
        <v>14.47</v>
      </c>
      <c r="AL81" s="14" t="s">
        <v>850</v>
      </c>
      <c r="AM81" s="14" t="s">
        <v>248</v>
      </c>
      <c r="AN81" s="14">
        <f>IF('Fund Data'!$H$2,IF(ISNUMBER(AK81),AK81,NA()),NA())</f>
        <v>14.47</v>
      </c>
      <c r="AO81" s="14"/>
      <c r="AP81" s="14"/>
      <c r="AQ81" s="14"/>
      <c r="AR81" s="14"/>
      <c r="AS81" s="14"/>
      <c r="AT81" s="14"/>
      <c r="AU81" s="14"/>
      <c r="AV81" s="14"/>
      <c r="AW81" s="14"/>
      <c r="AX81" s="14"/>
      <c r="AY81" s="14"/>
      <c r="AZ81" s="14"/>
      <c r="BA81" s="14"/>
      <c r="BB81" s="14"/>
      <c r="BC81" s="14"/>
      <c r="BD81" s="14"/>
      <c r="BE81" s="14"/>
      <c r="BF81" s="14"/>
      <c r="BG81" s="14"/>
      <c r="BH81" s="14"/>
      <c r="BI81" s="14"/>
    </row>
    <row r="82" spans="1:61">
      <c r="A82" s="14" t="s">
        <v>511</v>
      </c>
      <c r="B82" s="14" t="s">
        <v>599</v>
      </c>
      <c r="C82" s="14"/>
      <c r="D82" s="14"/>
      <c r="E82" s="14"/>
      <c r="F82" s="14" t="s">
        <v>600</v>
      </c>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v>46059</v>
      </c>
      <c r="AK82" s="14">
        <v>14.77</v>
      </c>
      <c r="AL82" s="14" t="s">
        <v>850</v>
      </c>
      <c r="AM82" s="14" t="s">
        <v>248</v>
      </c>
      <c r="AN82" s="14">
        <f>IF('Fund Data'!$H$2,IF(ISNUMBER(AK82),AK82,NA()),NA())</f>
        <v>14.77</v>
      </c>
      <c r="AO82" s="14"/>
      <c r="AP82" s="14"/>
      <c r="AQ82" s="14"/>
      <c r="AR82" s="14"/>
      <c r="AS82" s="14"/>
      <c r="AT82" s="14"/>
      <c r="AU82" s="14"/>
      <c r="AV82" s="14"/>
      <c r="AW82" s="14"/>
      <c r="AX82" s="14"/>
      <c r="AY82" s="14"/>
      <c r="AZ82" s="14"/>
      <c r="BA82" s="14"/>
      <c r="BB82" s="14"/>
      <c r="BC82" s="14"/>
      <c r="BD82" s="14"/>
      <c r="BE82" s="14"/>
      <c r="BF82" s="14"/>
      <c r="BG82" s="14"/>
      <c r="BH82" s="14"/>
      <c r="BI82" s="14"/>
    </row>
    <row r="83" spans="1:61">
      <c r="A83" s="14" t="s">
        <v>513</v>
      </c>
      <c r="B83" s="14" t="s">
        <v>599</v>
      </c>
      <c r="C83" s="14"/>
      <c r="D83" s="14"/>
      <c r="E83" s="14"/>
      <c r="F83" s="14" t="s">
        <v>600</v>
      </c>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v>46062</v>
      </c>
      <c r="AK83" s="14">
        <v>14.85</v>
      </c>
      <c r="AL83" s="14" t="s">
        <v>850</v>
      </c>
      <c r="AM83" s="14" t="s">
        <v>248</v>
      </c>
      <c r="AN83" s="14">
        <f>IF('Fund Data'!$H$2,IF(ISNUMBER(AK83),AK83,NA()),NA())</f>
        <v>14.85</v>
      </c>
      <c r="AO83" s="14"/>
      <c r="AP83" s="14"/>
      <c r="AQ83" s="14"/>
      <c r="AR83" s="14"/>
      <c r="AS83" s="14"/>
      <c r="AT83" s="14"/>
      <c r="AU83" s="14"/>
      <c r="AV83" s="14"/>
      <c r="AW83" s="14"/>
      <c r="AX83" s="14"/>
      <c r="AY83" s="14"/>
      <c r="AZ83" s="14"/>
      <c r="BA83" s="14"/>
      <c r="BB83" s="14"/>
      <c r="BC83" s="14"/>
      <c r="BD83" s="14"/>
      <c r="BE83" s="14"/>
      <c r="BF83" s="14"/>
      <c r="BG83" s="14"/>
      <c r="BH83" s="14"/>
      <c r="BI83" s="14"/>
    </row>
    <row r="84" spans="1:61">
      <c r="A84" s="14" t="s">
        <v>516</v>
      </c>
      <c r="B84" s="14" t="s">
        <v>599</v>
      </c>
      <c r="C84" s="14"/>
      <c r="D84" s="14"/>
      <c r="E84" s="14"/>
      <c r="F84" s="14" t="s">
        <v>600</v>
      </c>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v>46063</v>
      </c>
      <c r="AK84" s="14">
        <v>14.8</v>
      </c>
      <c r="AL84" s="14" t="s">
        <v>850</v>
      </c>
      <c r="AM84" s="14" t="s">
        <v>248</v>
      </c>
      <c r="AN84" s="14">
        <f>IF('Fund Data'!$H$2,IF(ISNUMBER(AK84),AK84,NA()),NA())</f>
        <v>14.8</v>
      </c>
      <c r="AO84" s="14"/>
      <c r="AP84" s="14"/>
      <c r="AQ84" s="14"/>
      <c r="AR84" s="14"/>
      <c r="AS84" s="14"/>
      <c r="AT84" s="14"/>
      <c r="AU84" s="14"/>
      <c r="AV84" s="14"/>
      <c r="AW84" s="14"/>
      <c r="AX84" s="14"/>
      <c r="AY84" s="14"/>
      <c r="AZ84" s="14"/>
      <c r="BA84" s="14"/>
      <c r="BB84" s="14"/>
      <c r="BC84" s="14"/>
      <c r="BD84" s="14"/>
      <c r="BE84" s="14"/>
      <c r="BF84" s="14"/>
      <c r="BG84" s="14"/>
      <c r="BH84" s="14"/>
      <c r="BI84" s="14"/>
    </row>
    <row r="85" spans="1:61">
      <c r="A85" s="14" t="s">
        <v>518</v>
      </c>
      <c r="B85" s="14" t="s">
        <v>599</v>
      </c>
      <c r="C85" s="14"/>
      <c r="D85" s="14"/>
      <c r="E85" s="14"/>
      <c r="F85" s="14" t="s">
        <v>600</v>
      </c>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v>46064</v>
      </c>
      <c r="AK85" s="14">
        <v>14.8</v>
      </c>
      <c r="AL85" s="14" t="s">
        <v>850</v>
      </c>
      <c r="AM85" s="14" t="s">
        <v>248</v>
      </c>
      <c r="AN85" s="14">
        <f>IF('Fund Data'!$H$2,IF(ISNUMBER(AK85),AK85,NA()),NA())</f>
        <v>14.8</v>
      </c>
      <c r="AO85" s="14"/>
      <c r="AP85" s="14"/>
      <c r="AQ85" s="14"/>
      <c r="AR85" s="14"/>
      <c r="AS85" s="14"/>
      <c r="AT85" s="14"/>
      <c r="AU85" s="14"/>
      <c r="AV85" s="14"/>
      <c r="AW85" s="14"/>
      <c r="AX85" s="14"/>
      <c r="AY85" s="14"/>
      <c r="AZ85" s="14"/>
      <c r="BA85" s="14"/>
      <c r="BB85" s="14"/>
      <c r="BC85" s="14"/>
      <c r="BD85" s="14"/>
      <c r="BE85" s="14"/>
      <c r="BF85" s="14"/>
      <c r="BG85" s="14"/>
      <c r="BH85" s="14"/>
      <c r="BI85" s="14"/>
    </row>
    <row r="86" spans="1:61">
      <c r="A86" s="14" t="s">
        <v>520</v>
      </c>
      <c r="B86" s="14" t="s">
        <v>599</v>
      </c>
      <c r="C86" s="14"/>
      <c r="D86" s="14"/>
      <c r="E86" s="14"/>
      <c r="F86" s="14" t="s">
        <v>600</v>
      </c>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v>46065</v>
      </c>
      <c r="AK86" s="14">
        <v>14.56</v>
      </c>
      <c r="AL86" s="14" t="s">
        <v>850</v>
      </c>
      <c r="AM86" s="14" t="s">
        <v>248</v>
      </c>
      <c r="AN86" s="14">
        <f>IF('Fund Data'!$H$2,IF(ISNUMBER(AK86),AK86,NA()),NA())</f>
        <v>14.56</v>
      </c>
      <c r="AO86" s="14"/>
      <c r="AP86" s="14"/>
      <c r="AQ86" s="14"/>
      <c r="AR86" s="14"/>
      <c r="AS86" s="14"/>
      <c r="AT86" s="14"/>
      <c r="AU86" s="14"/>
      <c r="AV86" s="14"/>
      <c r="AW86" s="14"/>
      <c r="AX86" s="14"/>
      <c r="AY86" s="14"/>
      <c r="AZ86" s="14"/>
      <c r="BA86" s="14"/>
      <c r="BB86" s="14"/>
      <c r="BC86" s="14"/>
      <c r="BD86" s="14"/>
      <c r="BE86" s="14"/>
      <c r="BF86" s="14"/>
      <c r="BG86" s="14"/>
      <c r="BH86" s="14"/>
      <c r="BI86" s="14"/>
    </row>
    <row r="87" spans="1:61">
      <c r="A87" s="14" t="s">
        <v>522</v>
      </c>
      <c r="B87" s="14" t="s">
        <v>599</v>
      </c>
      <c r="C87" s="14"/>
      <c r="D87" s="14"/>
      <c r="E87" s="14"/>
      <c r="F87" s="14" t="s">
        <v>600</v>
      </c>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v>46066</v>
      </c>
      <c r="AK87" s="14">
        <v>14.58</v>
      </c>
      <c r="AL87" s="14" t="s">
        <v>850</v>
      </c>
      <c r="AM87" s="14" t="s">
        <v>248</v>
      </c>
      <c r="AN87" s="14">
        <f>IF('Fund Data'!$H$2,IF(ISNUMBER(AK87),AK87,NA()),NA())</f>
        <v>14.58</v>
      </c>
      <c r="AO87" s="14"/>
      <c r="AP87" s="14"/>
      <c r="AQ87" s="14"/>
      <c r="AR87" s="14"/>
      <c r="AS87" s="14"/>
      <c r="AT87" s="14"/>
      <c r="AU87" s="14"/>
      <c r="AV87" s="14"/>
      <c r="AW87" s="14"/>
      <c r="AX87" s="14"/>
      <c r="AY87" s="14"/>
      <c r="AZ87" s="14"/>
      <c r="BA87" s="14"/>
      <c r="BB87" s="14"/>
      <c r="BC87" s="14"/>
      <c r="BD87" s="14"/>
      <c r="BE87" s="14"/>
      <c r="BF87" s="14"/>
      <c r="BG87" s="14"/>
      <c r="BH87" s="14"/>
      <c r="BI87" s="14"/>
    </row>
    <row r="88" spans="1:61">
      <c r="A88" s="14" t="s">
        <v>86</v>
      </c>
      <c r="B88" s="14" t="s">
        <v>979</v>
      </c>
      <c r="C88" s="14"/>
      <c r="D88" s="14"/>
      <c r="E88" s="14" t="s">
        <v>878</v>
      </c>
      <c r="F88" s="14" t="s">
        <v>608</v>
      </c>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v>46070</v>
      </c>
      <c r="AK88" s="14">
        <v>14.6</v>
      </c>
      <c r="AL88" s="14" t="s">
        <v>850</v>
      </c>
      <c r="AM88" s="14" t="s">
        <v>248</v>
      </c>
      <c r="AN88" s="14">
        <f>IF('Fund Data'!$H$2,IF(ISNUMBER(AK88),AK88,NA()),NA())</f>
        <v>14.6</v>
      </c>
      <c r="AO88" s="14"/>
      <c r="AP88" s="14"/>
      <c r="AQ88" s="14"/>
      <c r="AR88" s="14"/>
      <c r="AS88" s="14"/>
      <c r="AT88" s="14"/>
      <c r="AU88" s="14"/>
      <c r="AV88" s="14"/>
      <c r="AW88" s="14"/>
      <c r="AX88" s="14"/>
      <c r="AY88" s="14"/>
      <c r="AZ88" s="14"/>
      <c r="BA88" s="14"/>
      <c r="BB88" s="14"/>
      <c r="BC88" s="14"/>
      <c r="BD88" s="14"/>
      <c r="BE88" s="14"/>
      <c r="BF88" s="14"/>
      <c r="BG88" s="14"/>
      <c r="BH88" s="14"/>
      <c r="BI88" s="14"/>
    </row>
    <row r="89" spans="1:61">
      <c r="A89" s="14" t="s">
        <v>609</v>
      </c>
      <c r="B89" s="14" t="s">
        <v>225</v>
      </c>
      <c r="C89" s="14"/>
      <c r="D89" s="14"/>
      <c r="E89" s="14" t="s">
        <v>878</v>
      </c>
      <c r="F89" s="14" t="s">
        <v>608</v>
      </c>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v>46071</v>
      </c>
      <c r="AK89" s="14">
        <v>14.68</v>
      </c>
      <c r="AL89" s="14" t="s">
        <v>850</v>
      </c>
      <c r="AM89" s="14" t="s">
        <v>248</v>
      </c>
      <c r="AN89" s="14">
        <f>IF('Fund Data'!$H$2,IF(ISNUMBER(AK89),AK89,NA()),NA())</f>
        <v>14.68</v>
      </c>
      <c r="AO89" s="14"/>
      <c r="AP89" s="14"/>
      <c r="AQ89" s="14"/>
      <c r="AR89" s="14"/>
      <c r="AS89" s="14"/>
      <c r="AT89" s="14"/>
      <c r="AU89" s="14"/>
      <c r="AV89" s="14"/>
      <c r="AW89" s="14"/>
      <c r="AX89" s="14"/>
      <c r="AY89" s="14"/>
      <c r="AZ89" s="14"/>
      <c r="BA89" s="14"/>
      <c r="BB89" s="14"/>
      <c r="BC89" s="14"/>
      <c r="BD89" s="14"/>
      <c r="BE89" s="14"/>
      <c r="BF89" s="14"/>
      <c r="BG89" s="14"/>
      <c r="BH89" s="14"/>
      <c r="BI89" s="14"/>
    </row>
    <row r="90" spans="1:61">
      <c r="A90" s="14" t="s">
        <v>556</v>
      </c>
      <c r="B90" s="14">
        <v>46307.769432870373</v>
      </c>
      <c r="C90" s="14" t="s">
        <v>892</v>
      </c>
      <c r="D90" s="14"/>
      <c r="E90" s="14" t="s">
        <v>893</v>
      </c>
      <c r="F90" s="14" t="s">
        <v>611</v>
      </c>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v>46072</v>
      </c>
      <c r="AK90" s="14">
        <v>14.65</v>
      </c>
      <c r="AL90" s="14" t="s">
        <v>850</v>
      </c>
      <c r="AM90" s="14" t="s">
        <v>248</v>
      </c>
      <c r="AN90" s="14">
        <f>IF('Fund Data'!$H$2,IF(ISNUMBER(AK90),AK90,NA()),NA())</f>
        <v>14.65</v>
      </c>
      <c r="AO90" s="14"/>
      <c r="AP90" s="14"/>
      <c r="AQ90" s="14"/>
      <c r="AR90" s="14"/>
      <c r="AS90" s="14"/>
      <c r="AT90" s="14"/>
      <c r="AU90" s="14"/>
      <c r="AV90" s="14"/>
      <c r="AW90" s="14"/>
      <c r="AX90" s="14"/>
      <c r="AY90" s="14"/>
      <c r="AZ90" s="14"/>
      <c r="BA90" s="14"/>
      <c r="BB90" s="14"/>
      <c r="BC90" s="14"/>
      <c r="BD90" s="14"/>
      <c r="BE90" s="14"/>
      <c r="BF90" s="14"/>
      <c r="BG90" s="14"/>
      <c r="BH90" s="14"/>
      <c r="BI90" s="14"/>
    </row>
    <row r="91" spans="1:61">
      <c r="A91" s="14" t="s">
        <v>612</v>
      </c>
      <c r="B91" s="14">
        <v>46265</v>
      </c>
      <c r="C91" s="14"/>
      <c r="D91" s="14">
        <v>46265</v>
      </c>
      <c r="E91" s="14" t="s">
        <v>227</v>
      </c>
      <c r="F91" s="14" t="s">
        <v>557</v>
      </c>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v>46073</v>
      </c>
      <c r="AK91" s="14">
        <v>14.74</v>
      </c>
      <c r="AL91" s="14" t="s">
        <v>850</v>
      </c>
      <c r="AM91" s="14" t="s">
        <v>248</v>
      </c>
      <c r="AN91" s="14">
        <f>IF('Fund Data'!$H$2,IF(ISNUMBER(AK91),AK91,NA()),NA())</f>
        <v>14.74</v>
      </c>
      <c r="AO91" s="14"/>
      <c r="AP91" s="14"/>
      <c r="AQ91" s="14"/>
      <c r="AR91" s="14"/>
      <c r="AS91" s="14"/>
      <c r="AT91" s="14"/>
      <c r="AU91" s="14"/>
      <c r="AV91" s="14"/>
      <c r="AW91" s="14"/>
      <c r="AX91" s="14"/>
      <c r="AY91" s="14"/>
      <c r="AZ91" s="14"/>
      <c r="BA91" s="14"/>
      <c r="BB91" s="14"/>
      <c r="BC91" s="14"/>
      <c r="BD91" s="14"/>
      <c r="BE91" s="14"/>
      <c r="BF91" s="14"/>
      <c r="BG91" s="14"/>
      <c r="BH91" s="14"/>
      <c r="BI91" s="14"/>
    </row>
    <row r="92" spans="1:61">
      <c r="A92" s="14" t="s">
        <v>613</v>
      </c>
      <c r="B92" s="14">
        <v>46295</v>
      </c>
      <c r="C92" s="14"/>
      <c r="D92" s="14">
        <v>46295</v>
      </c>
      <c r="E92" s="14" t="s">
        <v>232</v>
      </c>
      <c r="F92" s="14" t="s">
        <v>557</v>
      </c>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v>46076</v>
      </c>
      <c r="AK92" s="14">
        <v>14.57</v>
      </c>
      <c r="AL92" s="14" t="s">
        <v>850</v>
      </c>
      <c r="AM92" s="14" t="s">
        <v>248</v>
      </c>
      <c r="AN92" s="14">
        <f>IF('Fund Data'!$H$2,IF(ISNUMBER(AK92),AK92,NA()),NA())</f>
        <v>14.57</v>
      </c>
      <c r="AO92" s="14"/>
      <c r="AP92" s="14"/>
      <c r="AQ92" s="14"/>
      <c r="AR92" s="14"/>
      <c r="AS92" s="14"/>
      <c r="AT92" s="14"/>
      <c r="AU92" s="14"/>
      <c r="AV92" s="14"/>
      <c r="AW92" s="14"/>
      <c r="AX92" s="14"/>
      <c r="AY92" s="14"/>
      <c r="AZ92" s="14"/>
      <c r="BA92" s="14"/>
      <c r="BB92" s="14"/>
      <c r="BC92" s="14"/>
      <c r="BD92" s="14"/>
      <c r="BE92" s="14"/>
      <c r="BF92" s="14"/>
      <c r="BG92" s="14"/>
      <c r="BH92" s="14"/>
      <c r="BI92" s="14"/>
    </row>
    <row r="93" spans="1:61">
      <c r="A93" s="14" t="s">
        <v>614</v>
      </c>
      <c r="B93" s="14" t="s">
        <v>599</v>
      </c>
      <c r="C93" s="14"/>
      <c r="D93" s="14"/>
      <c r="E93" s="14"/>
      <c r="F93" s="14" t="s">
        <v>600</v>
      </c>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v>46077</v>
      </c>
      <c r="AK93" s="14">
        <v>14.69</v>
      </c>
      <c r="AL93" s="14" t="s">
        <v>850</v>
      </c>
      <c r="AM93" s="14" t="s">
        <v>248</v>
      </c>
      <c r="AN93" s="14">
        <f>IF('Fund Data'!$H$2,IF(ISNUMBER(AK93),AK93,NA()),NA())</f>
        <v>14.69</v>
      </c>
      <c r="AO93" s="14"/>
      <c r="AP93" s="14"/>
      <c r="AQ93" s="14"/>
      <c r="AR93" s="14"/>
      <c r="AS93" s="14"/>
      <c r="AT93" s="14"/>
      <c r="AU93" s="14"/>
      <c r="AV93" s="14"/>
      <c r="AW93" s="14"/>
      <c r="AX93" s="14"/>
      <c r="AY93" s="14"/>
      <c r="AZ93" s="14"/>
      <c r="BA93" s="14"/>
      <c r="BB93" s="14"/>
      <c r="BC93" s="14"/>
      <c r="BD93" s="14"/>
      <c r="BE93" s="14"/>
      <c r="BF93" s="14"/>
      <c r="BG93" s="14"/>
      <c r="BH93" s="14"/>
      <c r="BI93" s="14"/>
    </row>
    <row r="94" spans="1:61">
      <c r="A94" s="14" t="s">
        <v>615</v>
      </c>
      <c r="B94" s="14">
        <v>46295</v>
      </c>
      <c r="C94" s="14"/>
      <c r="D94" s="14">
        <v>46295</v>
      </c>
      <c r="E94" s="14" t="s">
        <v>221</v>
      </c>
      <c r="F94" s="14" t="s">
        <v>557</v>
      </c>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v>46078</v>
      </c>
      <c r="AK94" s="14">
        <v>14.81</v>
      </c>
      <c r="AL94" s="14" t="s">
        <v>850</v>
      </c>
      <c r="AM94" s="14" t="s">
        <v>248</v>
      </c>
      <c r="AN94" s="14">
        <f>IF('Fund Data'!$H$2,IF(ISNUMBER(AK94),AK94,NA()),NA())</f>
        <v>14.81</v>
      </c>
      <c r="AO94" s="14"/>
      <c r="AP94" s="14"/>
      <c r="AQ94" s="14"/>
      <c r="AR94" s="14"/>
      <c r="AS94" s="14"/>
      <c r="AT94" s="14"/>
      <c r="AU94" s="14"/>
      <c r="AV94" s="14"/>
      <c r="AW94" s="14"/>
      <c r="AX94" s="14"/>
      <c r="AY94" s="14"/>
      <c r="AZ94" s="14"/>
      <c r="BA94" s="14"/>
      <c r="BB94" s="14"/>
      <c r="BC94" s="14"/>
      <c r="BD94" s="14"/>
      <c r="BE94" s="14"/>
      <c r="BF94" s="14"/>
      <c r="BG94" s="14"/>
      <c r="BH94" s="14"/>
      <c r="BI94" s="14"/>
    </row>
    <row r="95" spans="1:61">
      <c r="A95" s="14" t="s">
        <v>616</v>
      </c>
      <c r="B95" s="14" t="s">
        <v>1030</v>
      </c>
      <c r="C95" s="14"/>
      <c r="D95" s="14"/>
      <c r="E95" s="14" t="s">
        <v>889</v>
      </c>
      <c r="F95" s="14" t="s">
        <v>618</v>
      </c>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v>46079</v>
      </c>
      <c r="AK95" s="14">
        <v>14.75</v>
      </c>
      <c r="AL95" s="14" t="s">
        <v>850</v>
      </c>
      <c r="AM95" s="14" t="s">
        <v>248</v>
      </c>
      <c r="AN95" s="14">
        <f>IF('Fund Data'!$H$2,IF(ISNUMBER(AK95),AK95,NA()),NA())</f>
        <v>14.75</v>
      </c>
      <c r="AO95" s="14"/>
      <c r="AP95" s="14"/>
      <c r="AQ95" s="14"/>
      <c r="AR95" s="14"/>
      <c r="AS95" s="14"/>
      <c r="AT95" s="14"/>
      <c r="AU95" s="14"/>
      <c r="AV95" s="14"/>
      <c r="AW95" s="14"/>
      <c r="AX95" s="14"/>
      <c r="AY95" s="14"/>
      <c r="AZ95" s="14"/>
      <c r="BA95" s="14"/>
      <c r="BB95" s="14"/>
      <c r="BC95" s="14"/>
      <c r="BD95" s="14"/>
      <c r="BE95" s="14"/>
      <c r="BF95" s="14"/>
      <c r="BG95" s="14"/>
      <c r="BH95" s="14"/>
      <c r="BI95" s="14"/>
    </row>
    <row r="96" spans="1:61">
      <c r="A96" s="14" t="s">
        <v>619</v>
      </c>
      <c r="B96" s="14" t="s">
        <v>620</v>
      </c>
      <c r="C96" s="14"/>
      <c r="D96" s="14"/>
      <c r="E96" s="14" t="s">
        <v>890</v>
      </c>
      <c r="F96" s="14" t="s">
        <v>621</v>
      </c>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v>46080</v>
      </c>
      <c r="AK96" s="14">
        <v>14.68</v>
      </c>
      <c r="AL96" s="14" t="s">
        <v>850</v>
      </c>
      <c r="AM96" s="14" t="s">
        <v>248</v>
      </c>
      <c r="AN96" s="14">
        <f>IF('Fund Data'!$H$2,IF(ISNUMBER(AK96),AK96,NA()),NA())</f>
        <v>14.68</v>
      </c>
      <c r="AO96" s="14"/>
      <c r="AP96" s="14"/>
      <c r="AQ96" s="14"/>
      <c r="AR96" s="14"/>
      <c r="AS96" s="14"/>
      <c r="AT96" s="14"/>
      <c r="AU96" s="14"/>
      <c r="AV96" s="14"/>
      <c r="AW96" s="14"/>
      <c r="AX96" s="14"/>
      <c r="AY96" s="14"/>
      <c r="AZ96" s="14"/>
      <c r="BA96" s="14"/>
      <c r="BB96" s="14"/>
      <c r="BC96" s="14"/>
      <c r="BD96" s="14"/>
      <c r="BE96" s="14"/>
      <c r="BF96" s="14"/>
      <c r="BG96" s="14"/>
      <c r="BH96" s="14"/>
      <c r="BI96" s="14"/>
    </row>
    <row r="97" spans="1:61">
      <c r="A97" s="14" t="s">
        <v>622</v>
      </c>
      <c r="B97" s="14" t="s">
        <v>860</v>
      </c>
      <c r="C97" s="14"/>
      <c r="D97" s="14"/>
      <c r="E97" s="14" t="s">
        <v>891</v>
      </c>
      <c r="F97" s="14" t="s">
        <v>617</v>
      </c>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v>46083</v>
      </c>
      <c r="AK97" s="14">
        <v>14.69</v>
      </c>
      <c r="AL97" s="14" t="s">
        <v>850</v>
      </c>
      <c r="AM97" s="14" t="s">
        <v>248</v>
      </c>
      <c r="AN97" s="14">
        <f>IF('Fund Data'!$H$2,IF(ISNUMBER(AK97),AK97,NA()),NA())</f>
        <v>14.69</v>
      </c>
      <c r="AO97" s="14"/>
      <c r="AP97" s="14"/>
      <c r="AQ97" s="14"/>
      <c r="AR97" s="14"/>
      <c r="AS97" s="14"/>
      <c r="AT97" s="14"/>
      <c r="AU97" s="14"/>
      <c r="AV97" s="14"/>
      <c r="AW97" s="14"/>
      <c r="AX97" s="14"/>
      <c r="AY97" s="14"/>
      <c r="AZ97" s="14"/>
      <c r="BA97" s="14"/>
      <c r="BB97" s="14"/>
      <c r="BC97" s="14"/>
      <c r="BD97" s="14"/>
      <c r="BE97" s="14"/>
      <c r="BF97" s="14"/>
      <c r="BG97" s="14"/>
      <c r="BH97" s="14"/>
      <c r="BI97" s="14"/>
    </row>
    <row r="98" spans="1:61">
      <c r="A98" s="14" t="s">
        <v>624</v>
      </c>
      <c r="B98" s="14" t="s">
        <v>599</v>
      </c>
      <c r="C98" s="14"/>
      <c r="D98" s="14"/>
      <c r="E98" s="14"/>
      <c r="F98" s="14" t="s">
        <v>600</v>
      </c>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v>46084</v>
      </c>
      <c r="AK98" s="14">
        <v>14.54</v>
      </c>
      <c r="AL98" s="14" t="s">
        <v>850</v>
      </c>
      <c r="AM98" s="14" t="s">
        <v>248</v>
      </c>
      <c r="AN98" s="14">
        <f>IF('Fund Data'!$H$2,IF(ISNUMBER(AK98),AK98,NA()),NA())</f>
        <v>14.54</v>
      </c>
      <c r="AO98" s="14"/>
      <c r="AP98" s="14"/>
      <c r="AQ98" s="14"/>
      <c r="AR98" s="14"/>
      <c r="AS98" s="14"/>
      <c r="AT98" s="14"/>
      <c r="AU98" s="14"/>
      <c r="AV98" s="14"/>
      <c r="AW98" s="14"/>
      <c r="AX98" s="14"/>
      <c r="AY98" s="14"/>
      <c r="AZ98" s="14"/>
      <c r="BA98" s="14"/>
      <c r="BB98" s="14"/>
      <c r="BC98" s="14"/>
      <c r="BD98" s="14"/>
      <c r="BE98" s="14"/>
      <c r="BF98" s="14"/>
      <c r="BG98" s="14"/>
      <c r="BH98" s="14"/>
      <c r="BI98" s="14"/>
    </row>
    <row r="99" spans="1:61">
      <c r="A99" s="14" t="s">
        <v>625</v>
      </c>
      <c r="B99" s="14" t="s">
        <v>599</v>
      </c>
      <c r="C99" s="14"/>
      <c r="D99" s="14"/>
      <c r="E99" s="14"/>
      <c r="F99" s="14" t="s">
        <v>600</v>
      </c>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v>46085</v>
      </c>
      <c r="AK99" s="14">
        <v>14.65</v>
      </c>
      <c r="AL99" s="14" t="s">
        <v>850</v>
      </c>
      <c r="AM99" s="14" t="s">
        <v>248</v>
      </c>
      <c r="AN99" s="14">
        <f>IF('Fund Data'!$H$2,IF(ISNUMBER(AK99),AK99,NA()),NA())</f>
        <v>14.65</v>
      </c>
      <c r="AO99" s="14"/>
      <c r="AP99" s="14"/>
      <c r="AQ99" s="14"/>
      <c r="AR99" s="14"/>
      <c r="AS99" s="14"/>
      <c r="AT99" s="14"/>
      <c r="AU99" s="14"/>
      <c r="AV99" s="14"/>
      <c r="AW99" s="14"/>
      <c r="AX99" s="14"/>
      <c r="AY99" s="14"/>
      <c r="AZ99" s="14"/>
      <c r="BA99" s="14"/>
      <c r="BB99" s="14"/>
      <c r="BC99" s="14"/>
      <c r="BD99" s="14"/>
      <c r="BE99" s="14"/>
      <c r="BF99" s="14"/>
      <c r="BG99" s="14"/>
      <c r="BH99" s="14"/>
      <c r="BI99" s="14"/>
    </row>
    <row r="100" spans="1:61">
      <c r="A100" s="14" t="s">
        <v>626</v>
      </c>
      <c r="B100" s="14" t="s">
        <v>599</v>
      </c>
      <c r="C100" s="14"/>
      <c r="D100" s="14"/>
      <c r="E100" s="14"/>
      <c r="F100" s="14" t="s">
        <v>600</v>
      </c>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v>46086</v>
      </c>
      <c r="AK100" s="14">
        <v>14.56</v>
      </c>
      <c r="AL100" s="14" t="s">
        <v>850</v>
      </c>
      <c r="AM100" s="14" t="s">
        <v>248</v>
      </c>
      <c r="AN100" s="14">
        <f>IF('Fund Data'!$H$2,IF(ISNUMBER(AK100),AK100,NA()),NA())</f>
        <v>14.56</v>
      </c>
      <c r="AO100" s="14"/>
      <c r="AP100" s="14"/>
      <c r="AQ100" s="14"/>
      <c r="AR100" s="14"/>
      <c r="AS100" s="14"/>
      <c r="AT100" s="14"/>
      <c r="AU100" s="14"/>
      <c r="AV100" s="14"/>
      <c r="AW100" s="14"/>
      <c r="AX100" s="14"/>
      <c r="AY100" s="14"/>
      <c r="AZ100" s="14"/>
      <c r="BA100" s="14"/>
      <c r="BB100" s="14"/>
      <c r="BC100" s="14"/>
      <c r="BD100" s="14"/>
      <c r="BE100" s="14"/>
      <c r="BF100" s="14"/>
      <c r="BG100" s="14"/>
      <c r="BH100" s="14"/>
      <c r="BI100" s="14"/>
    </row>
    <row r="101" spans="1:61">
      <c r="A101" s="14" t="s">
        <v>627</v>
      </c>
      <c r="B101" s="14" t="s">
        <v>628</v>
      </c>
      <c r="C101" s="14"/>
      <c r="D101" s="14"/>
      <c r="E101" s="14" t="s">
        <v>629</v>
      </c>
      <c r="F101" s="14" t="s">
        <v>630</v>
      </c>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v>46087</v>
      </c>
      <c r="AK101" s="14">
        <v>14.36</v>
      </c>
      <c r="AL101" s="14" t="s">
        <v>850</v>
      </c>
      <c r="AM101" s="14" t="s">
        <v>248</v>
      </c>
      <c r="AN101" s="14">
        <f>IF('Fund Data'!$H$2,IF(ISNUMBER(AK101),AK101,NA()),NA())</f>
        <v>14.36</v>
      </c>
      <c r="AO101" s="14"/>
      <c r="AP101" s="14"/>
      <c r="AQ101" s="14"/>
      <c r="AR101" s="14"/>
      <c r="AS101" s="14"/>
      <c r="AT101" s="14"/>
      <c r="AU101" s="14"/>
      <c r="AV101" s="14"/>
      <c r="AW101" s="14"/>
      <c r="AX101" s="14"/>
      <c r="AY101" s="14"/>
      <c r="AZ101" s="14"/>
      <c r="BA101" s="14"/>
      <c r="BB101" s="14"/>
      <c r="BC101" s="14"/>
      <c r="BD101" s="14"/>
      <c r="BE101" s="14"/>
      <c r="BF101" s="14"/>
      <c r="BG101" s="14"/>
      <c r="BH101" s="14"/>
      <c r="BI101" s="14"/>
    </row>
    <row r="102" spans="1:61">
      <c r="A102" s="14" t="s">
        <v>631</v>
      </c>
      <c r="B102" s="14" t="s">
        <v>628</v>
      </c>
      <c r="C102" s="14"/>
      <c r="D102" s="14"/>
      <c r="E102" s="14" t="s">
        <v>629</v>
      </c>
      <c r="F102" s="14" t="s">
        <v>630</v>
      </c>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v>46090</v>
      </c>
      <c r="AK102" s="14">
        <v>14.49</v>
      </c>
      <c r="AL102" s="14" t="s">
        <v>850</v>
      </c>
      <c r="AM102" s="14" t="s">
        <v>248</v>
      </c>
      <c r="AN102" s="14">
        <f>IF('Fund Data'!$H$2,IF(ISNUMBER(AK102),AK102,NA()),NA())</f>
        <v>14.49</v>
      </c>
      <c r="AO102" s="14"/>
      <c r="AP102" s="14"/>
      <c r="AQ102" s="14"/>
      <c r="AR102" s="14"/>
      <c r="AS102" s="14"/>
      <c r="AT102" s="14"/>
      <c r="AU102" s="14"/>
      <c r="AV102" s="14"/>
      <c r="AW102" s="14"/>
      <c r="AX102" s="14"/>
      <c r="AY102" s="14"/>
      <c r="AZ102" s="14"/>
      <c r="BA102" s="14"/>
      <c r="BB102" s="14"/>
      <c r="BC102" s="14"/>
      <c r="BD102" s="14"/>
      <c r="BE102" s="14"/>
      <c r="BF102" s="14"/>
      <c r="BG102" s="14"/>
      <c r="BH102" s="14"/>
      <c r="BI102" s="14"/>
    </row>
    <row r="103" spans="1:61">
      <c r="A103" s="14" t="s">
        <v>632</v>
      </c>
      <c r="B103" s="14" t="s">
        <v>557</v>
      </c>
      <c r="C103" s="14" t="s">
        <v>880</v>
      </c>
      <c r="D103" s="14">
        <v>45810.757372685184</v>
      </c>
      <c r="E103" s="14" t="s">
        <v>589</v>
      </c>
      <c r="F103" s="14" t="s">
        <v>566</v>
      </c>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v>46091</v>
      </c>
      <c r="AK103" s="14">
        <v>14.46</v>
      </c>
      <c r="AL103" s="14" t="s">
        <v>850</v>
      </c>
      <c r="AM103" s="14" t="s">
        <v>248</v>
      </c>
      <c r="AN103" s="14">
        <f>IF('Fund Data'!$H$2,IF(ISNUMBER(AK103),AK103,NA()),NA())</f>
        <v>14.46</v>
      </c>
      <c r="AO103" s="14"/>
      <c r="AP103" s="14"/>
      <c r="AQ103" s="14"/>
      <c r="AR103" s="14"/>
      <c r="AS103" s="14"/>
      <c r="AT103" s="14"/>
      <c r="AU103" s="14"/>
      <c r="AV103" s="14"/>
      <c r="AW103" s="14"/>
      <c r="AX103" s="14"/>
      <c r="AY103" s="14"/>
      <c r="AZ103" s="14"/>
      <c r="BA103" s="14"/>
      <c r="BB103" s="14"/>
      <c r="BC103" s="14"/>
      <c r="BD103" s="14"/>
      <c r="BE103" s="14"/>
      <c r="BF103" s="14"/>
      <c r="BG103" s="14"/>
      <c r="BH103" s="14"/>
      <c r="BI103" s="14"/>
    </row>
    <row r="104" spans="1:61">
      <c r="A104" s="14" t="s">
        <v>633</v>
      </c>
      <c r="B104" s="14" t="s">
        <v>979</v>
      </c>
      <c r="C104" s="14"/>
      <c r="D104" s="14"/>
      <c r="E104" s="14" t="s">
        <v>589</v>
      </c>
      <c r="F104" s="14" t="s">
        <v>879</v>
      </c>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v>46092</v>
      </c>
      <c r="AK104" s="14">
        <v>14.44</v>
      </c>
      <c r="AL104" s="14" t="s">
        <v>850</v>
      </c>
      <c r="AM104" s="14" t="s">
        <v>248</v>
      </c>
      <c r="AN104" s="14">
        <f>IF('Fund Data'!$H$2,IF(ISNUMBER(AK104),AK104,NA()),NA())</f>
        <v>14.44</v>
      </c>
      <c r="AO104" s="14"/>
      <c r="AP104" s="14"/>
      <c r="AQ104" s="14"/>
      <c r="AR104" s="14"/>
      <c r="AS104" s="14"/>
      <c r="AT104" s="14"/>
      <c r="AU104" s="14"/>
      <c r="AV104" s="14"/>
      <c r="AW104" s="14"/>
      <c r="AX104" s="14"/>
      <c r="AY104" s="14"/>
      <c r="AZ104" s="14"/>
      <c r="BA104" s="14"/>
      <c r="BB104" s="14"/>
      <c r="BC104" s="14"/>
      <c r="BD104" s="14"/>
      <c r="BE104" s="14"/>
      <c r="BF104" s="14"/>
      <c r="BG104" s="14"/>
      <c r="BH104" s="14"/>
      <c r="BI104" s="14"/>
    </row>
    <row r="105" spans="1:61">
      <c r="A105" s="14" t="s">
        <v>634</v>
      </c>
      <c r="B105" s="14" t="s">
        <v>847</v>
      </c>
      <c r="C105" s="14" t="s">
        <v>880</v>
      </c>
      <c r="D105" s="14"/>
      <c r="E105" s="14" t="s">
        <v>589</v>
      </c>
      <c r="F105" s="14" t="s">
        <v>557</v>
      </c>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v>46093</v>
      </c>
      <c r="AK105" s="14">
        <v>14.22</v>
      </c>
      <c r="AL105" s="14" t="s">
        <v>850</v>
      </c>
      <c r="AM105" s="14" t="s">
        <v>248</v>
      </c>
      <c r="AN105" s="14">
        <f>IF('Fund Data'!$H$2,IF(ISNUMBER(AK105),AK105,NA()),NA())</f>
        <v>14.22</v>
      </c>
      <c r="AO105" s="14"/>
      <c r="AP105" s="14"/>
      <c r="AQ105" s="14"/>
      <c r="AR105" s="14"/>
      <c r="AS105" s="14"/>
      <c r="AT105" s="14"/>
      <c r="AU105" s="14"/>
      <c r="AV105" s="14"/>
      <c r="AW105" s="14"/>
      <c r="AX105" s="14"/>
      <c r="AY105" s="14"/>
      <c r="AZ105" s="14"/>
      <c r="BA105" s="14"/>
      <c r="BB105" s="14"/>
      <c r="BC105" s="14"/>
      <c r="BD105" s="14"/>
      <c r="BE105" s="14"/>
      <c r="BF105" s="14"/>
      <c r="BG105" s="14"/>
      <c r="BH105" s="14"/>
      <c r="BI105" s="14"/>
    </row>
    <row r="106" spans="1:61">
      <c r="A106" s="14" t="s">
        <v>636</v>
      </c>
      <c r="B106" s="14">
        <v>45810.757372685184</v>
      </c>
      <c r="C106" s="14" t="s">
        <v>610</v>
      </c>
      <c r="D106" s="14">
        <v>45810.757372685184</v>
      </c>
      <c r="E106" s="14" t="s">
        <v>589</v>
      </c>
      <c r="F106" s="14" t="s">
        <v>557</v>
      </c>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v>46094</v>
      </c>
      <c r="AK106" s="14">
        <v>14.13</v>
      </c>
      <c r="AL106" s="14" t="s">
        <v>850</v>
      </c>
      <c r="AM106" s="14" t="s">
        <v>248</v>
      </c>
      <c r="AN106" s="14">
        <f>IF('Fund Data'!$H$2,IF(ISNUMBER(AK106),AK106,NA()),NA())</f>
        <v>14.13</v>
      </c>
      <c r="AO106" s="14"/>
      <c r="AP106" s="14"/>
      <c r="AQ106" s="14"/>
      <c r="AR106" s="14"/>
      <c r="AS106" s="14"/>
      <c r="AT106" s="14"/>
      <c r="AU106" s="14"/>
      <c r="AV106" s="14"/>
      <c r="AW106" s="14"/>
      <c r="AX106" s="14"/>
      <c r="AY106" s="14"/>
      <c r="AZ106" s="14"/>
      <c r="BA106" s="14"/>
      <c r="BB106" s="14"/>
      <c r="BC106" s="14"/>
      <c r="BD106" s="14"/>
      <c r="BE106" s="14"/>
      <c r="BF106" s="14"/>
      <c r="BG106" s="14"/>
      <c r="BH106" s="14"/>
      <c r="BI106" s="14"/>
    </row>
    <row r="107" spans="1:61">
      <c r="A107" s="14" t="s">
        <v>637</v>
      </c>
      <c r="B107" s="14" t="s">
        <v>589</v>
      </c>
      <c r="C107" s="14"/>
      <c r="D107" s="14"/>
      <c r="E107" s="14" t="s">
        <v>638</v>
      </c>
      <c r="F107" s="14" t="s">
        <v>611</v>
      </c>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v>46097</v>
      </c>
      <c r="AK107" s="14">
        <v>14.28</v>
      </c>
      <c r="AL107" s="14" t="s">
        <v>850</v>
      </c>
      <c r="AM107" s="14" t="s">
        <v>248</v>
      </c>
      <c r="AN107" s="14">
        <f>IF('Fund Data'!$H$2,IF(ISNUMBER(AK107),AK107,NA()),NA())</f>
        <v>14.28</v>
      </c>
      <c r="AO107" s="14"/>
      <c r="AP107" s="14"/>
      <c r="AQ107" s="14"/>
      <c r="AR107" s="14"/>
      <c r="AS107" s="14"/>
      <c r="AT107" s="14"/>
      <c r="AU107" s="14"/>
      <c r="AV107" s="14"/>
      <c r="AW107" s="14"/>
      <c r="AX107" s="14"/>
      <c r="AY107" s="14"/>
      <c r="AZ107" s="14"/>
      <c r="BA107" s="14"/>
      <c r="BB107" s="14"/>
      <c r="BC107" s="14"/>
      <c r="BD107" s="14"/>
      <c r="BE107" s="14"/>
      <c r="BF107" s="14"/>
      <c r="BG107" s="14"/>
      <c r="BH107" s="14"/>
      <c r="BI107" s="14"/>
    </row>
    <row r="108" spans="1:61">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v>46098</v>
      </c>
      <c r="AK108" s="14">
        <v>14.32</v>
      </c>
      <c r="AL108" s="14" t="s">
        <v>850</v>
      </c>
      <c r="AM108" s="14" t="s">
        <v>248</v>
      </c>
      <c r="AN108" s="14">
        <f>IF('Fund Data'!$H$2,IF(ISNUMBER(AK108),AK108,NA()),NA())</f>
        <v>14.32</v>
      </c>
      <c r="AO108" s="14"/>
      <c r="AP108" s="14"/>
      <c r="AQ108" s="14"/>
      <c r="AR108" s="14"/>
      <c r="AS108" s="14"/>
      <c r="AT108" s="14"/>
      <c r="AU108" s="14"/>
      <c r="AV108" s="14"/>
      <c r="AW108" s="14"/>
      <c r="AX108" s="14"/>
      <c r="AY108" s="14"/>
      <c r="AZ108" s="14"/>
      <c r="BA108" s="14"/>
      <c r="BB108" s="14"/>
      <c r="BC108" s="14"/>
      <c r="BD108" s="14"/>
      <c r="BE108" s="14"/>
      <c r="BF108" s="14"/>
      <c r="BG108" s="14"/>
      <c r="BH108" s="14"/>
      <c r="BI108" s="14"/>
    </row>
    <row r="109" spans="1:61">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v>46099</v>
      </c>
      <c r="AK109" s="14">
        <v>14.13</v>
      </c>
      <c r="AL109" s="14" t="s">
        <v>850</v>
      </c>
      <c r="AM109" s="14" t="s">
        <v>248</v>
      </c>
      <c r="AN109" s="14">
        <f>IF('Fund Data'!$H$2,IF(ISNUMBER(AK109),AK109,NA()),NA())</f>
        <v>14.13</v>
      </c>
      <c r="AO109" s="14"/>
      <c r="AP109" s="14"/>
      <c r="AQ109" s="14"/>
      <c r="AR109" s="14"/>
      <c r="AS109" s="14"/>
      <c r="AT109" s="14"/>
      <c r="AU109" s="14"/>
      <c r="AV109" s="14"/>
      <c r="AW109" s="14"/>
      <c r="AX109" s="14"/>
      <c r="AY109" s="14"/>
      <c r="AZ109" s="14"/>
      <c r="BA109" s="14"/>
      <c r="BB109" s="14"/>
      <c r="BC109" s="14"/>
      <c r="BD109" s="14"/>
      <c r="BE109" s="14"/>
      <c r="BF109" s="14"/>
      <c r="BG109" s="14"/>
      <c r="BH109" s="14"/>
      <c r="BI109" s="14"/>
    </row>
    <row r="110" spans="1:61">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v>46100</v>
      </c>
      <c r="AK110" s="14">
        <v>14.1</v>
      </c>
      <c r="AL110" s="14" t="s">
        <v>850</v>
      </c>
      <c r="AM110" s="14" t="s">
        <v>248</v>
      </c>
      <c r="AN110" s="14">
        <f>IF('Fund Data'!$H$2,IF(ISNUMBER(AK110),AK110,NA()),NA())</f>
        <v>14.1</v>
      </c>
      <c r="AO110" s="14"/>
      <c r="AP110" s="14"/>
      <c r="AQ110" s="14"/>
      <c r="AR110" s="14"/>
      <c r="AS110" s="14"/>
      <c r="AT110" s="14"/>
      <c r="AU110" s="14"/>
      <c r="AV110" s="14"/>
      <c r="AW110" s="14"/>
      <c r="AX110" s="14"/>
      <c r="AY110" s="14"/>
      <c r="AZ110" s="14"/>
      <c r="BA110" s="14"/>
      <c r="BB110" s="14"/>
      <c r="BC110" s="14"/>
      <c r="BD110" s="14"/>
      <c r="BE110" s="14"/>
      <c r="BF110" s="14"/>
      <c r="BG110" s="14"/>
      <c r="BH110" s="14"/>
      <c r="BI110" s="14"/>
    </row>
    <row r="111" spans="1:6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v>46101</v>
      </c>
      <c r="AK111" s="14">
        <v>13.88</v>
      </c>
      <c r="AL111" s="14" t="s">
        <v>850</v>
      </c>
      <c r="AM111" s="14" t="s">
        <v>248</v>
      </c>
      <c r="AN111" s="14">
        <f>IF('Fund Data'!$H$2,IF(ISNUMBER(AK111),AK111,NA()),NA())</f>
        <v>13.88</v>
      </c>
      <c r="AO111" s="14"/>
      <c r="AP111" s="14"/>
      <c r="AQ111" s="14"/>
      <c r="AR111" s="14"/>
      <c r="AS111" s="14"/>
      <c r="AT111" s="14"/>
      <c r="AU111" s="14"/>
      <c r="AV111" s="14"/>
      <c r="AW111" s="14"/>
      <c r="AX111" s="14"/>
      <c r="AY111" s="14"/>
      <c r="AZ111" s="14"/>
      <c r="BA111" s="14"/>
      <c r="BB111" s="14"/>
      <c r="BC111" s="14"/>
      <c r="BD111" s="14"/>
      <c r="BE111" s="14"/>
      <c r="BF111" s="14"/>
      <c r="BG111" s="14"/>
      <c r="BH111" s="14"/>
      <c r="BI111" s="14"/>
    </row>
    <row r="112" spans="1:61">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v>46104</v>
      </c>
      <c r="AK112" s="14">
        <v>14.04</v>
      </c>
      <c r="AL112" s="14" t="s">
        <v>850</v>
      </c>
      <c r="AM112" s="14" t="s">
        <v>248</v>
      </c>
      <c r="AN112" s="14">
        <f>IF('Fund Data'!$H$2,IF(ISNUMBER(AK112),AK112,NA()),NA())</f>
        <v>14.04</v>
      </c>
      <c r="AO112" s="14"/>
      <c r="AP112" s="14"/>
      <c r="AQ112" s="14"/>
      <c r="AR112" s="14"/>
      <c r="AS112" s="14"/>
      <c r="AT112" s="14"/>
      <c r="AU112" s="14"/>
      <c r="AV112" s="14"/>
      <c r="AW112" s="14"/>
      <c r="AX112" s="14"/>
      <c r="AY112" s="14"/>
      <c r="AZ112" s="14"/>
      <c r="BA112" s="14"/>
      <c r="BB112" s="14"/>
      <c r="BC112" s="14"/>
      <c r="BD112" s="14"/>
      <c r="BE112" s="14"/>
      <c r="BF112" s="14"/>
      <c r="BG112" s="14"/>
      <c r="BH112" s="14"/>
      <c r="BI112" s="14"/>
    </row>
    <row r="113" spans="1:61">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v>46105</v>
      </c>
      <c r="AK113" s="14">
        <v>13.99</v>
      </c>
      <c r="AL113" s="14" t="s">
        <v>850</v>
      </c>
      <c r="AM113" s="14" t="s">
        <v>248</v>
      </c>
      <c r="AN113" s="14">
        <f>IF('Fund Data'!$H$2,IF(ISNUMBER(AK113),AK113,NA()),NA())</f>
        <v>13.99</v>
      </c>
      <c r="AO113" s="14"/>
      <c r="AP113" s="14"/>
      <c r="AQ113" s="14"/>
      <c r="AR113" s="14"/>
      <c r="AS113" s="14"/>
      <c r="AT113" s="14"/>
      <c r="AU113" s="14"/>
      <c r="AV113" s="14"/>
      <c r="AW113" s="14"/>
      <c r="AX113" s="14"/>
      <c r="AY113" s="14"/>
      <c r="AZ113" s="14"/>
      <c r="BA113" s="14"/>
      <c r="BB113" s="14"/>
      <c r="BC113" s="14"/>
      <c r="BD113" s="14"/>
      <c r="BE113" s="14"/>
      <c r="BF113" s="14"/>
      <c r="BG113" s="14"/>
      <c r="BH113" s="14"/>
      <c r="BI113" s="14"/>
    </row>
    <row r="114" spans="1:6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v>46106</v>
      </c>
      <c r="AK114" s="14">
        <v>14.08</v>
      </c>
      <c r="AL114" s="14" t="s">
        <v>850</v>
      </c>
      <c r="AM114" s="14" t="s">
        <v>248</v>
      </c>
      <c r="AN114" s="14">
        <f>IF('Fund Data'!$H$2,IF(ISNUMBER(AK114),AK114,NA()),NA())</f>
        <v>14.08</v>
      </c>
      <c r="AO114" s="14"/>
      <c r="AP114" s="14"/>
      <c r="AQ114" s="14"/>
      <c r="AR114" s="14"/>
      <c r="AS114" s="14"/>
      <c r="AT114" s="14"/>
      <c r="AU114" s="14"/>
      <c r="AV114" s="14"/>
      <c r="AW114" s="14"/>
      <c r="AX114" s="14"/>
      <c r="AY114" s="14"/>
      <c r="AZ114" s="14"/>
      <c r="BA114" s="14"/>
      <c r="BB114" s="14"/>
      <c r="BC114" s="14"/>
      <c r="BD114" s="14"/>
      <c r="BE114" s="14"/>
      <c r="BF114" s="14"/>
      <c r="BG114" s="14"/>
      <c r="BH114" s="14"/>
      <c r="BI114" s="14"/>
    </row>
    <row r="115" spans="1:61">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v>46107</v>
      </c>
      <c r="AK115" s="14">
        <v>13.83</v>
      </c>
      <c r="AL115" s="14" t="s">
        <v>850</v>
      </c>
      <c r="AM115" s="14" t="s">
        <v>248</v>
      </c>
      <c r="AN115" s="14">
        <f>IF('Fund Data'!$H$2,IF(ISNUMBER(AK115),AK115,NA()),NA())</f>
        <v>13.83</v>
      </c>
      <c r="AO115" s="14"/>
      <c r="AP115" s="14"/>
      <c r="AQ115" s="14"/>
      <c r="AR115" s="14"/>
      <c r="AS115" s="14"/>
      <c r="AT115" s="14"/>
      <c r="AU115" s="14"/>
      <c r="AV115" s="14"/>
      <c r="AW115" s="14"/>
      <c r="AX115" s="14"/>
      <c r="AY115" s="14"/>
      <c r="AZ115" s="14"/>
      <c r="BA115" s="14"/>
      <c r="BB115" s="14"/>
      <c r="BC115" s="14"/>
      <c r="BD115" s="14"/>
      <c r="BE115" s="14"/>
      <c r="BF115" s="14"/>
      <c r="BG115" s="14"/>
      <c r="BH115" s="14"/>
      <c r="BI115" s="14"/>
    </row>
    <row r="116" spans="1:61">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v>46108</v>
      </c>
      <c r="AK116" s="14">
        <v>13.6</v>
      </c>
      <c r="AL116" s="14" t="s">
        <v>850</v>
      </c>
      <c r="AM116" s="14" t="s">
        <v>248</v>
      </c>
      <c r="AN116" s="14">
        <f>IF('Fund Data'!$H$2,IF(ISNUMBER(AK116),AK116,NA()),NA())</f>
        <v>13.6</v>
      </c>
      <c r="AO116" s="14"/>
      <c r="AP116" s="14"/>
      <c r="AQ116" s="14"/>
      <c r="AR116" s="14"/>
      <c r="AS116" s="14"/>
      <c r="AT116" s="14"/>
      <c r="AU116" s="14"/>
      <c r="AV116" s="14"/>
      <c r="AW116" s="14"/>
      <c r="AX116" s="14"/>
      <c r="AY116" s="14"/>
      <c r="AZ116" s="14"/>
      <c r="BA116" s="14"/>
      <c r="BB116" s="14"/>
      <c r="BC116" s="14"/>
      <c r="BD116" s="14"/>
      <c r="BE116" s="14"/>
      <c r="BF116" s="14"/>
      <c r="BG116" s="14"/>
      <c r="BH116" s="14"/>
      <c r="BI116" s="14"/>
    </row>
    <row r="117" spans="1:61">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v>46111</v>
      </c>
      <c r="AK117" s="14">
        <v>13.54</v>
      </c>
      <c r="AL117" s="14" t="s">
        <v>850</v>
      </c>
      <c r="AM117" s="14" t="s">
        <v>248</v>
      </c>
      <c r="AN117" s="14">
        <f>IF('Fund Data'!$H$2,IF(ISNUMBER(AK117),AK117,NA()),NA())</f>
        <v>13.54</v>
      </c>
      <c r="AO117" s="14"/>
      <c r="AP117" s="14"/>
      <c r="AQ117" s="14"/>
      <c r="AR117" s="14"/>
      <c r="AS117" s="14"/>
      <c r="AT117" s="14"/>
      <c r="AU117" s="14"/>
      <c r="AV117" s="14"/>
      <c r="AW117" s="14"/>
      <c r="AX117" s="14"/>
      <c r="AY117" s="14"/>
      <c r="AZ117" s="14"/>
      <c r="BA117" s="14"/>
      <c r="BB117" s="14"/>
      <c r="BC117" s="14"/>
      <c r="BD117" s="14"/>
      <c r="BE117" s="14"/>
      <c r="BF117" s="14"/>
      <c r="BG117" s="14"/>
      <c r="BH117" s="14"/>
      <c r="BI117" s="14"/>
    </row>
    <row r="118" spans="1:61">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v>46112</v>
      </c>
      <c r="AK118" s="14">
        <v>13.94</v>
      </c>
      <c r="AL118" s="14" t="s">
        <v>850</v>
      </c>
      <c r="AM118" s="14" t="s">
        <v>248</v>
      </c>
      <c r="AN118" s="14">
        <f>IF('Fund Data'!$H$2,IF(ISNUMBER(AK118),AK118,NA()),NA())</f>
        <v>13.94</v>
      </c>
      <c r="AO118" s="14"/>
      <c r="AP118" s="14"/>
      <c r="AQ118" s="14"/>
      <c r="AR118" s="14"/>
      <c r="AS118" s="14"/>
      <c r="AT118" s="14"/>
      <c r="AU118" s="14"/>
      <c r="AV118" s="14"/>
      <c r="AW118" s="14"/>
      <c r="AX118" s="14"/>
      <c r="AY118" s="14"/>
      <c r="AZ118" s="14"/>
      <c r="BA118" s="14"/>
      <c r="BB118" s="14"/>
      <c r="BC118" s="14"/>
      <c r="BD118" s="14"/>
      <c r="BE118" s="14"/>
      <c r="BF118" s="14"/>
      <c r="BG118" s="14"/>
      <c r="BH118" s="14"/>
      <c r="BI118" s="14"/>
    </row>
    <row r="119" spans="1:61">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v>46113</v>
      </c>
      <c r="AK119" s="14">
        <v>14.04</v>
      </c>
      <c r="AL119" s="14" t="s">
        <v>850</v>
      </c>
      <c r="AM119" s="14" t="s">
        <v>248</v>
      </c>
      <c r="AN119" s="14">
        <f>IF('Fund Data'!$H$2,IF(ISNUMBER(AK119),AK119,NA()),NA())</f>
        <v>14.04</v>
      </c>
      <c r="AO119" s="14"/>
      <c r="AP119" s="14"/>
      <c r="AQ119" s="14"/>
      <c r="AR119" s="14"/>
      <c r="AS119" s="14"/>
      <c r="AT119" s="14"/>
      <c r="AU119" s="14"/>
      <c r="AV119" s="14"/>
      <c r="AW119" s="14"/>
      <c r="AX119" s="14"/>
      <c r="AY119" s="14"/>
      <c r="AZ119" s="14"/>
      <c r="BA119" s="14"/>
      <c r="BB119" s="14"/>
      <c r="BC119" s="14"/>
      <c r="BD119" s="14"/>
      <c r="BE119" s="14"/>
      <c r="BF119" s="14"/>
      <c r="BG119" s="14"/>
      <c r="BH119" s="14"/>
      <c r="BI119" s="14"/>
    </row>
    <row r="120" spans="1:61">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v>46114</v>
      </c>
      <c r="AK120" s="14">
        <v>14.06</v>
      </c>
      <c r="AL120" s="14" t="s">
        <v>850</v>
      </c>
      <c r="AM120" s="14" t="s">
        <v>248</v>
      </c>
      <c r="AN120" s="14">
        <f>IF('Fund Data'!$H$2,IF(ISNUMBER(AK120),AK120,NA()),NA())</f>
        <v>14.06</v>
      </c>
      <c r="AO120" s="14"/>
      <c r="AP120" s="14"/>
      <c r="AQ120" s="14"/>
      <c r="AR120" s="14"/>
      <c r="AS120" s="14"/>
      <c r="AT120" s="14"/>
      <c r="AU120" s="14"/>
      <c r="AV120" s="14"/>
      <c r="AW120" s="14"/>
      <c r="AX120" s="14"/>
      <c r="AY120" s="14"/>
      <c r="AZ120" s="14"/>
      <c r="BA120" s="14"/>
      <c r="BB120" s="14"/>
      <c r="BC120" s="14"/>
      <c r="BD120" s="14"/>
      <c r="BE120" s="14"/>
      <c r="BF120" s="14"/>
      <c r="BG120" s="14"/>
      <c r="BH120" s="14"/>
      <c r="BI120" s="14"/>
    </row>
    <row r="121" spans="1:61">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v>46118</v>
      </c>
      <c r="AK121" s="14">
        <v>14.13</v>
      </c>
      <c r="AL121" s="14" t="s">
        <v>850</v>
      </c>
      <c r="AM121" s="14" t="s">
        <v>248</v>
      </c>
      <c r="AN121" s="14">
        <f>IF('Fund Data'!$H$2,IF(ISNUMBER(AK121),AK121,NA()),NA())</f>
        <v>14.13</v>
      </c>
      <c r="AO121" s="14"/>
      <c r="AP121" s="14"/>
      <c r="AQ121" s="14"/>
      <c r="AR121" s="14"/>
      <c r="AS121" s="14"/>
      <c r="AT121" s="14"/>
      <c r="AU121" s="14"/>
      <c r="AV121" s="14"/>
      <c r="AW121" s="14"/>
      <c r="AX121" s="14"/>
      <c r="AY121" s="14"/>
      <c r="AZ121" s="14"/>
      <c r="BA121" s="14"/>
      <c r="BB121" s="14"/>
      <c r="BC121" s="14"/>
      <c r="BD121" s="14"/>
      <c r="BE121" s="14"/>
      <c r="BF121" s="14"/>
      <c r="BG121" s="14"/>
      <c r="BH121" s="14"/>
      <c r="BI121" s="14"/>
    </row>
    <row r="122" spans="1:6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v>46119</v>
      </c>
      <c r="AK122" s="14">
        <v>14.13</v>
      </c>
      <c r="AL122" s="14" t="s">
        <v>850</v>
      </c>
      <c r="AM122" s="14" t="s">
        <v>248</v>
      </c>
      <c r="AN122" s="14">
        <f>IF('Fund Data'!$H$2,IF(ISNUMBER(AK122),AK122,NA()),NA())</f>
        <v>14.13</v>
      </c>
      <c r="AO122" s="14"/>
      <c r="AP122" s="14"/>
      <c r="AQ122" s="14"/>
      <c r="AR122" s="14"/>
      <c r="AS122" s="14"/>
      <c r="AT122" s="14"/>
      <c r="AU122" s="14"/>
      <c r="AV122" s="14"/>
      <c r="AW122" s="14"/>
      <c r="AX122" s="14"/>
      <c r="AY122" s="14"/>
      <c r="AZ122" s="14"/>
      <c r="BA122" s="14"/>
      <c r="BB122" s="14"/>
      <c r="BC122" s="14"/>
      <c r="BD122" s="14"/>
      <c r="BE122" s="14"/>
      <c r="BF122" s="14"/>
      <c r="BG122" s="14"/>
      <c r="BH122" s="14"/>
      <c r="BI122" s="14"/>
    </row>
    <row r="123" spans="1:6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v>46120</v>
      </c>
      <c r="AK123" s="14">
        <v>14.49</v>
      </c>
      <c r="AL123" s="14" t="s">
        <v>850</v>
      </c>
      <c r="AM123" s="14" t="s">
        <v>248</v>
      </c>
      <c r="AN123" s="14">
        <f>IF('Fund Data'!$H$2,IF(ISNUMBER(AK123),AK123,NA()),NA())</f>
        <v>14.49</v>
      </c>
      <c r="AO123" s="14"/>
      <c r="AP123" s="14"/>
      <c r="AQ123" s="14"/>
      <c r="AR123" s="14"/>
      <c r="AS123" s="14"/>
      <c r="AT123" s="14"/>
      <c r="AU123" s="14"/>
      <c r="AV123" s="14"/>
      <c r="AW123" s="14"/>
      <c r="AX123" s="14"/>
      <c r="AY123" s="14"/>
      <c r="AZ123" s="14"/>
      <c r="BA123" s="14"/>
      <c r="BB123" s="14"/>
      <c r="BC123" s="14"/>
      <c r="BD123" s="14"/>
      <c r="BE123" s="14"/>
      <c r="BF123" s="14"/>
      <c r="BG123" s="14"/>
      <c r="BH123" s="14"/>
      <c r="BI123" s="14"/>
    </row>
    <row r="124" spans="1:6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v>46121</v>
      </c>
      <c r="AK124" s="14">
        <v>14.57</v>
      </c>
      <c r="AL124" s="14" t="s">
        <v>850</v>
      </c>
      <c r="AM124" s="14" t="s">
        <v>248</v>
      </c>
      <c r="AN124" s="14">
        <f>IF('Fund Data'!$H$2,IF(ISNUMBER(AK124),AK124,NA()),NA())</f>
        <v>14.57</v>
      </c>
      <c r="AO124" s="14"/>
      <c r="AP124" s="14"/>
      <c r="AQ124" s="14"/>
      <c r="AR124" s="14"/>
      <c r="AS124" s="14"/>
      <c r="AT124" s="14"/>
      <c r="AU124" s="14"/>
      <c r="AV124" s="14"/>
      <c r="AW124" s="14"/>
      <c r="AX124" s="14"/>
      <c r="AY124" s="14"/>
      <c r="AZ124" s="14"/>
      <c r="BA124" s="14"/>
      <c r="BB124" s="14"/>
      <c r="BC124" s="14"/>
      <c r="BD124" s="14"/>
      <c r="BE124" s="14"/>
      <c r="BF124" s="14"/>
      <c r="BG124" s="14"/>
      <c r="BH124" s="14"/>
      <c r="BI124" s="14"/>
    </row>
    <row r="125" spans="1:6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v>46122</v>
      </c>
      <c r="AK125" s="14">
        <v>14.55</v>
      </c>
      <c r="AL125" s="14" t="s">
        <v>850</v>
      </c>
      <c r="AM125" s="14" t="s">
        <v>248</v>
      </c>
      <c r="AN125" s="14">
        <f>IF('Fund Data'!$H$2,IF(ISNUMBER(AK125),AK125,NA()),NA())</f>
        <v>14.55</v>
      </c>
      <c r="AO125" s="14"/>
      <c r="AP125" s="14"/>
      <c r="AQ125" s="14"/>
      <c r="AR125" s="14"/>
      <c r="AS125" s="14"/>
      <c r="AT125" s="14"/>
      <c r="AU125" s="14"/>
      <c r="AV125" s="14"/>
      <c r="AW125" s="14"/>
      <c r="AX125" s="14"/>
      <c r="AY125" s="14"/>
      <c r="AZ125" s="14"/>
      <c r="BA125" s="14"/>
      <c r="BB125" s="14"/>
      <c r="BC125" s="14"/>
      <c r="BD125" s="14"/>
      <c r="BE125" s="14"/>
      <c r="BF125" s="14"/>
      <c r="BG125" s="14"/>
      <c r="BH125" s="14"/>
      <c r="BI125" s="14"/>
    </row>
    <row r="126" spans="1:6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v>46125</v>
      </c>
      <c r="AK126" s="14">
        <v>14.71</v>
      </c>
      <c r="AL126" s="14" t="s">
        <v>850</v>
      </c>
      <c r="AM126" s="14" t="s">
        <v>248</v>
      </c>
      <c r="AN126" s="14">
        <f>IF('Fund Data'!$H$2,IF(ISNUMBER(AK126),AK126,NA()),NA())</f>
        <v>14.71</v>
      </c>
      <c r="AO126" s="14"/>
      <c r="AP126" s="14"/>
      <c r="AQ126" s="14"/>
      <c r="AR126" s="14"/>
      <c r="AS126" s="14"/>
      <c r="AT126" s="14"/>
      <c r="AU126" s="14"/>
      <c r="AV126" s="14"/>
      <c r="AW126" s="14"/>
      <c r="AX126" s="14"/>
      <c r="AY126" s="14"/>
      <c r="AZ126" s="14"/>
      <c r="BA126" s="14"/>
      <c r="BB126" s="14"/>
      <c r="BC126" s="14"/>
      <c r="BD126" s="14"/>
      <c r="BE126" s="14"/>
      <c r="BF126" s="14"/>
      <c r="BG126" s="14"/>
      <c r="BH126" s="14"/>
      <c r="BI126" s="14"/>
    </row>
    <row r="127" spans="1:6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v>46126</v>
      </c>
      <c r="AK127" s="14">
        <v>14.89</v>
      </c>
      <c r="AL127" s="14" t="s">
        <v>850</v>
      </c>
      <c r="AM127" s="14" t="s">
        <v>248</v>
      </c>
      <c r="AN127" s="14">
        <f>IF('Fund Data'!$H$2,IF(ISNUMBER(AK127),AK127,NA()),NA())</f>
        <v>14.89</v>
      </c>
      <c r="AO127" s="14"/>
      <c r="AP127" s="14"/>
      <c r="AQ127" s="14"/>
      <c r="AR127" s="14"/>
      <c r="AS127" s="14"/>
      <c r="AT127" s="14"/>
      <c r="AU127" s="14"/>
      <c r="AV127" s="14"/>
      <c r="AW127" s="14"/>
      <c r="AX127" s="14"/>
      <c r="AY127" s="14"/>
      <c r="AZ127" s="14"/>
      <c r="BA127" s="14"/>
      <c r="BB127" s="14"/>
      <c r="BC127" s="14"/>
      <c r="BD127" s="14"/>
      <c r="BE127" s="14"/>
      <c r="BF127" s="14"/>
      <c r="BG127" s="14"/>
      <c r="BH127" s="14"/>
      <c r="BI127" s="14"/>
    </row>
    <row r="128" spans="1:61">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v>46127</v>
      </c>
      <c r="AK128" s="14">
        <v>15</v>
      </c>
      <c r="AL128" s="14" t="s">
        <v>850</v>
      </c>
      <c r="AM128" s="14" t="s">
        <v>248</v>
      </c>
      <c r="AN128" s="14">
        <f>IF('Fund Data'!$H$2,IF(ISNUMBER(AK128),AK128,NA()),NA())</f>
        <v>15</v>
      </c>
      <c r="AO128" s="14"/>
      <c r="AP128" s="14"/>
      <c r="AQ128" s="14"/>
      <c r="AR128" s="14"/>
      <c r="AS128" s="14"/>
      <c r="AT128" s="14"/>
      <c r="AU128" s="14"/>
      <c r="AV128" s="14"/>
      <c r="AW128" s="14"/>
      <c r="AX128" s="14"/>
      <c r="AY128" s="14"/>
      <c r="AZ128" s="14"/>
      <c r="BA128" s="14"/>
      <c r="BB128" s="14"/>
      <c r="BC128" s="14"/>
      <c r="BD128" s="14"/>
      <c r="BE128" s="14"/>
      <c r="BF128" s="14"/>
      <c r="BG128" s="14"/>
      <c r="BH128" s="14"/>
      <c r="BI128" s="14"/>
    </row>
    <row r="129" spans="1:6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v>46128</v>
      </c>
      <c r="AK129" s="14">
        <v>15.04</v>
      </c>
      <c r="AL129" s="14" t="s">
        <v>850</v>
      </c>
      <c r="AM129" s="14" t="s">
        <v>248</v>
      </c>
      <c r="AN129" s="14">
        <f>IF('Fund Data'!$H$2,IF(ISNUMBER(AK129),AK129,NA()),NA())</f>
        <v>15.04</v>
      </c>
      <c r="AO129" s="14"/>
      <c r="AP129" s="14"/>
      <c r="AQ129" s="14"/>
      <c r="AR129" s="14"/>
      <c r="AS129" s="14"/>
      <c r="AT129" s="14"/>
      <c r="AU129" s="14"/>
      <c r="AV129" s="14"/>
      <c r="AW129" s="14"/>
      <c r="AX129" s="14"/>
      <c r="AY129" s="14"/>
      <c r="AZ129" s="14"/>
      <c r="BA129" s="14"/>
      <c r="BB129" s="14"/>
      <c r="BC129" s="14"/>
      <c r="BD129" s="14"/>
      <c r="BE129" s="14"/>
      <c r="BF129" s="14"/>
      <c r="BG129" s="14"/>
      <c r="BH129" s="14"/>
      <c r="BI129" s="14"/>
    </row>
    <row r="130" spans="1:6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v>46129</v>
      </c>
      <c r="AK130" s="14">
        <v>15.23</v>
      </c>
      <c r="AL130" s="14" t="s">
        <v>850</v>
      </c>
      <c r="AM130" s="14" t="s">
        <v>248</v>
      </c>
      <c r="AN130" s="14">
        <f>IF('Fund Data'!$H$2,IF(ISNUMBER(AK130),AK130,NA()),NA())</f>
        <v>15.23</v>
      </c>
      <c r="AO130" s="14"/>
      <c r="AP130" s="14"/>
      <c r="AQ130" s="14"/>
      <c r="AR130" s="14"/>
      <c r="AS130" s="14"/>
      <c r="AT130" s="14"/>
      <c r="AU130" s="14"/>
      <c r="AV130" s="14"/>
      <c r="AW130" s="14"/>
      <c r="AX130" s="14"/>
      <c r="AY130" s="14"/>
      <c r="AZ130" s="14"/>
      <c r="BA130" s="14"/>
      <c r="BB130" s="14"/>
      <c r="BC130" s="14"/>
      <c r="BD130" s="14"/>
      <c r="BE130" s="14"/>
      <c r="BF130" s="14"/>
      <c r="BG130" s="14"/>
      <c r="BH130" s="14"/>
      <c r="BI130" s="14"/>
    </row>
    <row r="131" spans="1:61">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v>46132</v>
      </c>
      <c r="AK131" s="14">
        <v>15.21</v>
      </c>
      <c r="AL131" s="14" t="s">
        <v>850</v>
      </c>
      <c r="AM131" s="14" t="s">
        <v>248</v>
      </c>
      <c r="AN131" s="14">
        <f>IF('Fund Data'!$H$2,IF(ISNUMBER(AK131),AK131,NA()),NA())</f>
        <v>15.21</v>
      </c>
      <c r="AO131" s="14"/>
      <c r="AP131" s="14"/>
      <c r="AQ131" s="14"/>
      <c r="AR131" s="14"/>
      <c r="AS131" s="14"/>
      <c r="AT131" s="14"/>
      <c r="AU131" s="14"/>
      <c r="AV131" s="14"/>
      <c r="AW131" s="14"/>
      <c r="AX131" s="14"/>
      <c r="AY131" s="14"/>
      <c r="AZ131" s="14"/>
      <c r="BA131" s="14"/>
      <c r="BB131" s="14"/>
      <c r="BC131" s="14"/>
      <c r="BD131" s="14"/>
      <c r="BE131" s="14"/>
      <c r="BF131" s="14"/>
      <c r="BG131" s="14"/>
      <c r="BH131" s="14"/>
      <c r="BI131" s="14"/>
    </row>
    <row r="132" spans="1:6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v>46133</v>
      </c>
      <c r="AK132" s="14">
        <v>15.11</v>
      </c>
      <c r="AL132" s="14" t="s">
        <v>850</v>
      </c>
      <c r="AM132" s="14" t="s">
        <v>248</v>
      </c>
      <c r="AN132" s="14">
        <f>IF('Fund Data'!$H$2,IF(ISNUMBER(AK132),AK132,NA()),NA())</f>
        <v>15.11</v>
      </c>
      <c r="AO132" s="14"/>
      <c r="AP132" s="14"/>
      <c r="AQ132" s="14"/>
      <c r="AR132" s="14"/>
      <c r="AS132" s="14"/>
      <c r="AT132" s="14"/>
      <c r="AU132" s="14"/>
      <c r="AV132" s="14"/>
      <c r="AW132" s="14"/>
      <c r="AX132" s="14"/>
      <c r="AY132" s="14"/>
      <c r="AZ132" s="14"/>
      <c r="BA132" s="14"/>
      <c r="BB132" s="14"/>
      <c r="BC132" s="14"/>
      <c r="BD132" s="14"/>
      <c r="BE132" s="14"/>
      <c r="BF132" s="14"/>
      <c r="BG132" s="14"/>
      <c r="BH132" s="14"/>
      <c r="BI132" s="14"/>
    </row>
    <row r="133" spans="1:6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v>46134</v>
      </c>
      <c r="AK133" s="14">
        <v>15.26</v>
      </c>
      <c r="AL133" s="14" t="s">
        <v>850</v>
      </c>
      <c r="AM133" s="14" t="s">
        <v>248</v>
      </c>
      <c r="AN133" s="14">
        <f>IF('Fund Data'!$H$2,IF(ISNUMBER(AK133),AK133,NA()),NA())</f>
        <v>15.26</v>
      </c>
      <c r="AO133" s="14"/>
      <c r="AP133" s="14"/>
      <c r="AQ133" s="14"/>
      <c r="AR133" s="14"/>
      <c r="AS133" s="14"/>
      <c r="AT133" s="14"/>
      <c r="AU133" s="14"/>
      <c r="AV133" s="14"/>
      <c r="AW133" s="14"/>
      <c r="AX133" s="14"/>
      <c r="AY133" s="14"/>
      <c r="AZ133" s="14"/>
      <c r="BA133" s="14"/>
      <c r="BB133" s="14"/>
      <c r="BC133" s="14"/>
      <c r="BD133" s="14"/>
      <c r="BE133" s="14"/>
      <c r="BF133" s="14"/>
      <c r="BG133" s="14"/>
      <c r="BH133" s="14"/>
      <c r="BI133" s="14"/>
    </row>
    <row r="134" spans="1:6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v>46135</v>
      </c>
      <c r="AK134" s="14">
        <v>15.19</v>
      </c>
      <c r="AL134" s="14" t="s">
        <v>850</v>
      </c>
      <c r="AM134" s="14" t="s">
        <v>248</v>
      </c>
      <c r="AN134" s="14">
        <f>IF('Fund Data'!$H$2,IF(ISNUMBER(AK134),AK134,NA()),NA())</f>
        <v>15.19</v>
      </c>
      <c r="AO134" s="14"/>
      <c r="AP134" s="14"/>
      <c r="AQ134" s="14"/>
      <c r="AR134" s="14"/>
      <c r="AS134" s="14"/>
      <c r="AT134" s="14"/>
      <c r="AU134" s="14"/>
      <c r="AV134" s="14"/>
      <c r="AW134" s="14"/>
      <c r="AX134" s="14"/>
      <c r="AY134" s="14"/>
      <c r="AZ134" s="14"/>
      <c r="BA134" s="14"/>
      <c r="BB134" s="14"/>
      <c r="BC134" s="14"/>
      <c r="BD134" s="14"/>
      <c r="BE134" s="14"/>
      <c r="BF134" s="14"/>
      <c r="BG134" s="14"/>
      <c r="BH134" s="14"/>
      <c r="BI134" s="14"/>
    </row>
    <row r="135" spans="1:61">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v>46136</v>
      </c>
      <c r="AK135" s="14">
        <v>15.3</v>
      </c>
      <c r="AL135" s="14" t="s">
        <v>850</v>
      </c>
      <c r="AM135" s="14" t="s">
        <v>248</v>
      </c>
      <c r="AN135" s="14">
        <f>IF('Fund Data'!$H$2,IF(ISNUMBER(AK135),AK135,NA()),NA())</f>
        <v>15.3</v>
      </c>
      <c r="AO135" s="14"/>
      <c r="AP135" s="14"/>
      <c r="AQ135" s="14"/>
      <c r="AR135" s="14"/>
      <c r="AS135" s="14"/>
      <c r="AT135" s="14"/>
      <c r="AU135" s="14"/>
      <c r="AV135" s="14"/>
      <c r="AW135" s="14"/>
      <c r="AX135" s="14"/>
      <c r="AY135" s="14"/>
      <c r="AZ135" s="14"/>
      <c r="BA135" s="14"/>
      <c r="BB135" s="14"/>
      <c r="BC135" s="14"/>
      <c r="BD135" s="14"/>
      <c r="BE135" s="14"/>
      <c r="BF135" s="14"/>
      <c r="BG135" s="14"/>
      <c r="BH135" s="14"/>
      <c r="BI135" s="14"/>
    </row>
    <row r="136" spans="1:61">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v>46139</v>
      </c>
      <c r="AK136" s="14">
        <v>15.32</v>
      </c>
      <c r="AL136" s="14" t="s">
        <v>850</v>
      </c>
      <c r="AM136" s="14" t="s">
        <v>248</v>
      </c>
      <c r="AN136" s="14">
        <f>IF('Fund Data'!$H$2,IF(ISNUMBER(AK136),AK136,NA()),NA())</f>
        <v>15.32</v>
      </c>
      <c r="AO136" s="14"/>
      <c r="AP136" s="14"/>
      <c r="AQ136" s="14"/>
      <c r="AR136" s="14"/>
      <c r="AS136" s="14"/>
      <c r="AT136" s="14"/>
      <c r="AU136" s="14"/>
      <c r="AV136" s="14"/>
      <c r="AW136" s="14"/>
      <c r="AX136" s="14"/>
      <c r="AY136" s="14"/>
      <c r="AZ136" s="14"/>
      <c r="BA136" s="14"/>
      <c r="BB136" s="14"/>
      <c r="BC136" s="14"/>
      <c r="BD136" s="14"/>
      <c r="BE136" s="14"/>
      <c r="BF136" s="14"/>
      <c r="BG136" s="14"/>
      <c r="BH136" s="14"/>
      <c r="BI136" s="14"/>
    </row>
    <row r="137" spans="1:6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v>46140</v>
      </c>
      <c r="AK137" s="14">
        <v>15.24</v>
      </c>
      <c r="AL137" s="14" t="s">
        <v>850</v>
      </c>
      <c r="AM137" s="14" t="s">
        <v>248</v>
      </c>
      <c r="AN137" s="14">
        <f>IF('Fund Data'!$H$2,IF(ISNUMBER(AK137),AK137,NA()),NA())</f>
        <v>15.24</v>
      </c>
      <c r="AO137" s="14"/>
      <c r="AP137" s="14"/>
      <c r="AQ137" s="14"/>
      <c r="AR137" s="14"/>
      <c r="AS137" s="14"/>
      <c r="AT137" s="14"/>
      <c r="AU137" s="14"/>
      <c r="AV137" s="14"/>
      <c r="AW137" s="14"/>
      <c r="AX137" s="14"/>
      <c r="AY137" s="14"/>
      <c r="AZ137" s="14"/>
      <c r="BA137" s="14"/>
      <c r="BB137" s="14"/>
      <c r="BC137" s="14"/>
      <c r="BD137" s="14"/>
      <c r="BE137" s="14"/>
      <c r="BF137" s="14"/>
      <c r="BG137" s="14"/>
      <c r="BH137" s="14"/>
      <c r="BI137" s="14"/>
    </row>
    <row r="138" spans="1:61">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v>46141</v>
      </c>
      <c r="AK138" s="14">
        <v>15.23</v>
      </c>
      <c r="AL138" s="14" t="s">
        <v>850</v>
      </c>
      <c r="AM138" s="14" t="s">
        <v>248</v>
      </c>
      <c r="AN138" s="14">
        <f>IF('Fund Data'!$H$2,IF(ISNUMBER(AK138),AK138,NA()),NA())</f>
        <v>15.23</v>
      </c>
      <c r="AO138" s="14"/>
      <c r="AP138" s="14"/>
      <c r="AQ138" s="14"/>
      <c r="AR138" s="14"/>
      <c r="AS138" s="14"/>
      <c r="AT138" s="14"/>
      <c r="AU138" s="14"/>
      <c r="AV138" s="14"/>
      <c r="AW138" s="14"/>
      <c r="AX138" s="14"/>
      <c r="AY138" s="14"/>
      <c r="AZ138" s="14"/>
      <c r="BA138" s="14"/>
      <c r="BB138" s="14"/>
      <c r="BC138" s="14"/>
      <c r="BD138" s="14"/>
      <c r="BE138" s="14"/>
      <c r="BF138" s="14"/>
      <c r="BG138" s="14"/>
      <c r="BH138" s="14"/>
      <c r="BI138" s="14"/>
    </row>
    <row r="139" spans="1:6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v>46142</v>
      </c>
      <c r="AK139" s="14">
        <v>15.39</v>
      </c>
      <c r="AL139" s="14" t="s">
        <v>850</v>
      </c>
      <c r="AM139" s="14" t="s">
        <v>248</v>
      </c>
      <c r="AN139" s="14">
        <f>IF('Fund Data'!$H$2,IF(ISNUMBER(AK139),AK139,NA()),NA())</f>
        <v>15.39</v>
      </c>
      <c r="AO139" s="14"/>
      <c r="AP139" s="14"/>
      <c r="AQ139" s="14"/>
      <c r="AR139" s="14"/>
      <c r="AS139" s="14"/>
      <c r="AT139" s="14"/>
      <c r="AU139" s="14"/>
      <c r="AV139" s="14"/>
      <c r="AW139" s="14"/>
      <c r="AX139" s="14"/>
      <c r="AY139" s="14"/>
      <c r="AZ139" s="14"/>
      <c r="BA139" s="14"/>
      <c r="BB139" s="14"/>
      <c r="BC139" s="14"/>
      <c r="BD139" s="14"/>
      <c r="BE139" s="14"/>
      <c r="BF139" s="14"/>
      <c r="BG139" s="14"/>
      <c r="BH139" s="14"/>
      <c r="BI139" s="14"/>
    </row>
    <row r="140" spans="1:6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v>46143</v>
      </c>
      <c r="AK140" s="14">
        <v>15.44</v>
      </c>
      <c r="AL140" s="14" t="s">
        <v>850</v>
      </c>
      <c r="AM140" s="14" t="s">
        <v>248</v>
      </c>
      <c r="AN140" s="14">
        <f>IF('Fund Data'!$H$2,IF(ISNUMBER(AK140),AK140,NA()),NA())</f>
        <v>15.44</v>
      </c>
      <c r="AO140" s="14"/>
      <c r="AP140" s="14"/>
      <c r="AQ140" s="14"/>
      <c r="AR140" s="14"/>
      <c r="AS140" s="14"/>
      <c r="AT140" s="14"/>
      <c r="AU140" s="14"/>
      <c r="AV140" s="14"/>
      <c r="AW140" s="14"/>
      <c r="AX140" s="14"/>
      <c r="AY140" s="14"/>
      <c r="AZ140" s="14"/>
      <c r="BA140" s="14"/>
      <c r="BB140" s="14"/>
      <c r="BC140" s="14"/>
      <c r="BD140" s="14"/>
      <c r="BE140" s="14"/>
      <c r="BF140" s="14"/>
      <c r="BG140" s="14"/>
      <c r="BH140" s="14"/>
      <c r="BI140" s="14"/>
    </row>
    <row r="141" spans="1:6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v>46146</v>
      </c>
      <c r="AK141" s="14">
        <v>15.38</v>
      </c>
      <c r="AL141" s="14" t="s">
        <v>850</v>
      </c>
      <c r="AM141" s="14" t="s">
        <v>248</v>
      </c>
      <c r="AN141" s="14">
        <f>IF('Fund Data'!$H$2,IF(ISNUMBER(AK141),AK141,NA()),NA())</f>
        <v>15.38</v>
      </c>
      <c r="AO141" s="14"/>
      <c r="AP141" s="14"/>
      <c r="AQ141" s="14"/>
      <c r="AR141" s="14"/>
      <c r="AS141" s="14"/>
      <c r="AT141" s="14"/>
      <c r="AU141" s="14"/>
      <c r="AV141" s="14"/>
      <c r="AW141" s="14"/>
      <c r="AX141" s="14"/>
      <c r="AY141" s="14"/>
      <c r="AZ141" s="14"/>
      <c r="BA141" s="14"/>
      <c r="BB141" s="14"/>
      <c r="BC141" s="14"/>
      <c r="BD141" s="14"/>
      <c r="BE141" s="14"/>
      <c r="BF141" s="14"/>
      <c r="BG141" s="14"/>
      <c r="BH141" s="14"/>
      <c r="BI141" s="14"/>
    </row>
    <row r="142" spans="1:6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v>46147</v>
      </c>
      <c r="AK142" s="14">
        <v>15.51</v>
      </c>
      <c r="AL142" s="14" t="s">
        <v>850</v>
      </c>
      <c r="AM142" s="14" t="s">
        <v>248</v>
      </c>
      <c r="AN142" s="14">
        <f>IF('Fund Data'!$H$2,IF(ISNUMBER(AK142),AK142,NA()),NA())</f>
        <v>15.51</v>
      </c>
      <c r="AO142" s="14"/>
      <c r="AP142" s="14"/>
      <c r="AQ142" s="14"/>
      <c r="AR142" s="14"/>
      <c r="AS142" s="14"/>
      <c r="AT142" s="14"/>
      <c r="AU142" s="14"/>
      <c r="AV142" s="14"/>
      <c r="AW142" s="14"/>
      <c r="AX142" s="14"/>
      <c r="AY142" s="14"/>
      <c r="AZ142" s="14"/>
      <c r="BA142" s="14"/>
      <c r="BB142" s="14"/>
      <c r="BC142" s="14"/>
      <c r="BD142" s="14"/>
      <c r="BE142" s="14"/>
      <c r="BF142" s="14"/>
      <c r="BG142" s="14"/>
      <c r="BH142" s="14"/>
      <c r="BI142" s="14"/>
    </row>
    <row r="143" spans="1:6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v>46148</v>
      </c>
      <c r="AK143" s="14">
        <v>15.73</v>
      </c>
      <c r="AL143" s="14" t="s">
        <v>850</v>
      </c>
      <c r="AM143" s="14" t="s">
        <v>248</v>
      </c>
      <c r="AN143" s="14">
        <f>IF('Fund Data'!$H$2,IF(ISNUMBER(AK143),AK143,NA()),NA())</f>
        <v>15.73</v>
      </c>
      <c r="AO143" s="14"/>
      <c r="AP143" s="14"/>
      <c r="AQ143" s="14"/>
      <c r="AR143" s="14"/>
      <c r="AS143" s="14"/>
      <c r="AT143" s="14"/>
      <c r="AU143" s="14"/>
      <c r="AV143" s="14"/>
      <c r="AW143" s="14"/>
      <c r="AX143" s="14"/>
      <c r="AY143" s="14"/>
      <c r="AZ143" s="14"/>
      <c r="BA143" s="14"/>
      <c r="BB143" s="14"/>
      <c r="BC143" s="14"/>
      <c r="BD143" s="14"/>
      <c r="BE143" s="14"/>
      <c r="BF143" s="14"/>
      <c r="BG143" s="14"/>
      <c r="BH143" s="14"/>
      <c r="BI143" s="14"/>
    </row>
    <row r="144" spans="1:6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v>46149</v>
      </c>
      <c r="AK144" s="14">
        <v>15.66</v>
      </c>
      <c r="AL144" s="14" t="s">
        <v>850</v>
      </c>
      <c r="AM144" s="14" t="s">
        <v>248</v>
      </c>
      <c r="AN144" s="14">
        <f>IF('Fund Data'!$H$2,IF(ISNUMBER(AK144),AK144,NA()),NA())</f>
        <v>15.66</v>
      </c>
      <c r="AO144" s="14"/>
      <c r="AP144" s="14"/>
      <c r="AQ144" s="14"/>
      <c r="AR144" s="14"/>
      <c r="AS144" s="14"/>
      <c r="AT144" s="14"/>
      <c r="AU144" s="14"/>
      <c r="AV144" s="14"/>
      <c r="AW144" s="14"/>
      <c r="AX144" s="14"/>
      <c r="AY144" s="14"/>
      <c r="AZ144" s="14"/>
      <c r="BA144" s="14"/>
      <c r="BB144" s="14"/>
      <c r="BC144" s="14"/>
      <c r="BD144" s="14"/>
      <c r="BE144" s="14"/>
      <c r="BF144" s="14"/>
      <c r="BG144" s="14"/>
      <c r="BH144" s="14"/>
      <c r="BI144" s="14"/>
    </row>
    <row r="145" spans="1:6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v>46150</v>
      </c>
      <c r="AK145" s="14">
        <v>15.78</v>
      </c>
      <c r="AL145" s="14" t="s">
        <v>850</v>
      </c>
      <c r="AM145" s="14" t="s">
        <v>248</v>
      </c>
      <c r="AN145" s="14">
        <f>IF('Fund Data'!$H$2,IF(ISNUMBER(AK145),AK145,NA()),NA())</f>
        <v>15.78</v>
      </c>
      <c r="AO145" s="14"/>
      <c r="AP145" s="14"/>
      <c r="AQ145" s="14"/>
      <c r="AR145" s="14"/>
      <c r="AS145" s="14"/>
      <c r="AT145" s="14"/>
      <c r="AU145" s="14"/>
      <c r="AV145" s="14"/>
      <c r="AW145" s="14"/>
      <c r="AX145" s="14"/>
      <c r="AY145" s="14"/>
      <c r="AZ145" s="14"/>
      <c r="BA145" s="14"/>
      <c r="BB145" s="14"/>
      <c r="BC145" s="14"/>
      <c r="BD145" s="14"/>
      <c r="BE145" s="14"/>
      <c r="BF145" s="14"/>
      <c r="BG145" s="14"/>
      <c r="BH145" s="14"/>
      <c r="BI145" s="14"/>
    </row>
    <row r="146" spans="1:6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v>46153</v>
      </c>
      <c r="AK146" s="14">
        <v>15.81</v>
      </c>
      <c r="AL146" s="14" t="s">
        <v>850</v>
      </c>
      <c r="AM146" s="14" t="s">
        <v>248</v>
      </c>
      <c r="AN146" s="14">
        <f>IF('Fund Data'!$H$2,IF(ISNUMBER(AK146),AK146,NA()),NA())</f>
        <v>15.81</v>
      </c>
      <c r="AO146" s="14"/>
      <c r="AP146" s="14"/>
      <c r="AQ146" s="14"/>
      <c r="AR146" s="14"/>
      <c r="AS146" s="14"/>
      <c r="AT146" s="14"/>
      <c r="AU146" s="14"/>
      <c r="AV146" s="14"/>
      <c r="AW146" s="14"/>
      <c r="AX146" s="14"/>
      <c r="AY146" s="14"/>
      <c r="AZ146" s="14"/>
      <c r="BA146" s="14"/>
      <c r="BB146" s="14"/>
      <c r="BC146" s="14"/>
      <c r="BD146" s="14"/>
      <c r="BE146" s="14"/>
      <c r="BF146" s="14"/>
      <c r="BG146" s="14"/>
      <c r="BH146" s="14"/>
      <c r="BI146" s="14"/>
    </row>
    <row r="147" spans="1:6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v>46154</v>
      </c>
      <c r="AK147" s="14">
        <v>15.78</v>
      </c>
      <c r="AL147" s="14" t="s">
        <v>850</v>
      </c>
      <c r="AM147" s="14" t="s">
        <v>248</v>
      </c>
      <c r="AN147" s="14">
        <f>IF('Fund Data'!$H$2,IF(ISNUMBER(AK147),AK147,NA()),NA())</f>
        <v>15.78</v>
      </c>
      <c r="AO147" s="14"/>
      <c r="AP147" s="14"/>
      <c r="AQ147" s="14"/>
      <c r="AR147" s="14"/>
      <c r="AS147" s="14"/>
      <c r="AT147" s="14"/>
      <c r="AU147" s="14"/>
      <c r="AV147" s="14"/>
      <c r="AW147" s="14"/>
      <c r="AX147" s="14"/>
      <c r="AY147" s="14"/>
      <c r="AZ147" s="14"/>
      <c r="BA147" s="14"/>
      <c r="BB147" s="14"/>
      <c r="BC147" s="14"/>
      <c r="BD147" s="14"/>
      <c r="BE147" s="14"/>
      <c r="BF147" s="14"/>
      <c r="BG147" s="14"/>
      <c r="BH147" s="14"/>
      <c r="BI147" s="14"/>
    </row>
    <row r="148" spans="1:6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v>46155</v>
      </c>
      <c r="AK148" s="14">
        <v>15.87</v>
      </c>
      <c r="AL148" s="14" t="s">
        <v>850</v>
      </c>
      <c r="AM148" s="14" t="s">
        <v>248</v>
      </c>
      <c r="AN148" s="14">
        <f>IF('Fund Data'!$H$2,IF(ISNUMBER(AK148),AK148,NA()),NA())</f>
        <v>15.87</v>
      </c>
      <c r="AO148" s="14"/>
      <c r="AP148" s="14"/>
      <c r="AQ148" s="14"/>
      <c r="AR148" s="14"/>
      <c r="AS148" s="14"/>
      <c r="AT148" s="14"/>
      <c r="AU148" s="14"/>
      <c r="AV148" s="14"/>
      <c r="AW148" s="14"/>
      <c r="AX148" s="14"/>
      <c r="AY148" s="14"/>
      <c r="AZ148" s="14"/>
      <c r="BA148" s="14"/>
      <c r="BB148" s="14"/>
      <c r="BC148" s="14"/>
      <c r="BD148" s="14"/>
      <c r="BE148" s="14"/>
      <c r="BF148" s="14"/>
      <c r="BG148" s="14"/>
      <c r="BH148" s="14"/>
      <c r="BI148" s="14"/>
    </row>
    <row r="149" spans="1:6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v>46156</v>
      </c>
      <c r="AK149" s="14">
        <v>15.99</v>
      </c>
      <c r="AL149" s="14" t="s">
        <v>850</v>
      </c>
      <c r="AM149" s="14" t="s">
        <v>248</v>
      </c>
      <c r="AN149" s="14">
        <f>IF('Fund Data'!$H$2,IF(ISNUMBER(AK149),AK149,NA()),NA())</f>
        <v>15.99</v>
      </c>
      <c r="AO149" s="14"/>
      <c r="AP149" s="14"/>
      <c r="AQ149" s="14"/>
      <c r="AR149" s="14"/>
      <c r="AS149" s="14"/>
      <c r="AT149" s="14"/>
      <c r="AU149" s="14"/>
      <c r="AV149" s="14"/>
      <c r="AW149" s="14"/>
      <c r="AX149" s="14"/>
      <c r="AY149" s="14"/>
      <c r="AZ149" s="14"/>
      <c r="BA149" s="14"/>
      <c r="BB149" s="14"/>
      <c r="BC149" s="14"/>
      <c r="BD149" s="14"/>
      <c r="BE149" s="14"/>
      <c r="BF149" s="14"/>
      <c r="BG149" s="14"/>
      <c r="BH149" s="14"/>
      <c r="BI149" s="14"/>
    </row>
    <row r="150" spans="1:6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v>46157</v>
      </c>
      <c r="AK150" s="14">
        <v>15.79</v>
      </c>
      <c r="AL150" s="14" t="s">
        <v>850</v>
      </c>
      <c r="AM150" s="14" t="s">
        <v>248</v>
      </c>
      <c r="AN150" s="14">
        <f>IF('Fund Data'!$H$2,IF(ISNUMBER(AK150),AK150,NA()),NA())</f>
        <v>15.79</v>
      </c>
      <c r="AO150" s="14"/>
      <c r="AP150" s="14"/>
      <c r="AQ150" s="14"/>
      <c r="AR150" s="14"/>
      <c r="AS150" s="14"/>
      <c r="AT150" s="14"/>
      <c r="AU150" s="14"/>
      <c r="AV150" s="14"/>
      <c r="AW150" s="14"/>
      <c r="AX150" s="14"/>
      <c r="AY150" s="14"/>
      <c r="AZ150" s="14"/>
      <c r="BA150" s="14"/>
      <c r="BB150" s="14"/>
      <c r="BC150" s="14"/>
      <c r="BD150" s="14"/>
      <c r="BE150" s="14"/>
      <c r="BF150" s="14"/>
      <c r="BG150" s="14"/>
      <c r="BH150" s="14"/>
      <c r="BI150" s="14"/>
    </row>
    <row r="151" spans="1:6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v>46160</v>
      </c>
      <c r="AK151" s="14">
        <v>15.77</v>
      </c>
      <c r="AL151" s="14" t="s">
        <v>850</v>
      </c>
      <c r="AM151" s="14" t="s">
        <v>248</v>
      </c>
      <c r="AN151" s="14">
        <f>IF('Fund Data'!$H$2,IF(ISNUMBER(AK151),AK151,NA()),NA())</f>
        <v>15.77</v>
      </c>
      <c r="AO151" s="14"/>
      <c r="AP151" s="14"/>
      <c r="AQ151" s="14"/>
      <c r="AR151" s="14"/>
      <c r="AS151" s="14"/>
      <c r="AT151" s="14"/>
      <c r="AU151" s="14"/>
      <c r="AV151" s="14"/>
      <c r="AW151" s="14"/>
      <c r="AX151" s="14"/>
      <c r="AY151" s="14"/>
      <c r="AZ151" s="14"/>
      <c r="BA151" s="14"/>
      <c r="BB151" s="14"/>
      <c r="BC151" s="14"/>
      <c r="BD151" s="14"/>
      <c r="BE151" s="14"/>
      <c r="BF151" s="14"/>
      <c r="BG151" s="14"/>
      <c r="BH151" s="14"/>
      <c r="BI151" s="14"/>
    </row>
    <row r="152" spans="1:6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v>46161</v>
      </c>
      <c r="AK152" s="14">
        <v>15.67</v>
      </c>
      <c r="AL152" s="14" t="s">
        <v>850</v>
      </c>
      <c r="AM152" s="14" t="s">
        <v>248</v>
      </c>
      <c r="AN152" s="14">
        <f>IF('Fund Data'!$H$2,IF(ISNUMBER(AK152),AK152,NA()),NA())</f>
        <v>15.67</v>
      </c>
      <c r="AO152" s="14"/>
      <c r="AP152" s="14"/>
      <c r="AQ152" s="14"/>
      <c r="AR152" s="14"/>
      <c r="AS152" s="14"/>
      <c r="AT152" s="14"/>
      <c r="AU152" s="14"/>
      <c r="AV152" s="14"/>
      <c r="AW152" s="14"/>
      <c r="AX152" s="14"/>
      <c r="AY152" s="14"/>
      <c r="AZ152" s="14"/>
      <c r="BA152" s="14"/>
      <c r="BB152" s="14"/>
      <c r="BC152" s="14"/>
      <c r="BD152" s="14"/>
      <c r="BE152" s="14"/>
      <c r="BF152" s="14"/>
      <c r="BG152" s="14"/>
      <c r="BH152" s="14"/>
      <c r="BI152" s="14"/>
    </row>
    <row r="153" spans="1:6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v>46162</v>
      </c>
      <c r="AK153" s="14">
        <v>15.85</v>
      </c>
      <c r="AL153" s="14" t="s">
        <v>850</v>
      </c>
      <c r="AM153" s="14" t="s">
        <v>248</v>
      </c>
      <c r="AN153" s="14">
        <f>IF('Fund Data'!$H$2,IF(ISNUMBER(AK153),AK153,NA()),NA())</f>
        <v>15.85</v>
      </c>
      <c r="AO153" s="14"/>
      <c r="AP153" s="14"/>
      <c r="AQ153" s="14"/>
      <c r="AR153" s="14"/>
      <c r="AS153" s="14"/>
      <c r="AT153" s="14"/>
      <c r="AU153" s="14"/>
      <c r="AV153" s="14"/>
      <c r="AW153" s="14"/>
      <c r="AX153" s="14"/>
      <c r="AY153" s="14"/>
      <c r="AZ153" s="14"/>
      <c r="BA153" s="14"/>
      <c r="BB153" s="14"/>
      <c r="BC153" s="14"/>
      <c r="BD153" s="14"/>
      <c r="BE153" s="14"/>
      <c r="BF153" s="14"/>
      <c r="BG153" s="14"/>
      <c r="BH153" s="14"/>
      <c r="BI153" s="14"/>
    </row>
    <row r="154" spans="1:6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v>46163</v>
      </c>
      <c r="AK154" s="14">
        <v>15.88</v>
      </c>
      <c r="AL154" s="14" t="s">
        <v>850</v>
      </c>
      <c r="AM154" s="14" t="s">
        <v>248</v>
      </c>
      <c r="AN154" s="14">
        <f>IF('Fund Data'!$H$2,IF(ISNUMBER(AK154),AK154,NA()),NA())</f>
        <v>15.88</v>
      </c>
      <c r="AO154" s="14"/>
      <c r="AP154" s="14"/>
      <c r="AQ154" s="14"/>
      <c r="AR154" s="14"/>
      <c r="AS154" s="14"/>
      <c r="AT154" s="14"/>
      <c r="AU154" s="14"/>
      <c r="AV154" s="14"/>
      <c r="AW154" s="14"/>
      <c r="AX154" s="14"/>
      <c r="AY154" s="14"/>
      <c r="AZ154" s="14"/>
      <c r="BA154" s="14"/>
      <c r="BB154" s="14"/>
      <c r="BC154" s="14"/>
      <c r="BD154" s="14"/>
      <c r="BE154" s="14"/>
      <c r="BF154" s="14"/>
      <c r="BG154" s="14"/>
      <c r="BH154" s="14"/>
      <c r="BI154" s="14"/>
    </row>
    <row r="155" spans="1:6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v>46164</v>
      </c>
      <c r="AK155" s="14">
        <v>15.95</v>
      </c>
      <c r="AL155" s="14" t="s">
        <v>850</v>
      </c>
      <c r="AM155" s="14" t="s">
        <v>248</v>
      </c>
      <c r="AN155" s="14">
        <f>IF('Fund Data'!$H$2,IF(ISNUMBER(AK155),AK155,NA()),NA())</f>
        <v>15.95</v>
      </c>
      <c r="AO155" s="14"/>
      <c r="AP155" s="14"/>
      <c r="AQ155" s="14"/>
      <c r="AR155" s="14"/>
      <c r="AS155" s="14"/>
      <c r="AT155" s="14"/>
      <c r="AU155" s="14"/>
      <c r="AV155" s="14"/>
      <c r="AW155" s="14"/>
      <c r="AX155" s="14"/>
      <c r="AY155" s="14"/>
      <c r="AZ155" s="14"/>
      <c r="BA155" s="14"/>
      <c r="BB155" s="14"/>
      <c r="BC155" s="14"/>
      <c r="BD155" s="14"/>
      <c r="BE155" s="14"/>
      <c r="BF155" s="14"/>
      <c r="BG155" s="14"/>
      <c r="BH155" s="14"/>
      <c r="BI155" s="14"/>
    </row>
    <row r="156" spans="1:6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v>46168</v>
      </c>
      <c r="AK156" s="14">
        <v>16.059999999999999</v>
      </c>
      <c r="AL156" s="14" t="s">
        <v>850</v>
      </c>
      <c r="AM156" s="14" t="s">
        <v>248</v>
      </c>
      <c r="AN156" s="14">
        <f>IF('Fund Data'!$H$2,IF(ISNUMBER(AK156),AK156,NA()),NA())</f>
        <v>16.059999999999999</v>
      </c>
      <c r="AO156" s="14"/>
      <c r="AP156" s="14"/>
      <c r="AQ156" s="14"/>
      <c r="AR156" s="14"/>
      <c r="AS156" s="14"/>
      <c r="AT156" s="14"/>
      <c r="AU156" s="14"/>
      <c r="AV156" s="14"/>
      <c r="AW156" s="14"/>
      <c r="AX156" s="14"/>
      <c r="AY156" s="14"/>
      <c r="AZ156" s="14"/>
      <c r="BA156" s="14"/>
      <c r="BB156" s="14"/>
      <c r="BC156" s="14"/>
      <c r="BD156" s="14"/>
      <c r="BE156" s="14"/>
      <c r="BF156" s="14"/>
      <c r="BG156" s="14"/>
      <c r="BH156" s="14"/>
      <c r="BI156" s="14"/>
    </row>
    <row r="157" spans="1:6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v>46169</v>
      </c>
      <c r="AK157" s="14">
        <v>16.059999999999999</v>
      </c>
      <c r="AL157" s="14" t="s">
        <v>850</v>
      </c>
      <c r="AM157" s="14" t="s">
        <v>248</v>
      </c>
      <c r="AN157" s="14">
        <f>IF('Fund Data'!$H$2,IF(ISNUMBER(AK157),AK157,NA()),NA())</f>
        <v>16.059999999999999</v>
      </c>
      <c r="AO157" s="14"/>
      <c r="AP157" s="14"/>
      <c r="AQ157" s="14"/>
      <c r="AR157" s="14"/>
      <c r="AS157" s="14"/>
      <c r="AT157" s="14"/>
      <c r="AU157" s="14"/>
      <c r="AV157" s="14"/>
      <c r="AW157" s="14"/>
      <c r="AX157" s="14"/>
      <c r="AY157" s="14"/>
      <c r="AZ157" s="14"/>
      <c r="BA157" s="14"/>
      <c r="BB157" s="14"/>
      <c r="BC157" s="14"/>
      <c r="BD157" s="14"/>
      <c r="BE157" s="14"/>
      <c r="BF157" s="14"/>
      <c r="BG157" s="14"/>
      <c r="BH157" s="14"/>
      <c r="BI157" s="14"/>
    </row>
    <row r="158" spans="1:6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v>46170</v>
      </c>
      <c r="AK158" s="14">
        <v>16.16</v>
      </c>
      <c r="AL158" s="14" t="s">
        <v>850</v>
      </c>
      <c r="AM158" s="14" t="s">
        <v>248</v>
      </c>
      <c r="AN158" s="14">
        <f>IF('Fund Data'!$H$2,IF(ISNUMBER(AK158),AK158,NA()),NA())</f>
        <v>16.16</v>
      </c>
      <c r="AO158" s="14"/>
      <c r="AP158" s="14"/>
      <c r="AQ158" s="14"/>
      <c r="AR158" s="14"/>
      <c r="AS158" s="14"/>
      <c r="AT158" s="14"/>
      <c r="AU158" s="14"/>
      <c r="AV158" s="14"/>
      <c r="AW158" s="14"/>
      <c r="AX158" s="14"/>
      <c r="AY158" s="14"/>
      <c r="AZ158" s="14"/>
      <c r="BA158" s="14"/>
      <c r="BB158" s="14"/>
      <c r="BC158" s="14"/>
      <c r="BD158" s="14"/>
      <c r="BE158" s="14"/>
      <c r="BF158" s="14"/>
      <c r="BG158" s="14"/>
      <c r="BH158" s="14"/>
      <c r="BI158" s="14"/>
    </row>
    <row r="159" spans="1:6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v>46171</v>
      </c>
      <c r="AK159" s="14">
        <v>16.2</v>
      </c>
      <c r="AL159" s="14" t="s">
        <v>850</v>
      </c>
      <c r="AM159" s="14" t="s">
        <v>248</v>
      </c>
      <c r="AN159" s="14">
        <f>IF('Fund Data'!$H$2,IF(ISNUMBER(AK159),AK159,NA()),NA())</f>
        <v>16.2</v>
      </c>
      <c r="AO159" s="14"/>
      <c r="AP159" s="14"/>
      <c r="AQ159" s="14"/>
      <c r="AR159" s="14"/>
      <c r="AS159" s="14"/>
      <c r="AT159" s="14"/>
      <c r="AU159" s="14"/>
      <c r="AV159" s="14"/>
      <c r="AW159" s="14"/>
      <c r="AX159" s="14"/>
      <c r="AY159" s="14"/>
      <c r="AZ159" s="14"/>
      <c r="BA159" s="14"/>
      <c r="BB159" s="14"/>
      <c r="BC159" s="14"/>
      <c r="BD159" s="14"/>
      <c r="BE159" s="14"/>
      <c r="BF159" s="14"/>
      <c r="BG159" s="14"/>
      <c r="BH159" s="14"/>
      <c r="BI159" s="14"/>
    </row>
    <row r="160" spans="1:6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v>46174</v>
      </c>
      <c r="AK160" s="14">
        <v>16.239999999999998</v>
      </c>
      <c r="AL160" s="14" t="s">
        <v>850</v>
      </c>
      <c r="AM160" s="14" t="s">
        <v>248</v>
      </c>
      <c r="AN160" s="14">
        <f>IF('Fund Data'!$H$2,IF(ISNUMBER(AK160),AK160,NA()),NA())</f>
        <v>16.239999999999998</v>
      </c>
      <c r="AO160" s="14"/>
      <c r="AP160" s="14"/>
      <c r="AQ160" s="14"/>
      <c r="AR160" s="14"/>
      <c r="AS160" s="14"/>
      <c r="AT160" s="14"/>
      <c r="AU160" s="14"/>
      <c r="AV160" s="14"/>
      <c r="AW160" s="14"/>
      <c r="AX160" s="14"/>
      <c r="AY160" s="14"/>
      <c r="AZ160" s="14"/>
      <c r="BA160" s="14"/>
      <c r="BB160" s="14"/>
      <c r="BC160" s="14"/>
      <c r="BD160" s="14"/>
      <c r="BE160" s="14"/>
      <c r="BF160" s="14"/>
      <c r="BG160" s="14"/>
      <c r="BH160" s="14"/>
      <c r="BI160" s="14"/>
    </row>
    <row r="161" spans="1:6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v>46175</v>
      </c>
      <c r="AK161" s="14">
        <v>16.28</v>
      </c>
      <c r="AL161" s="14" t="s">
        <v>850</v>
      </c>
      <c r="AM161" s="14" t="s">
        <v>248</v>
      </c>
      <c r="AN161" s="14">
        <f>IF('Fund Data'!$H$2,IF(ISNUMBER(AK161),AK161,NA()),NA())</f>
        <v>16.28</v>
      </c>
      <c r="AO161" s="14"/>
      <c r="AP161" s="14"/>
      <c r="AQ161" s="14"/>
      <c r="AR161" s="14"/>
      <c r="AS161" s="14"/>
      <c r="AT161" s="14"/>
      <c r="AU161" s="14"/>
      <c r="AV161" s="14"/>
      <c r="AW161" s="14"/>
      <c r="AX161" s="14"/>
      <c r="AY161" s="14"/>
      <c r="AZ161" s="14"/>
      <c r="BA161" s="14"/>
      <c r="BB161" s="14"/>
      <c r="BC161" s="14"/>
      <c r="BD161" s="14"/>
      <c r="BE161" s="14"/>
      <c r="BF161" s="14"/>
      <c r="BG161" s="14"/>
      <c r="BH161" s="14"/>
      <c r="BI161" s="14"/>
    </row>
    <row r="162" spans="1:6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v>46176</v>
      </c>
      <c r="AK162" s="14">
        <v>16.16</v>
      </c>
      <c r="AL162" s="14" t="s">
        <v>850</v>
      </c>
      <c r="AM162" s="14" t="s">
        <v>248</v>
      </c>
      <c r="AN162" s="14">
        <f>IF('Fund Data'!$H$2,IF(ISNUMBER(AK162),AK162,NA()),NA())</f>
        <v>16.16</v>
      </c>
      <c r="AO162" s="14"/>
      <c r="AP162" s="14"/>
      <c r="AQ162" s="14"/>
      <c r="AR162" s="14"/>
      <c r="AS162" s="14"/>
      <c r="AT162" s="14"/>
      <c r="AU162" s="14"/>
      <c r="AV162" s="14"/>
      <c r="AW162" s="14"/>
      <c r="AX162" s="14"/>
      <c r="AY162" s="14"/>
      <c r="AZ162" s="14"/>
      <c r="BA162" s="14"/>
      <c r="BB162" s="14"/>
      <c r="BC162" s="14"/>
      <c r="BD162" s="14"/>
      <c r="BE162" s="14"/>
      <c r="BF162" s="14"/>
      <c r="BG162" s="14"/>
      <c r="BH162" s="14"/>
      <c r="BI162" s="14"/>
    </row>
    <row r="163" spans="1:6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v>46177</v>
      </c>
      <c r="AK163" s="14">
        <v>16.239999999999998</v>
      </c>
      <c r="AL163" s="14" t="s">
        <v>850</v>
      </c>
      <c r="AM163" s="14" t="s">
        <v>248</v>
      </c>
      <c r="AN163" s="14">
        <f>IF('Fund Data'!$H$2,IF(ISNUMBER(AK163),AK163,NA()),NA())</f>
        <v>16.239999999999998</v>
      </c>
      <c r="AO163" s="14"/>
      <c r="AP163" s="14"/>
      <c r="AQ163" s="14"/>
      <c r="AR163" s="14"/>
      <c r="AS163" s="14"/>
      <c r="AT163" s="14"/>
      <c r="AU163" s="14"/>
      <c r="AV163" s="14"/>
      <c r="AW163" s="14"/>
      <c r="AX163" s="14"/>
      <c r="AY163" s="14"/>
      <c r="AZ163" s="14"/>
      <c r="BA163" s="14"/>
      <c r="BB163" s="14"/>
      <c r="BC163" s="14"/>
      <c r="BD163" s="14"/>
      <c r="BE163" s="14"/>
      <c r="BF163" s="14"/>
      <c r="BG163" s="14"/>
      <c r="BH163" s="14"/>
      <c r="BI163" s="14"/>
    </row>
    <row r="164" spans="1:6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v>46178</v>
      </c>
      <c r="AK164" s="14">
        <v>15.8</v>
      </c>
      <c r="AL164" s="14" t="s">
        <v>850</v>
      </c>
      <c r="AM164" s="14" t="s">
        <v>248</v>
      </c>
      <c r="AN164" s="14">
        <f>IF('Fund Data'!$H$2,IF(ISNUMBER(AK164),AK164,NA()),NA())</f>
        <v>15.8</v>
      </c>
      <c r="AO164" s="14"/>
      <c r="AP164" s="14"/>
      <c r="AQ164" s="14"/>
      <c r="AR164" s="14"/>
      <c r="AS164" s="14"/>
      <c r="AT164" s="14"/>
      <c r="AU164" s="14"/>
      <c r="AV164" s="14"/>
      <c r="AW164" s="14"/>
      <c r="AX164" s="14"/>
      <c r="AY164" s="14"/>
      <c r="AZ164" s="14"/>
      <c r="BA164" s="14"/>
      <c r="BB164" s="14"/>
      <c r="BC164" s="14"/>
      <c r="BD164" s="14"/>
      <c r="BE164" s="14"/>
      <c r="BF164" s="14"/>
      <c r="BG164" s="14"/>
      <c r="BH164" s="14"/>
      <c r="BI164" s="14"/>
    </row>
    <row r="165" spans="1:6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v>46181</v>
      </c>
      <c r="AK165" s="14">
        <v>15.85</v>
      </c>
      <c r="AL165" s="14" t="s">
        <v>850</v>
      </c>
      <c r="AM165" s="14" t="s">
        <v>248</v>
      </c>
      <c r="AN165" s="14">
        <f>IF('Fund Data'!$H$2,IF(ISNUMBER(AK165),AK165,NA()),NA())</f>
        <v>15.85</v>
      </c>
      <c r="AO165" s="14"/>
      <c r="AP165" s="14"/>
      <c r="AQ165" s="14"/>
      <c r="AR165" s="14"/>
      <c r="AS165" s="14"/>
      <c r="AT165" s="14"/>
      <c r="AU165" s="14"/>
      <c r="AV165" s="14"/>
      <c r="AW165" s="14"/>
      <c r="AX165" s="14"/>
      <c r="AY165" s="14"/>
      <c r="AZ165" s="14"/>
      <c r="BA165" s="14"/>
      <c r="BB165" s="14"/>
      <c r="BC165" s="14"/>
      <c r="BD165" s="14"/>
      <c r="BE165" s="14"/>
      <c r="BF165" s="14"/>
      <c r="BG165" s="14"/>
      <c r="BH165" s="14"/>
      <c r="BI165" s="14"/>
    </row>
    <row r="166" spans="1:6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v>46182</v>
      </c>
      <c r="AK166" s="14">
        <v>15.81</v>
      </c>
      <c r="AL166" s="14" t="s">
        <v>850</v>
      </c>
      <c r="AM166" s="14" t="s">
        <v>248</v>
      </c>
      <c r="AN166" s="14">
        <f>IF('Fund Data'!$H$2,IF(ISNUMBER(AK166),AK166,NA()),NA())</f>
        <v>15.81</v>
      </c>
      <c r="AO166" s="14"/>
      <c r="AP166" s="14"/>
      <c r="AQ166" s="14"/>
      <c r="AR166" s="14"/>
      <c r="AS166" s="14"/>
      <c r="AT166" s="14"/>
      <c r="AU166" s="14"/>
      <c r="AV166" s="14"/>
      <c r="AW166" s="14"/>
      <c r="AX166" s="14"/>
      <c r="AY166" s="14"/>
      <c r="AZ166" s="14"/>
      <c r="BA166" s="14"/>
      <c r="BB166" s="14"/>
      <c r="BC166" s="14"/>
      <c r="BD166" s="14"/>
      <c r="BE166" s="14"/>
      <c r="BF166" s="14"/>
      <c r="BG166" s="14"/>
      <c r="BH166" s="14"/>
      <c r="BI166" s="14"/>
    </row>
    <row r="167" spans="1:6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v>46183</v>
      </c>
      <c r="AK167" s="14">
        <v>15.55</v>
      </c>
      <c r="AL167" s="14" t="s">
        <v>850</v>
      </c>
      <c r="AM167" s="14" t="s">
        <v>248</v>
      </c>
      <c r="AN167" s="14">
        <f>IF('Fund Data'!$H$2,IF(ISNUMBER(AK167),AK167,NA()),NA())</f>
        <v>15.55</v>
      </c>
      <c r="AO167" s="14"/>
      <c r="AP167" s="14"/>
      <c r="AQ167" s="14"/>
      <c r="AR167" s="14"/>
      <c r="AS167" s="14"/>
      <c r="AT167" s="14"/>
      <c r="AU167" s="14"/>
      <c r="AV167" s="14"/>
      <c r="AW167" s="14"/>
      <c r="AX167" s="14"/>
      <c r="AY167" s="14"/>
      <c r="AZ167" s="14"/>
      <c r="BA167" s="14"/>
      <c r="BB167" s="14"/>
      <c r="BC167" s="14"/>
      <c r="BD167" s="14"/>
      <c r="BE167" s="14"/>
      <c r="BF167" s="14"/>
      <c r="BG167" s="14"/>
      <c r="BH167" s="14"/>
      <c r="BI167" s="14"/>
    </row>
    <row r="168" spans="1:6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v>46184</v>
      </c>
      <c r="AK168" s="14">
        <v>15.84</v>
      </c>
      <c r="AL168" s="14" t="s">
        <v>850</v>
      </c>
      <c r="AM168" s="14" t="s">
        <v>248</v>
      </c>
      <c r="AN168" s="14">
        <f>IF('Fund Data'!$H$2,IF(ISNUMBER(AK168),AK168,NA()),NA())</f>
        <v>15.84</v>
      </c>
      <c r="AO168" s="14"/>
      <c r="AP168" s="14"/>
      <c r="AQ168" s="14"/>
      <c r="AR168" s="14"/>
      <c r="AS168" s="14"/>
      <c r="AT168" s="14"/>
      <c r="AU168" s="14"/>
      <c r="AV168" s="14"/>
      <c r="AW168" s="14"/>
      <c r="AX168" s="14"/>
      <c r="AY168" s="14"/>
      <c r="AZ168" s="14"/>
      <c r="BA168" s="14"/>
      <c r="BB168" s="14"/>
      <c r="BC168" s="14"/>
      <c r="BD168" s="14"/>
      <c r="BE168" s="14"/>
      <c r="BF168" s="14"/>
      <c r="BG168" s="14"/>
      <c r="BH168" s="14"/>
      <c r="BI168" s="14"/>
    </row>
    <row r="169" spans="1:6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v>46185</v>
      </c>
      <c r="AK169" s="14">
        <v>15.92</v>
      </c>
      <c r="AL169" s="14" t="s">
        <v>850</v>
      </c>
      <c r="AM169" s="14" t="s">
        <v>248</v>
      </c>
      <c r="AN169" s="14">
        <f>IF('Fund Data'!$H$2,IF(ISNUMBER(AK169),AK169,NA()),NA())</f>
        <v>15.92</v>
      </c>
      <c r="AO169" s="14"/>
      <c r="AP169" s="14"/>
      <c r="AQ169" s="14"/>
      <c r="AR169" s="14"/>
      <c r="AS169" s="14"/>
      <c r="AT169" s="14"/>
      <c r="AU169" s="14"/>
      <c r="AV169" s="14"/>
      <c r="AW169" s="14"/>
      <c r="AX169" s="14"/>
      <c r="AY169" s="14"/>
      <c r="AZ169" s="14"/>
      <c r="BA169" s="14"/>
      <c r="BB169" s="14"/>
      <c r="BC169" s="14"/>
      <c r="BD169" s="14"/>
      <c r="BE169" s="14"/>
      <c r="BF169" s="14"/>
      <c r="BG169" s="14"/>
      <c r="BH169" s="14"/>
      <c r="BI169" s="14"/>
    </row>
    <row r="170" spans="1:6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v>46188</v>
      </c>
      <c r="AK170" s="14">
        <v>16.190000000000001</v>
      </c>
      <c r="AL170" s="14" t="s">
        <v>850</v>
      </c>
      <c r="AM170" s="14" t="s">
        <v>248</v>
      </c>
      <c r="AN170" s="14">
        <f>IF('Fund Data'!$H$2,IF(ISNUMBER(AK170),AK170,NA()),NA())</f>
        <v>16.190000000000001</v>
      </c>
      <c r="AO170" s="14"/>
      <c r="AP170" s="14"/>
      <c r="AQ170" s="14"/>
      <c r="AR170" s="14"/>
      <c r="AS170" s="14"/>
      <c r="AT170" s="14"/>
      <c r="AU170" s="14"/>
      <c r="AV170" s="14"/>
      <c r="AW170" s="14"/>
      <c r="AX170" s="14"/>
      <c r="AY170" s="14"/>
      <c r="AZ170" s="14"/>
      <c r="BA170" s="14"/>
      <c r="BB170" s="14"/>
      <c r="BC170" s="14"/>
      <c r="BD170" s="14"/>
      <c r="BE170" s="14"/>
      <c r="BF170" s="14"/>
      <c r="BG170" s="14"/>
      <c r="BH170" s="14"/>
      <c r="BI170" s="14"/>
    </row>
    <row r="171" spans="1:6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v>46189</v>
      </c>
      <c r="AK171" s="14">
        <v>16.09</v>
      </c>
      <c r="AL171" s="14" t="s">
        <v>850</v>
      </c>
      <c r="AM171" s="14" t="s">
        <v>248</v>
      </c>
      <c r="AN171" s="14">
        <f>IF('Fund Data'!$H$2,IF(ISNUMBER(AK171),AK171,NA()),NA())</f>
        <v>16.09</v>
      </c>
      <c r="AO171" s="14"/>
      <c r="AP171" s="14"/>
      <c r="AQ171" s="14"/>
      <c r="AR171" s="14"/>
      <c r="AS171" s="14"/>
      <c r="AT171" s="14"/>
      <c r="AU171" s="14"/>
      <c r="AV171" s="14"/>
      <c r="AW171" s="14"/>
      <c r="AX171" s="14"/>
      <c r="AY171" s="14"/>
      <c r="AZ171" s="14"/>
      <c r="BA171" s="14"/>
      <c r="BB171" s="14"/>
      <c r="BC171" s="14"/>
      <c r="BD171" s="14"/>
      <c r="BE171" s="14"/>
      <c r="BF171" s="14"/>
      <c r="BG171" s="14"/>
      <c r="BH171" s="14"/>
      <c r="BI171" s="14"/>
    </row>
    <row r="172" spans="1:6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v>46190</v>
      </c>
      <c r="AK172" s="14">
        <v>15.9</v>
      </c>
      <c r="AL172" s="14" t="s">
        <v>850</v>
      </c>
      <c r="AM172" s="14" t="s">
        <v>248</v>
      </c>
      <c r="AN172" s="14">
        <f>IF('Fund Data'!$H$2,IF(ISNUMBER(AK172),AK172,NA()),NA())</f>
        <v>15.9</v>
      </c>
      <c r="AO172" s="14"/>
      <c r="AP172" s="14"/>
      <c r="AQ172" s="14"/>
      <c r="AR172" s="14"/>
      <c r="AS172" s="14"/>
      <c r="AT172" s="14"/>
      <c r="AU172" s="14"/>
      <c r="AV172" s="14"/>
      <c r="AW172" s="14"/>
      <c r="AX172" s="14"/>
      <c r="AY172" s="14"/>
      <c r="AZ172" s="14"/>
      <c r="BA172" s="14"/>
      <c r="BB172" s="14"/>
      <c r="BC172" s="14"/>
      <c r="BD172" s="14"/>
      <c r="BE172" s="14"/>
      <c r="BF172" s="14"/>
      <c r="BG172" s="14"/>
      <c r="BH172" s="14"/>
      <c r="BI172" s="14"/>
    </row>
    <row r="173" spans="1:6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v>46191</v>
      </c>
      <c r="AK173" s="14">
        <v>16.079999999999998</v>
      </c>
      <c r="AL173" s="14" t="s">
        <v>850</v>
      </c>
      <c r="AM173" s="14" t="s">
        <v>248</v>
      </c>
      <c r="AN173" s="14">
        <f>IF('Fund Data'!$H$2,IF(ISNUMBER(AK173),AK173,NA()),NA())</f>
        <v>16.079999999999998</v>
      </c>
      <c r="AO173" s="14"/>
      <c r="AP173" s="14"/>
      <c r="AQ173" s="14"/>
      <c r="AR173" s="14"/>
      <c r="AS173" s="14"/>
      <c r="AT173" s="14"/>
      <c r="AU173" s="14"/>
      <c r="AV173" s="14"/>
      <c r="AW173" s="14"/>
      <c r="AX173" s="14"/>
      <c r="AY173" s="14"/>
      <c r="AZ173" s="14"/>
      <c r="BA173" s="14"/>
      <c r="BB173" s="14"/>
      <c r="BC173" s="14"/>
      <c r="BD173" s="14"/>
      <c r="BE173" s="14"/>
      <c r="BF173" s="14"/>
      <c r="BG173" s="14"/>
      <c r="BH173" s="14"/>
      <c r="BI173" s="14"/>
    </row>
    <row r="174" spans="1:6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v>46195</v>
      </c>
      <c r="AK174" s="14">
        <v>16.02</v>
      </c>
      <c r="AL174" s="14" t="s">
        <v>850</v>
      </c>
      <c r="AM174" s="14" t="s">
        <v>248</v>
      </c>
      <c r="AN174" s="14">
        <f>IF('Fund Data'!$H$2,IF(ISNUMBER(AK174),AK174,NA()),NA())</f>
        <v>16.02</v>
      </c>
      <c r="AO174" s="14"/>
      <c r="AP174" s="14"/>
      <c r="AQ174" s="14"/>
      <c r="AR174" s="14"/>
      <c r="AS174" s="14"/>
      <c r="AT174" s="14"/>
      <c r="AU174" s="14"/>
      <c r="AV174" s="14"/>
      <c r="AW174" s="14"/>
      <c r="AX174" s="14"/>
      <c r="AY174" s="14"/>
      <c r="AZ174" s="14"/>
      <c r="BA174" s="14"/>
      <c r="BB174" s="14"/>
      <c r="BC174" s="14"/>
      <c r="BD174" s="14"/>
      <c r="BE174" s="14"/>
      <c r="BF174" s="14"/>
      <c r="BG174" s="14"/>
      <c r="BH174" s="14"/>
      <c r="BI174" s="14"/>
    </row>
    <row r="175" spans="1:6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v>46196</v>
      </c>
      <c r="AK175" s="14">
        <v>15.8</v>
      </c>
      <c r="AL175" s="14" t="s">
        <v>850</v>
      </c>
      <c r="AM175" s="14" t="s">
        <v>248</v>
      </c>
      <c r="AN175" s="14">
        <f>IF('Fund Data'!$H$2,IF(ISNUMBER(AK175),AK175,NA()),NA())</f>
        <v>15.8</v>
      </c>
      <c r="AO175" s="14"/>
      <c r="AP175" s="14"/>
      <c r="AQ175" s="14"/>
      <c r="AR175" s="14"/>
      <c r="AS175" s="14"/>
      <c r="AT175" s="14"/>
      <c r="AU175" s="14"/>
      <c r="AV175" s="14"/>
      <c r="AW175" s="14"/>
      <c r="AX175" s="14"/>
      <c r="AY175" s="14"/>
      <c r="AZ175" s="14"/>
      <c r="BA175" s="14"/>
      <c r="BB175" s="14"/>
      <c r="BC175" s="14"/>
      <c r="BD175" s="14"/>
      <c r="BE175" s="14"/>
      <c r="BF175" s="14"/>
      <c r="BG175" s="14"/>
      <c r="BH175" s="14"/>
      <c r="BI175" s="14"/>
    </row>
    <row r="176" spans="1:6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v>46197</v>
      </c>
      <c r="AK176" s="14">
        <v>15.79</v>
      </c>
      <c r="AL176" s="14" t="s">
        <v>850</v>
      </c>
      <c r="AM176" s="14" t="s">
        <v>248</v>
      </c>
      <c r="AN176" s="14">
        <f>IF('Fund Data'!$H$2,IF(ISNUMBER(AK176),AK176,NA()),NA())</f>
        <v>15.79</v>
      </c>
      <c r="AO176" s="14"/>
      <c r="AP176" s="14"/>
      <c r="AQ176" s="14"/>
      <c r="AR176" s="14"/>
      <c r="AS176" s="14"/>
      <c r="AT176" s="14"/>
      <c r="AU176" s="14"/>
      <c r="AV176" s="14"/>
      <c r="AW176" s="14"/>
      <c r="AX176" s="14"/>
      <c r="AY176" s="14"/>
      <c r="AZ176" s="14"/>
      <c r="BA176" s="14"/>
      <c r="BB176" s="14"/>
      <c r="BC176" s="14"/>
      <c r="BD176" s="14"/>
      <c r="BE176" s="14"/>
      <c r="BF176" s="14"/>
      <c r="BG176" s="14"/>
      <c r="BH176" s="14"/>
      <c r="BI176" s="14"/>
    </row>
    <row r="177" spans="1:6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v>46198</v>
      </c>
      <c r="AK177" s="14">
        <v>15.79</v>
      </c>
      <c r="AL177" s="14" t="s">
        <v>850</v>
      </c>
      <c r="AM177" s="14" t="s">
        <v>248</v>
      </c>
      <c r="AN177" s="14">
        <f>IF('Fund Data'!$H$2,IF(ISNUMBER(AK177),AK177,NA()),NA())</f>
        <v>15.79</v>
      </c>
      <c r="AO177" s="14"/>
      <c r="AP177" s="14"/>
      <c r="AQ177" s="14"/>
      <c r="AR177" s="14"/>
      <c r="AS177" s="14"/>
      <c r="AT177" s="14"/>
      <c r="AU177" s="14"/>
      <c r="AV177" s="14"/>
      <c r="AW177" s="14"/>
      <c r="AX177" s="14"/>
      <c r="AY177" s="14"/>
      <c r="AZ177" s="14"/>
      <c r="BA177" s="14"/>
      <c r="BB177" s="14"/>
      <c r="BC177" s="14"/>
      <c r="BD177" s="14"/>
      <c r="BE177" s="14"/>
      <c r="BF177" s="14"/>
      <c r="BG177" s="14"/>
      <c r="BH177" s="14"/>
      <c r="BI177" s="14"/>
    </row>
    <row r="178" spans="1:6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v>46199</v>
      </c>
      <c r="AK178" s="14">
        <v>15.79</v>
      </c>
      <c r="AL178" s="14" t="s">
        <v>850</v>
      </c>
      <c r="AM178" s="14" t="s">
        <v>248</v>
      </c>
      <c r="AN178" s="14">
        <f>IF('Fund Data'!$H$2,IF(ISNUMBER(AK178),AK178,NA()),NA())</f>
        <v>15.79</v>
      </c>
      <c r="AO178" s="14"/>
      <c r="AP178" s="14"/>
      <c r="AQ178" s="14"/>
      <c r="AR178" s="14"/>
      <c r="AS178" s="14"/>
      <c r="AT178" s="14"/>
      <c r="AU178" s="14"/>
      <c r="AV178" s="14"/>
      <c r="AW178" s="14"/>
      <c r="AX178" s="14"/>
      <c r="AY178" s="14"/>
      <c r="AZ178" s="14"/>
      <c r="BA178" s="14"/>
      <c r="BB178" s="14"/>
      <c r="BC178" s="14"/>
      <c r="BD178" s="14"/>
      <c r="BE178" s="14"/>
      <c r="BF178" s="14"/>
      <c r="BG178" s="14"/>
      <c r="BH178" s="14"/>
      <c r="BI178" s="14"/>
    </row>
    <row r="179" spans="1:6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v>46202</v>
      </c>
      <c r="AK179" s="14">
        <v>15.97</v>
      </c>
      <c r="AL179" s="14" t="s">
        <v>850</v>
      </c>
      <c r="AM179" s="14" t="s">
        <v>248</v>
      </c>
      <c r="AN179" s="14">
        <f>IF('Fund Data'!$H$2,IF(ISNUMBER(AK179),AK179,NA()),NA())</f>
        <v>15.97</v>
      </c>
      <c r="AO179" s="14"/>
      <c r="AP179" s="14"/>
      <c r="AQ179" s="14"/>
      <c r="AR179" s="14"/>
      <c r="AS179" s="14"/>
      <c r="AT179" s="14"/>
      <c r="AU179" s="14"/>
      <c r="AV179" s="14"/>
      <c r="AW179" s="14"/>
      <c r="AX179" s="14"/>
      <c r="AY179" s="14"/>
      <c r="AZ179" s="14"/>
      <c r="BA179" s="14"/>
      <c r="BB179" s="14"/>
      <c r="BC179" s="14"/>
      <c r="BD179" s="14"/>
      <c r="BE179" s="14"/>
      <c r="BF179" s="14"/>
      <c r="BG179" s="14"/>
      <c r="BH179" s="14"/>
      <c r="BI179" s="14"/>
    </row>
    <row r="180" spans="1:6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v>46203</v>
      </c>
      <c r="AK180" s="14">
        <v>16.100000000000001</v>
      </c>
      <c r="AL180" s="14" t="s">
        <v>850</v>
      </c>
      <c r="AM180" s="14" t="s">
        <v>248</v>
      </c>
      <c r="AN180" s="14">
        <f>IF('Fund Data'!$H$2,IF(ISNUMBER(AK180),AK180,NA()),NA())</f>
        <v>16.100000000000001</v>
      </c>
      <c r="AO180" s="14"/>
      <c r="AP180" s="14"/>
      <c r="AQ180" s="14"/>
      <c r="AR180" s="14"/>
      <c r="AS180" s="14"/>
      <c r="AT180" s="14"/>
      <c r="AU180" s="14"/>
      <c r="AV180" s="14"/>
      <c r="AW180" s="14"/>
      <c r="AX180" s="14"/>
      <c r="AY180" s="14"/>
      <c r="AZ180" s="14"/>
      <c r="BA180" s="14"/>
      <c r="BB180" s="14"/>
      <c r="BC180" s="14"/>
      <c r="BD180" s="14"/>
      <c r="BE180" s="14"/>
      <c r="BF180" s="14"/>
      <c r="BG180" s="14"/>
      <c r="BH180" s="14"/>
      <c r="BI180" s="14"/>
    </row>
    <row r="181" spans="1:6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v>46204</v>
      </c>
      <c r="AK181" s="14">
        <v>16.07</v>
      </c>
      <c r="AL181" s="14" t="s">
        <v>850</v>
      </c>
      <c r="AM181" s="14" t="s">
        <v>248</v>
      </c>
      <c r="AN181" s="14">
        <f>IF('Fund Data'!$H$2,IF(ISNUMBER(AK181),AK181,NA()),NA())</f>
        <v>16.07</v>
      </c>
      <c r="AO181" s="14"/>
      <c r="AP181" s="14"/>
      <c r="AQ181" s="14"/>
      <c r="AR181" s="14"/>
      <c r="AS181" s="14"/>
      <c r="AT181" s="14"/>
      <c r="AU181" s="14"/>
      <c r="AV181" s="14"/>
      <c r="AW181" s="14"/>
      <c r="AX181" s="14"/>
      <c r="AY181" s="14"/>
      <c r="AZ181" s="14"/>
      <c r="BA181" s="14"/>
      <c r="BB181" s="14"/>
      <c r="BC181" s="14"/>
      <c r="BD181" s="14"/>
      <c r="BE181" s="14"/>
      <c r="BF181" s="14"/>
      <c r="BG181" s="14"/>
      <c r="BH181" s="14"/>
      <c r="BI181" s="14"/>
    </row>
    <row r="182" spans="1:6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v>46205</v>
      </c>
      <c r="AK182" s="14">
        <v>16.059999999999999</v>
      </c>
      <c r="AL182" s="14" t="s">
        <v>850</v>
      </c>
      <c r="AM182" s="14" t="s">
        <v>248</v>
      </c>
      <c r="AN182" s="14">
        <f>IF('Fund Data'!$H$2,IF(ISNUMBER(AK182),AK182,NA()),NA())</f>
        <v>16.059999999999999</v>
      </c>
      <c r="AO182" s="14"/>
      <c r="AP182" s="14"/>
      <c r="AQ182" s="14"/>
      <c r="AR182" s="14"/>
      <c r="AS182" s="14"/>
      <c r="AT182" s="14"/>
      <c r="AU182" s="14"/>
      <c r="AV182" s="14"/>
      <c r="AW182" s="14"/>
      <c r="AX182" s="14"/>
      <c r="AY182" s="14"/>
      <c r="AZ182" s="14"/>
      <c r="BA182" s="14"/>
      <c r="BB182" s="14"/>
      <c r="BC182" s="14"/>
      <c r="BD182" s="14"/>
      <c r="BE182" s="14"/>
      <c r="BF182" s="14"/>
      <c r="BG182" s="14"/>
      <c r="BH182" s="14"/>
      <c r="BI182" s="14"/>
    </row>
    <row r="183" spans="1:6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v>46209</v>
      </c>
      <c r="AK183" s="14">
        <v>16.18</v>
      </c>
      <c r="AL183" s="14" t="s">
        <v>850</v>
      </c>
      <c r="AM183" s="14" t="s">
        <v>248</v>
      </c>
      <c r="AN183" s="14">
        <f>IF('Fund Data'!$H$2,IF(ISNUMBER(AK183),AK183,NA()),NA())</f>
        <v>16.18</v>
      </c>
      <c r="AO183" s="14"/>
      <c r="AP183" s="14"/>
      <c r="AQ183" s="14"/>
      <c r="AR183" s="14"/>
      <c r="AS183" s="14"/>
      <c r="AT183" s="14"/>
      <c r="AU183" s="14"/>
      <c r="AV183" s="14"/>
      <c r="AW183" s="14"/>
      <c r="AX183" s="14"/>
      <c r="AY183" s="14"/>
      <c r="AZ183" s="14"/>
      <c r="BA183" s="14"/>
      <c r="BB183" s="14"/>
      <c r="BC183" s="14"/>
      <c r="BD183" s="14"/>
      <c r="BE183" s="14"/>
      <c r="BF183" s="14"/>
      <c r="BG183" s="14"/>
      <c r="BH183" s="14"/>
      <c r="BI183" s="14"/>
    </row>
    <row r="184" spans="1:6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v>46210</v>
      </c>
      <c r="AK184" s="14">
        <v>16.100000000000001</v>
      </c>
      <c r="AL184" s="14" t="s">
        <v>850</v>
      </c>
      <c r="AM184" s="14" t="s">
        <v>248</v>
      </c>
      <c r="AN184" s="14">
        <f>IF('Fund Data'!$H$2,IF(ISNUMBER(AK184),AK184,NA()),NA())</f>
        <v>16.100000000000001</v>
      </c>
      <c r="AO184" s="14"/>
      <c r="AP184" s="14"/>
      <c r="AQ184" s="14"/>
      <c r="AR184" s="14"/>
      <c r="AS184" s="14"/>
      <c r="AT184" s="14"/>
      <c r="AU184" s="14"/>
      <c r="AV184" s="14"/>
      <c r="AW184" s="14"/>
      <c r="AX184" s="14"/>
      <c r="AY184" s="14"/>
      <c r="AZ184" s="14"/>
      <c r="BA184" s="14"/>
      <c r="BB184" s="14"/>
      <c r="BC184" s="14"/>
      <c r="BD184" s="14"/>
      <c r="BE184" s="14"/>
      <c r="BF184" s="14"/>
      <c r="BG184" s="14"/>
      <c r="BH184" s="14"/>
      <c r="BI184" s="14"/>
    </row>
    <row r="185" spans="1:6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v>46211</v>
      </c>
      <c r="AK185" s="14">
        <v>16.04</v>
      </c>
      <c r="AL185" s="14" t="s">
        <v>850</v>
      </c>
      <c r="AM185" s="14" t="s">
        <v>248</v>
      </c>
      <c r="AN185" s="14">
        <f>IF('Fund Data'!$H$2,IF(ISNUMBER(AK185),AK185,NA()),NA())</f>
        <v>16.04</v>
      </c>
      <c r="AO185" s="14"/>
      <c r="AP185" s="14"/>
      <c r="AQ185" s="14"/>
      <c r="AR185" s="14"/>
      <c r="AS185" s="14"/>
      <c r="AT185" s="14"/>
      <c r="AU185" s="14"/>
      <c r="AV185" s="14"/>
      <c r="AW185" s="14"/>
      <c r="AX185" s="14"/>
      <c r="AY185" s="14"/>
      <c r="AZ185" s="14"/>
      <c r="BA185" s="14"/>
      <c r="BB185" s="14"/>
      <c r="BC185" s="14"/>
      <c r="BD185" s="14"/>
      <c r="BE185" s="14"/>
      <c r="BF185" s="14"/>
      <c r="BG185" s="14"/>
      <c r="BH185" s="14"/>
      <c r="BI185" s="14"/>
    </row>
    <row r="186" spans="1:6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v>46212</v>
      </c>
      <c r="AK186" s="14">
        <v>16.18</v>
      </c>
      <c r="AL186" s="14" t="s">
        <v>850</v>
      </c>
      <c r="AM186" s="14" t="s">
        <v>248</v>
      </c>
      <c r="AN186" s="14">
        <f>IF('Fund Data'!$H$2,IF(ISNUMBER(AK186),AK186,NA()),NA())</f>
        <v>16.18</v>
      </c>
      <c r="AO186" s="14"/>
      <c r="AP186" s="14"/>
      <c r="AQ186" s="14"/>
      <c r="AR186" s="14"/>
      <c r="AS186" s="14"/>
      <c r="AT186" s="14"/>
      <c r="AU186" s="14"/>
      <c r="AV186" s="14"/>
      <c r="AW186" s="14"/>
      <c r="AX186" s="14"/>
      <c r="AY186" s="14"/>
      <c r="AZ186" s="14"/>
      <c r="BA186" s="14"/>
      <c r="BB186" s="14"/>
      <c r="BC186" s="14"/>
      <c r="BD186" s="14"/>
      <c r="BE186" s="14"/>
      <c r="BF186" s="14"/>
      <c r="BG186" s="14"/>
      <c r="BH186" s="14"/>
      <c r="BI186" s="14"/>
    </row>
    <row r="187" spans="1:6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v>46213</v>
      </c>
      <c r="AK187" s="14">
        <v>16.239999999999998</v>
      </c>
      <c r="AL187" s="14" t="s">
        <v>850</v>
      </c>
      <c r="AM187" s="14" t="s">
        <v>248</v>
      </c>
      <c r="AN187" s="14">
        <f>IF('Fund Data'!$H$2,IF(ISNUMBER(AK187),AK187,NA()),NA())</f>
        <v>16.239999999999998</v>
      </c>
      <c r="AO187" s="14"/>
      <c r="AP187" s="14"/>
      <c r="AQ187" s="14"/>
      <c r="AR187" s="14"/>
      <c r="AS187" s="14"/>
      <c r="AT187" s="14"/>
      <c r="AU187" s="14"/>
      <c r="AV187" s="14"/>
      <c r="AW187" s="14"/>
      <c r="AX187" s="14"/>
      <c r="AY187" s="14"/>
      <c r="AZ187" s="14"/>
      <c r="BA187" s="14"/>
      <c r="BB187" s="14"/>
      <c r="BC187" s="14"/>
      <c r="BD187" s="14"/>
      <c r="BE187" s="14"/>
      <c r="BF187" s="14"/>
      <c r="BG187" s="14"/>
      <c r="BH187" s="14"/>
      <c r="BI187" s="14"/>
    </row>
    <row r="188" spans="1:6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67">
        <v>46216</v>
      </c>
      <c r="AK188" s="14">
        <v>16.11</v>
      </c>
      <c r="AL188" s="14" t="s">
        <v>850</v>
      </c>
      <c r="AM188" s="14" t="s">
        <v>248</v>
      </c>
      <c r="AN188" s="14">
        <f>IF('Fund Data'!$H$2,IF(ISNUMBER(AK188),AK188,NA()),NA())</f>
        <v>16.11</v>
      </c>
      <c r="AO188" s="14"/>
      <c r="AP188" s="14"/>
      <c r="AQ188" s="14"/>
      <c r="AR188" s="14"/>
      <c r="AS188" s="14"/>
      <c r="AT188" s="14"/>
      <c r="AU188" s="14"/>
      <c r="AV188" s="14"/>
      <c r="AW188" s="14"/>
      <c r="AX188" s="14"/>
      <c r="AY188" s="14"/>
      <c r="AZ188" s="14"/>
      <c r="BA188" s="14"/>
      <c r="BB188" s="14"/>
      <c r="BC188" s="14"/>
      <c r="BD188" s="14"/>
      <c r="BE188" s="14"/>
      <c r="BF188" s="14"/>
      <c r="BG188" s="14"/>
      <c r="BH188" s="14"/>
      <c r="BI188" s="14"/>
    </row>
    <row r="189" spans="1:6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v>46217</v>
      </c>
      <c r="AK189" s="14">
        <v>16.170000000000002</v>
      </c>
      <c r="AL189" s="14" t="s">
        <v>850</v>
      </c>
      <c r="AM189" s="14" t="s">
        <v>248</v>
      </c>
      <c r="AN189" s="14">
        <f>IF('Fund Data'!$H$2,IF(ISNUMBER(AK189),AK189,NA()),NA())</f>
        <v>16.170000000000002</v>
      </c>
      <c r="AO189" s="14"/>
      <c r="AP189" s="14"/>
      <c r="AQ189" s="14"/>
      <c r="AR189" s="14"/>
      <c r="AS189" s="14"/>
      <c r="AT189" s="14"/>
      <c r="AU189" s="14"/>
      <c r="AV189" s="14"/>
      <c r="AW189" s="14"/>
      <c r="AX189" s="14"/>
      <c r="AY189" s="14"/>
      <c r="AZ189" s="14"/>
      <c r="BA189" s="14"/>
      <c r="BB189" s="14"/>
      <c r="BC189" s="14"/>
      <c r="BD189" s="14"/>
      <c r="BE189" s="14"/>
      <c r="BF189" s="14"/>
      <c r="BG189" s="14"/>
      <c r="BH189" s="14"/>
      <c r="BI189" s="14"/>
    </row>
    <row r="190" spans="1:6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v>46218</v>
      </c>
      <c r="AK190" s="14">
        <v>16.23</v>
      </c>
      <c r="AL190" s="14" t="s">
        <v>850</v>
      </c>
      <c r="AM190" s="14" t="s">
        <v>248</v>
      </c>
      <c r="AN190" s="14">
        <f>IF('Fund Data'!$H$2,IF(ISNUMBER(AK190),AK190,NA()),NA())</f>
        <v>16.23</v>
      </c>
      <c r="AO190" s="14"/>
      <c r="AP190" s="14"/>
      <c r="AQ190" s="14"/>
      <c r="AR190" s="14"/>
      <c r="AS190" s="14"/>
      <c r="AT190" s="14"/>
      <c r="AU190" s="14"/>
      <c r="AV190" s="14"/>
      <c r="AW190" s="14"/>
      <c r="AX190" s="14"/>
      <c r="AY190" s="14"/>
      <c r="AZ190" s="14"/>
      <c r="BA190" s="14"/>
      <c r="BB190" s="14"/>
      <c r="BC190" s="14"/>
      <c r="BD190" s="14"/>
      <c r="BE190" s="14"/>
      <c r="BF190" s="14"/>
      <c r="BG190" s="14"/>
      <c r="BH190" s="14"/>
      <c r="BI190" s="14"/>
    </row>
    <row r="191" spans="1:6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v>46219</v>
      </c>
      <c r="AK191" s="14">
        <v>16.149999999999999</v>
      </c>
      <c r="AL191" s="14" t="s">
        <v>850</v>
      </c>
      <c r="AM191" s="14" t="s">
        <v>248</v>
      </c>
      <c r="AN191" s="14">
        <f>IF('Fund Data'!$H$2,IF(ISNUMBER(AK191),AK191,NA()),NA())</f>
        <v>16.149999999999999</v>
      </c>
      <c r="AO191" s="14"/>
      <c r="AP191" s="14"/>
      <c r="AQ191" s="14"/>
      <c r="AR191" s="14"/>
      <c r="AS191" s="14"/>
      <c r="AT191" s="14"/>
      <c r="AU191" s="14"/>
      <c r="AV191" s="14"/>
      <c r="AW191" s="14"/>
      <c r="AX191" s="14"/>
      <c r="AY191" s="14"/>
      <c r="AZ191" s="14"/>
      <c r="BA191" s="14"/>
      <c r="BB191" s="14"/>
      <c r="BC191" s="14"/>
      <c r="BD191" s="14"/>
      <c r="BE191" s="14"/>
      <c r="BF191" s="14"/>
      <c r="BG191" s="14"/>
      <c r="BH191" s="14"/>
      <c r="BI191" s="14"/>
    </row>
    <row r="192" spans="1:6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v>46220</v>
      </c>
      <c r="AK192" s="14">
        <v>15.99</v>
      </c>
      <c r="AL192" s="14" t="s">
        <v>850</v>
      </c>
      <c r="AM192" s="14" t="s">
        <v>248</v>
      </c>
      <c r="AN192" s="14">
        <f>IF('Fund Data'!$H$2,IF(ISNUMBER(AK192),AK192,NA()),NA())</f>
        <v>15.99</v>
      </c>
      <c r="AO192" s="14"/>
      <c r="AP192" s="14"/>
      <c r="AQ192" s="14"/>
      <c r="AR192" s="14"/>
      <c r="AS192" s="14"/>
      <c r="AT192" s="14"/>
      <c r="AU192" s="14"/>
      <c r="AV192" s="14"/>
      <c r="AW192" s="14"/>
      <c r="AX192" s="14"/>
      <c r="AY192" s="14"/>
      <c r="AZ192" s="14"/>
      <c r="BA192" s="14"/>
      <c r="BB192" s="14"/>
      <c r="BC192" s="14"/>
      <c r="BD192" s="14"/>
      <c r="BE192" s="14"/>
      <c r="BF192" s="14"/>
      <c r="BG192" s="14"/>
      <c r="BH192" s="14"/>
      <c r="BI192" s="14"/>
    </row>
    <row r="193" spans="1:6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v>46223</v>
      </c>
      <c r="AK193" s="14">
        <v>15.95</v>
      </c>
      <c r="AL193" s="14" t="s">
        <v>850</v>
      </c>
      <c r="AM193" s="14" t="s">
        <v>248</v>
      </c>
      <c r="AN193" s="14">
        <f>IF('Fund Data'!$H$2,IF(ISNUMBER(AK193),AK193,NA()),NA())</f>
        <v>15.95</v>
      </c>
      <c r="AO193" s="14"/>
      <c r="AP193" s="14"/>
      <c r="AQ193" s="14"/>
      <c r="AR193" s="14"/>
      <c r="AS193" s="14"/>
      <c r="AT193" s="14"/>
      <c r="AU193" s="14"/>
      <c r="AV193" s="14"/>
      <c r="AW193" s="14"/>
      <c r="AX193" s="14"/>
      <c r="AY193" s="14"/>
      <c r="AZ193" s="14"/>
      <c r="BA193" s="14"/>
      <c r="BB193" s="14"/>
      <c r="BC193" s="14"/>
      <c r="BD193" s="14"/>
      <c r="BE193" s="14"/>
      <c r="BF193" s="14"/>
      <c r="BG193" s="14"/>
      <c r="BH193" s="14"/>
      <c r="BI193" s="14"/>
    </row>
    <row r="194" spans="1:6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v>46224</v>
      </c>
      <c r="AK194" s="14">
        <v>16.09</v>
      </c>
      <c r="AL194" s="14" t="s">
        <v>850</v>
      </c>
      <c r="AM194" s="14" t="s">
        <v>248</v>
      </c>
      <c r="AN194" s="14">
        <f>IF('Fund Data'!$H$2,IF(ISNUMBER(AK194),AK194,NA()),NA())</f>
        <v>16.09</v>
      </c>
      <c r="AO194" s="14"/>
      <c r="AP194" s="14"/>
      <c r="AQ194" s="14"/>
      <c r="AR194" s="14"/>
      <c r="AS194" s="14"/>
      <c r="AT194" s="14"/>
      <c r="AU194" s="14"/>
      <c r="AV194" s="14"/>
      <c r="AW194" s="14"/>
      <c r="AX194" s="14"/>
      <c r="AY194" s="14"/>
      <c r="AZ194" s="14"/>
      <c r="BA194" s="14"/>
      <c r="BB194" s="14"/>
      <c r="BC194" s="14"/>
      <c r="BD194" s="14"/>
      <c r="BE194" s="14"/>
      <c r="BF194" s="14"/>
      <c r="BG194" s="14"/>
      <c r="BH194" s="14"/>
      <c r="BI194" s="14"/>
    </row>
    <row r="195" spans="1:6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v>46225</v>
      </c>
      <c r="AK195" s="14">
        <v>16.07</v>
      </c>
      <c r="AL195" s="14" t="s">
        <v>850</v>
      </c>
      <c r="AM195" s="14" t="s">
        <v>248</v>
      </c>
      <c r="AN195" s="14">
        <f>IF('Fund Data'!$H$2,IF(ISNUMBER(AK195),AK195,NA()),NA())</f>
        <v>16.07</v>
      </c>
      <c r="AO195" s="14"/>
      <c r="AP195" s="14"/>
      <c r="AQ195" s="14"/>
      <c r="AR195" s="14"/>
      <c r="AS195" s="14"/>
      <c r="AT195" s="14"/>
      <c r="AU195" s="14"/>
      <c r="AV195" s="14"/>
      <c r="AW195" s="14"/>
      <c r="AX195" s="14"/>
      <c r="AY195" s="14"/>
      <c r="AZ195" s="14"/>
      <c r="BA195" s="14"/>
      <c r="BB195" s="14"/>
      <c r="BC195" s="14"/>
      <c r="BD195" s="14"/>
      <c r="BE195" s="14"/>
      <c r="BF195" s="14"/>
      <c r="BG195" s="14"/>
      <c r="BH195" s="14"/>
      <c r="BI195" s="14"/>
    </row>
    <row r="196" spans="1:6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v>46226</v>
      </c>
      <c r="AK196" s="14">
        <v>15.88</v>
      </c>
      <c r="AL196" s="14" t="s">
        <v>850</v>
      </c>
      <c r="AM196" s="14" t="s">
        <v>248</v>
      </c>
      <c r="AN196" s="14">
        <f>IF('Fund Data'!$H$2,IF(ISNUMBER(AK196),AK196,NA()),NA())</f>
        <v>15.88</v>
      </c>
      <c r="AO196" s="14"/>
      <c r="AP196" s="14"/>
      <c r="AQ196" s="14"/>
      <c r="AR196" s="14"/>
      <c r="AS196" s="14"/>
      <c r="AT196" s="14"/>
      <c r="AU196" s="14"/>
      <c r="AV196" s="14"/>
      <c r="AW196" s="14"/>
      <c r="AX196" s="14"/>
      <c r="AY196" s="14"/>
      <c r="AZ196" s="14"/>
      <c r="BA196" s="14"/>
      <c r="BB196" s="14"/>
      <c r="BC196" s="14"/>
      <c r="BD196" s="14"/>
      <c r="BE196" s="14"/>
      <c r="BF196" s="14"/>
      <c r="BG196" s="14"/>
      <c r="BH196" s="14"/>
      <c r="BI196" s="14"/>
    </row>
    <row r="197" spans="1:6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v>46227</v>
      </c>
      <c r="AK197" s="14">
        <v>15.89</v>
      </c>
      <c r="AL197" s="14" t="s">
        <v>850</v>
      </c>
      <c r="AM197" s="14" t="s">
        <v>248</v>
      </c>
      <c r="AN197" s="14">
        <f>IF('Fund Data'!$H$2,IF(ISNUMBER(AK197),AK197,NA()),NA())</f>
        <v>15.89</v>
      </c>
      <c r="AO197" s="14"/>
      <c r="AP197" s="14"/>
      <c r="AQ197" s="14"/>
      <c r="AR197" s="14"/>
      <c r="AS197" s="14"/>
      <c r="AT197" s="14"/>
      <c r="AU197" s="14"/>
      <c r="AV197" s="14"/>
      <c r="AW197" s="14"/>
      <c r="AX197" s="14"/>
      <c r="AY197" s="14"/>
      <c r="AZ197" s="14"/>
      <c r="BA197" s="14"/>
      <c r="BB197" s="14"/>
      <c r="BC197" s="14"/>
      <c r="BD197" s="14"/>
      <c r="BE197" s="14"/>
      <c r="BF197" s="14"/>
      <c r="BG197" s="14"/>
      <c r="BH197" s="14"/>
      <c r="BI197" s="14"/>
    </row>
    <row r="198" spans="1:6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v>46230</v>
      </c>
      <c r="AK198" s="14">
        <v>15.91</v>
      </c>
      <c r="AL198" s="14" t="s">
        <v>850</v>
      </c>
      <c r="AM198" s="14" t="s">
        <v>248</v>
      </c>
      <c r="AN198" s="14">
        <f>IF('Fund Data'!$H$2,IF(ISNUMBER(AK198),AK198,NA()),NA())</f>
        <v>15.91</v>
      </c>
      <c r="AO198" s="14"/>
      <c r="AP198" s="14"/>
      <c r="AQ198" s="14"/>
      <c r="AR198" s="14"/>
      <c r="AS198" s="14"/>
      <c r="AT198" s="14"/>
      <c r="AU198" s="14"/>
      <c r="AV198" s="14"/>
      <c r="AW198" s="14"/>
      <c r="AX198" s="14"/>
      <c r="AY198" s="14"/>
      <c r="AZ198" s="14"/>
      <c r="BA198" s="14"/>
      <c r="BB198" s="14"/>
      <c r="BC198" s="14"/>
      <c r="BD198" s="14"/>
      <c r="BE198" s="14"/>
      <c r="BF198" s="14"/>
      <c r="BG198" s="14"/>
      <c r="BH198" s="14"/>
      <c r="BI198" s="14"/>
    </row>
    <row r="199" spans="1:6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v>46231</v>
      </c>
      <c r="AK199" s="14">
        <v>15.94</v>
      </c>
      <c r="AL199" s="14" t="s">
        <v>850</v>
      </c>
      <c r="AM199" s="14" t="s">
        <v>248</v>
      </c>
      <c r="AN199" s="14">
        <f>IF('Fund Data'!$H$2,IF(ISNUMBER(AK199),AK199,NA()),NA())</f>
        <v>15.94</v>
      </c>
      <c r="AO199" s="14"/>
      <c r="AP199" s="14"/>
      <c r="AQ199" s="14"/>
      <c r="AR199" s="14"/>
      <c r="AS199" s="14"/>
      <c r="AT199" s="14"/>
      <c r="AU199" s="14"/>
      <c r="AV199" s="14"/>
      <c r="AW199" s="14"/>
      <c r="AX199" s="14"/>
      <c r="AY199" s="14"/>
      <c r="AZ199" s="14"/>
      <c r="BA199" s="14"/>
      <c r="BB199" s="14"/>
      <c r="BC199" s="14"/>
      <c r="BD199" s="14"/>
      <c r="BE199" s="14"/>
      <c r="BF199" s="14"/>
      <c r="BG199" s="14"/>
      <c r="BH199" s="14"/>
      <c r="BI199" s="14"/>
    </row>
    <row r="200" spans="1:6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v>46232</v>
      </c>
      <c r="AK200" s="14">
        <v>15.7</v>
      </c>
      <c r="AL200" s="14" t="s">
        <v>850</v>
      </c>
      <c r="AM200" s="14" t="s">
        <v>248</v>
      </c>
      <c r="AN200" s="14">
        <f>IF('Fund Data'!$H$2,IF(ISNUMBER(AK200),AK200,NA()),NA())</f>
        <v>15.7</v>
      </c>
      <c r="AO200" s="14"/>
      <c r="AP200" s="14"/>
      <c r="AQ200" s="14"/>
      <c r="AR200" s="14"/>
      <c r="AS200" s="14"/>
      <c r="AT200" s="14"/>
      <c r="AU200" s="14"/>
      <c r="AV200" s="14"/>
      <c r="AW200" s="14"/>
      <c r="AX200" s="14"/>
      <c r="AY200" s="14"/>
      <c r="AZ200" s="14"/>
      <c r="BA200" s="14"/>
      <c r="BB200" s="14"/>
      <c r="BC200" s="14"/>
      <c r="BD200" s="14"/>
      <c r="BE200" s="14"/>
      <c r="BF200" s="14"/>
      <c r="BG200" s="14"/>
      <c r="BH200" s="14"/>
      <c r="BI200" s="14"/>
    </row>
    <row r="201" spans="1:6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v>46233</v>
      </c>
      <c r="AK201" s="14">
        <v>15.95</v>
      </c>
      <c r="AL201" s="14" t="s">
        <v>850</v>
      </c>
      <c r="AM201" s="14" t="s">
        <v>248</v>
      </c>
      <c r="AN201" s="14">
        <f>IF('Fund Data'!$H$2,IF(ISNUMBER(AK201),AK201,NA()),NA())</f>
        <v>15.95</v>
      </c>
      <c r="AO201" s="14"/>
      <c r="AP201" s="14"/>
      <c r="AQ201" s="14"/>
      <c r="AR201" s="14"/>
      <c r="AS201" s="14"/>
      <c r="AT201" s="14"/>
      <c r="AU201" s="14"/>
      <c r="AV201" s="14"/>
      <c r="AW201" s="14"/>
      <c r="AX201" s="14"/>
      <c r="AY201" s="14"/>
      <c r="AZ201" s="14"/>
      <c r="BA201" s="14"/>
      <c r="BB201" s="14"/>
      <c r="BC201" s="14"/>
      <c r="BD201" s="14"/>
      <c r="BE201" s="14"/>
      <c r="BF201" s="14"/>
      <c r="BG201" s="14"/>
      <c r="BH201" s="14"/>
      <c r="BI201" s="14"/>
    </row>
    <row r="202" spans="1:6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v>46234</v>
      </c>
      <c r="AK202" s="14">
        <v>16.05</v>
      </c>
      <c r="AL202" s="14" t="s">
        <v>850</v>
      </c>
      <c r="AM202" s="14" t="s">
        <v>248</v>
      </c>
      <c r="AN202" s="14">
        <f>IF('Fund Data'!$H$2,IF(ISNUMBER(AK202),AK202,NA()),NA())</f>
        <v>16.05</v>
      </c>
      <c r="AO202" s="14"/>
      <c r="AP202" s="14"/>
      <c r="AQ202" s="14"/>
      <c r="AR202" s="14"/>
      <c r="AS202" s="14"/>
      <c r="AT202" s="14"/>
      <c r="AU202" s="14"/>
      <c r="AV202" s="14"/>
      <c r="AW202" s="14"/>
      <c r="AX202" s="14"/>
      <c r="AY202" s="14"/>
      <c r="AZ202" s="14"/>
      <c r="BA202" s="14"/>
      <c r="BB202" s="14"/>
      <c r="BC202" s="14"/>
      <c r="BD202" s="14"/>
      <c r="BE202" s="14"/>
      <c r="BF202" s="14"/>
      <c r="BG202" s="14"/>
      <c r="BH202" s="14"/>
      <c r="BI202" s="14"/>
    </row>
    <row r="203" spans="1:6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v>46237</v>
      </c>
      <c r="AK203" s="14">
        <v>16.29</v>
      </c>
      <c r="AL203" s="14" t="s">
        <v>850</v>
      </c>
      <c r="AM203" s="14" t="s">
        <v>248</v>
      </c>
      <c r="AN203" s="14">
        <f>IF('Fund Data'!$H$2,IF(ISNUMBER(AK203),AK203,NA()),NA())</f>
        <v>16.29</v>
      </c>
      <c r="AO203" s="14"/>
      <c r="AP203" s="14"/>
      <c r="AQ203" s="14"/>
      <c r="AR203" s="14"/>
      <c r="AS203" s="14"/>
      <c r="AT203" s="14"/>
      <c r="AU203" s="14"/>
      <c r="AV203" s="14"/>
      <c r="AW203" s="14"/>
      <c r="AX203" s="14"/>
      <c r="AY203" s="14"/>
      <c r="AZ203" s="14"/>
      <c r="BA203" s="14"/>
      <c r="BB203" s="14"/>
      <c r="BC203" s="14"/>
      <c r="BD203" s="14"/>
      <c r="BE203" s="14"/>
      <c r="BF203" s="14"/>
      <c r="BG203" s="14"/>
      <c r="BH203" s="14"/>
      <c r="BI203" s="14"/>
    </row>
    <row r="204" spans="1:6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v>46238</v>
      </c>
      <c r="AK204" s="14">
        <v>16.59</v>
      </c>
      <c r="AL204" s="14" t="s">
        <v>850</v>
      </c>
      <c r="AM204" s="14" t="s">
        <v>248</v>
      </c>
      <c r="AN204" s="14">
        <f>IF('Fund Data'!$H$2,IF(ISNUMBER(AK204),AK204,NA()),NA())</f>
        <v>16.59</v>
      </c>
      <c r="AO204" s="14"/>
      <c r="AP204" s="14"/>
      <c r="AQ204" s="14"/>
      <c r="AR204" s="14"/>
      <c r="AS204" s="14"/>
      <c r="AT204" s="14"/>
      <c r="AU204" s="14"/>
      <c r="AV204" s="14"/>
      <c r="AW204" s="14"/>
      <c r="AX204" s="14"/>
      <c r="AY204" s="14"/>
      <c r="AZ204" s="14"/>
      <c r="BA204" s="14"/>
      <c r="BB204" s="14"/>
      <c r="BC204" s="14"/>
      <c r="BD204" s="14"/>
      <c r="BE204" s="14"/>
      <c r="BF204" s="14"/>
      <c r="BG204" s="14"/>
      <c r="BH204" s="14"/>
      <c r="BI204" s="14"/>
    </row>
    <row r="205" spans="1:6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v>46239</v>
      </c>
      <c r="AK205" s="14">
        <v>16.559999999999999</v>
      </c>
      <c r="AL205" s="14" t="s">
        <v>850</v>
      </c>
      <c r="AM205" s="14" t="s">
        <v>248</v>
      </c>
      <c r="AN205" s="14">
        <f>IF('Fund Data'!$H$2,IF(ISNUMBER(AK205),AK205,NA()),NA())</f>
        <v>16.559999999999999</v>
      </c>
      <c r="AO205" s="14"/>
      <c r="AP205" s="14"/>
      <c r="AQ205" s="14"/>
      <c r="AR205" s="14"/>
      <c r="AS205" s="14"/>
      <c r="AT205" s="14"/>
      <c r="AU205" s="14"/>
      <c r="AV205" s="14"/>
      <c r="AW205" s="14"/>
      <c r="AX205" s="14"/>
      <c r="AY205" s="14"/>
      <c r="AZ205" s="14"/>
      <c r="BA205" s="14"/>
      <c r="BB205" s="14"/>
      <c r="BC205" s="14"/>
      <c r="BD205" s="14"/>
      <c r="BE205" s="14"/>
      <c r="BF205" s="14"/>
      <c r="BG205" s="14"/>
      <c r="BH205" s="14"/>
      <c r="BI205" s="14"/>
    </row>
    <row r="206" spans="1:6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v>46240</v>
      </c>
      <c r="AK206" s="14">
        <v>16.53</v>
      </c>
      <c r="AL206" s="14" t="s">
        <v>850</v>
      </c>
      <c r="AM206" s="14" t="s">
        <v>248</v>
      </c>
      <c r="AN206" s="14">
        <f>IF('Fund Data'!$H$2,IF(ISNUMBER(AK206),AK206,NA()),NA())</f>
        <v>16.53</v>
      </c>
      <c r="AO206" s="14"/>
      <c r="AP206" s="14"/>
      <c r="AQ206" s="14"/>
      <c r="AR206" s="14"/>
      <c r="AS206" s="14"/>
      <c r="AT206" s="14"/>
      <c r="AU206" s="14"/>
      <c r="AV206" s="14"/>
      <c r="AW206" s="14"/>
      <c r="AX206" s="14"/>
      <c r="AY206" s="14"/>
      <c r="AZ206" s="14"/>
      <c r="BA206" s="14"/>
      <c r="BB206" s="14"/>
      <c r="BC206" s="14"/>
      <c r="BD206" s="14"/>
      <c r="BE206" s="14"/>
      <c r="BF206" s="14"/>
      <c r="BG206" s="14"/>
      <c r="BH206" s="14"/>
      <c r="BI206" s="14"/>
    </row>
    <row r="207" spans="1:6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v>46241</v>
      </c>
      <c r="AK207" s="14">
        <v>16.649999999999999</v>
      </c>
      <c r="AL207" s="14" t="s">
        <v>850</v>
      </c>
      <c r="AM207" s="14" t="s">
        <v>248</v>
      </c>
      <c r="AN207" s="14">
        <f>IF('Fund Data'!$H$2,IF(ISNUMBER(AK207),AK207,NA()),NA())</f>
        <v>16.649999999999999</v>
      </c>
      <c r="AO207" s="14"/>
      <c r="AP207" s="14"/>
      <c r="AQ207" s="14"/>
      <c r="AR207" s="14"/>
      <c r="AS207" s="14"/>
      <c r="AT207" s="14"/>
      <c r="AU207" s="14"/>
      <c r="AV207" s="14"/>
      <c r="AW207" s="14"/>
      <c r="AX207" s="14"/>
      <c r="AY207" s="14"/>
      <c r="AZ207" s="14"/>
      <c r="BA207" s="14"/>
      <c r="BB207" s="14"/>
      <c r="BC207" s="14"/>
      <c r="BD207" s="14"/>
      <c r="BE207" s="14"/>
      <c r="BF207" s="14"/>
      <c r="BG207" s="14"/>
      <c r="BH207" s="14"/>
      <c r="BI207" s="14"/>
    </row>
    <row r="208" spans="1:6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v>46244</v>
      </c>
      <c r="AK208" s="14">
        <v>16.64</v>
      </c>
      <c r="AL208" s="14" t="s">
        <v>850</v>
      </c>
      <c r="AM208" s="14" t="s">
        <v>248</v>
      </c>
      <c r="AN208" s="14">
        <f>IF('Fund Data'!$H$2,IF(ISNUMBER(AK208),AK208,NA()),NA())</f>
        <v>16.64</v>
      </c>
      <c r="AO208" s="14"/>
      <c r="AP208" s="14"/>
      <c r="AQ208" s="14"/>
      <c r="AR208" s="14"/>
      <c r="AS208" s="14"/>
      <c r="AT208" s="14"/>
      <c r="AU208" s="14"/>
      <c r="AV208" s="14"/>
      <c r="AW208" s="14"/>
      <c r="AX208" s="14"/>
      <c r="AY208" s="14"/>
      <c r="AZ208" s="14"/>
      <c r="BA208" s="14"/>
      <c r="BB208" s="14"/>
      <c r="BC208" s="14"/>
      <c r="BD208" s="14"/>
      <c r="BE208" s="14"/>
      <c r="BF208" s="14"/>
      <c r="BG208" s="14"/>
      <c r="BH208" s="14"/>
      <c r="BI208" s="14"/>
    </row>
    <row r="209" spans="1:6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v>46245</v>
      </c>
      <c r="AK209" s="14">
        <v>16.59</v>
      </c>
      <c r="AL209" s="14" t="s">
        <v>850</v>
      </c>
      <c r="AM209" s="14" t="s">
        <v>248</v>
      </c>
      <c r="AN209" s="14">
        <f>IF('Fund Data'!$H$2,IF(ISNUMBER(AK209),AK209,NA()),NA())</f>
        <v>16.59</v>
      </c>
      <c r="AO209" s="14"/>
      <c r="AP209" s="14"/>
      <c r="AQ209" s="14"/>
      <c r="AR209" s="14"/>
      <c r="AS209" s="14"/>
      <c r="AT209" s="14"/>
      <c r="AU209" s="14"/>
      <c r="AV209" s="14"/>
      <c r="AW209" s="14"/>
      <c r="AX209" s="14"/>
      <c r="AY209" s="14"/>
      <c r="AZ209" s="14"/>
      <c r="BA209" s="14"/>
      <c r="BB209" s="14"/>
      <c r="BC209" s="14"/>
      <c r="BD209" s="14"/>
      <c r="BE209" s="14"/>
      <c r="BF209" s="14"/>
      <c r="BG209" s="14"/>
      <c r="BH209" s="14"/>
      <c r="BI209" s="14"/>
    </row>
    <row r="210" spans="1:6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v>46246</v>
      </c>
      <c r="AK210" s="14">
        <v>16.64</v>
      </c>
      <c r="AL210" s="14" t="s">
        <v>850</v>
      </c>
      <c r="AM210" s="14" t="s">
        <v>248</v>
      </c>
      <c r="AN210" s="14">
        <f>IF('Fund Data'!$H$2,IF(ISNUMBER(AK210),AK210,NA()),NA())</f>
        <v>16.64</v>
      </c>
      <c r="AO210" s="14"/>
      <c r="AP210" s="14"/>
      <c r="AQ210" s="14"/>
      <c r="AR210" s="14"/>
      <c r="AS210" s="14"/>
      <c r="AT210" s="14"/>
      <c r="AU210" s="14"/>
      <c r="AV210" s="14"/>
      <c r="AW210" s="14"/>
      <c r="AX210" s="14"/>
      <c r="AY210" s="14"/>
      <c r="AZ210" s="14"/>
      <c r="BA210" s="14"/>
      <c r="BB210" s="14"/>
      <c r="BC210" s="14"/>
      <c r="BD210" s="14"/>
      <c r="BE210" s="14"/>
      <c r="BF210" s="14"/>
      <c r="BG210" s="14"/>
      <c r="BH210" s="14"/>
      <c r="BI210" s="14"/>
    </row>
    <row r="211" spans="1:6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v>46247</v>
      </c>
      <c r="AK211" s="14">
        <v>16.75</v>
      </c>
      <c r="AL211" s="14" t="s">
        <v>850</v>
      </c>
      <c r="AM211" s="14" t="s">
        <v>248</v>
      </c>
      <c r="AN211" s="14">
        <f>IF('Fund Data'!$H$2,IF(ISNUMBER(AK211),AK211,NA()),NA())</f>
        <v>16.75</v>
      </c>
      <c r="AO211" s="14"/>
      <c r="AP211" s="14"/>
      <c r="AQ211" s="14"/>
      <c r="AR211" s="14"/>
      <c r="AS211" s="14"/>
      <c r="AT211" s="14"/>
      <c r="AU211" s="14"/>
      <c r="AV211" s="14"/>
      <c r="AW211" s="14"/>
      <c r="AX211" s="14"/>
      <c r="AY211" s="14"/>
      <c r="AZ211" s="14"/>
      <c r="BA211" s="14"/>
      <c r="BB211" s="14"/>
      <c r="BC211" s="14"/>
      <c r="BD211" s="14"/>
      <c r="BE211" s="14"/>
      <c r="BF211" s="14"/>
      <c r="BG211" s="14"/>
      <c r="BH211" s="14"/>
      <c r="BI211" s="14"/>
    </row>
    <row r="212" spans="1:6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v>46248</v>
      </c>
      <c r="AK212" s="14">
        <v>16.72</v>
      </c>
      <c r="AL212" s="14" t="s">
        <v>850</v>
      </c>
      <c r="AM212" s="14" t="s">
        <v>248</v>
      </c>
      <c r="AN212" s="14">
        <f>IF('Fund Data'!$H$2,IF(ISNUMBER(AK212),AK212,NA()),NA())</f>
        <v>16.72</v>
      </c>
      <c r="AO212" s="14"/>
      <c r="AP212" s="14"/>
      <c r="AQ212" s="14"/>
      <c r="AR212" s="14"/>
      <c r="AS212" s="14"/>
      <c r="AT212" s="14"/>
      <c r="AU212" s="14"/>
      <c r="AV212" s="14"/>
      <c r="AW212" s="14"/>
      <c r="AX212" s="14"/>
      <c r="AY212" s="14"/>
      <c r="AZ212" s="14"/>
      <c r="BA212" s="14"/>
      <c r="BB212" s="14"/>
      <c r="BC212" s="14"/>
      <c r="BD212" s="14"/>
      <c r="BE212" s="14"/>
      <c r="BF212" s="14"/>
      <c r="BG212" s="14"/>
      <c r="BH212" s="14"/>
      <c r="BI212" s="14"/>
    </row>
    <row r="213" spans="1:6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v>46251</v>
      </c>
      <c r="AK213" s="14">
        <v>16.64</v>
      </c>
      <c r="AL213" s="14" t="s">
        <v>850</v>
      </c>
      <c r="AM213" s="14" t="s">
        <v>248</v>
      </c>
      <c r="AN213" s="14">
        <f>IF('Fund Data'!$H$2,IF(ISNUMBER(AK213),AK213,NA()),NA())</f>
        <v>16.64</v>
      </c>
      <c r="AO213" s="14"/>
      <c r="AP213" s="14"/>
      <c r="AQ213" s="14"/>
      <c r="AR213" s="14"/>
      <c r="AS213" s="14"/>
      <c r="AT213" s="14"/>
      <c r="AU213" s="14"/>
      <c r="AV213" s="14"/>
      <c r="AW213" s="14"/>
      <c r="AX213" s="14"/>
      <c r="AY213" s="14"/>
      <c r="AZ213" s="14"/>
      <c r="BA213" s="14"/>
      <c r="BB213" s="14"/>
      <c r="BC213" s="14"/>
      <c r="BD213" s="14"/>
      <c r="BE213" s="14"/>
      <c r="BF213" s="14"/>
      <c r="BG213" s="14"/>
      <c r="BH213" s="14"/>
      <c r="BI213" s="14"/>
    </row>
    <row r="214" spans="1:6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v>46252</v>
      </c>
      <c r="AK214" s="14">
        <v>16.510000000000002</v>
      </c>
      <c r="AL214" s="14" t="s">
        <v>850</v>
      </c>
      <c r="AM214" s="14" t="s">
        <v>248</v>
      </c>
      <c r="AN214" s="14">
        <f>IF('Fund Data'!$H$2,IF(ISNUMBER(AK214),AK214,NA()),NA())</f>
        <v>16.510000000000002</v>
      </c>
      <c r="AO214" s="14"/>
      <c r="AP214" s="14"/>
      <c r="AQ214" s="14"/>
      <c r="AR214" s="14"/>
      <c r="AS214" s="14"/>
      <c r="AT214" s="14"/>
      <c r="AU214" s="14"/>
      <c r="AV214" s="14"/>
      <c r="AW214" s="14"/>
      <c r="AX214" s="14"/>
      <c r="AY214" s="14"/>
      <c r="AZ214" s="14"/>
      <c r="BA214" s="14"/>
      <c r="BB214" s="14"/>
      <c r="BC214" s="14"/>
      <c r="BD214" s="14"/>
      <c r="BE214" s="14"/>
      <c r="BF214" s="14"/>
      <c r="BG214" s="14"/>
      <c r="BH214" s="14"/>
      <c r="BI214" s="14"/>
    </row>
    <row r="215" spans="1:6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v>46253</v>
      </c>
      <c r="AK215" s="14">
        <v>16.55</v>
      </c>
      <c r="AL215" s="14" t="s">
        <v>850</v>
      </c>
      <c r="AM215" s="14" t="s">
        <v>248</v>
      </c>
      <c r="AN215" s="14">
        <f>IF('Fund Data'!$H$2,IF(ISNUMBER(AK215),AK215,NA()),NA())</f>
        <v>16.55</v>
      </c>
      <c r="AO215" s="14"/>
      <c r="AP215" s="14"/>
      <c r="AQ215" s="14"/>
      <c r="AR215" s="14"/>
      <c r="AS215" s="14"/>
      <c r="AT215" s="14"/>
      <c r="AU215" s="14"/>
      <c r="AV215" s="14"/>
      <c r="AW215" s="14"/>
      <c r="AX215" s="14"/>
      <c r="AY215" s="14"/>
      <c r="AZ215" s="14"/>
      <c r="BA215" s="14"/>
      <c r="BB215" s="14"/>
      <c r="BC215" s="14"/>
      <c r="BD215" s="14"/>
      <c r="BE215" s="14"/>
      <c r="BF215" s="14"/>
      <c r="BG215" s="14"/>
      <c r="BH215" s="14"/>
      <c r="BI215" s="14"/>
    </row>
    <row r="216" spans="1:6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v>46254</v>
      </c>
      <c r="AK216" s="14">
        <v>16.41</v>
      </c>
      <c r="AL216" s="14" t="s">
        <v>850</v>
      </c>
      <c r="AM216" s="14" t="s">
        <v>248</v>
      </c>
      <c r="AN216" s="14">
        <f>IF('Fund Data'!$H$2,IF(ISNUMBER(AK216),AK216,NA()),NA())</f>
        <v>16.41</v>
      </c>
      <c r="AO216" s="14"/>
      <c r="AP216" s="14"/>
      <c r="AQ216" s="14"/>
      <c r="AR216" s="14"/>
      <c r="AS216" s="14"/>
      <c r="AT216" s="14"/>
      <c r="AU216" s="14"/>
      <c r="AV216" s="14"/>
      <c r="AW216" s="14"/>
      <c r="AX216" s="14"/>
      <c r="AY216" s="14"/>
      <c r="AZ216" s="14"/>
      <c r="BA216" s="14"/>
      <c r="BB216" s="14"/>
      <c r="BC216" s="14"/>
      <c r="BD216" s="14"/>
      <c r="BE216" s="14"/>
      <c r="BF216" s="14"/>
      <c r="BG216" s="14"/>
      <c r="BH216" s="14"/>
      <c r="BI216" s="14"/>
    </row>
    <row r="217" spans="1:6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v>46255</v>
      </c>
      <c r="AK217" s="14">
        <v>16.489999999999998</v>
      </c>
      <c r="AL217" s="14" t="s">
        <v>850</v>
      </c>
      <c r="AM217" s="14" t="s">
        <v>248</v>
      </c>
      <c r="AN217" s="14">
        <f>IF('Fund Data'!$H$2,IF(ISNUMBER(AK217),AK217,NA()),NA())</f>
        <v>16.489999999999998</v>
      </c>
      <c r="AO217" s="14"/>
      <c r="AP217" s="14"/>
      <c r="AQ217" s="14"/>
      <c r="AR217" s="14"/>
      <c r="AS217" s="14"/>
      <c r="AT217" s="14"/>
      <c r="AU217" s="14"/>
      <c r="AV217" s="14"/>
      <c r="AW217" s="14"/>
      <c r="AX217" s="14"/>
      <c r="AY217" s="14"/>
      <c r="AZ217" s="14"/>
      <c r="BA217" s="14"/>
      <c r="BB217" s="14"/>
      <c r="BC217" s="14"/>
      <c r="BD217" s="14"/>
      <c r="BE217" s="14"/>
      <c r="BF217" s="14"/>
      <c r="BG217" s="14"/>
      <c r="BH217" s="14"/>
      <c r="BI217" s="14"/>
    </row>
    <row r="218" spans="1:6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v>46258</v>
      </c>
      <c r="AK218" s="14">
        <v>16.43</v>
      </c>
      <c r="AL218" s="14" t="s">
        <v>850</v>
      </c>
      <c r="AM218" s="14" t="s">
        <v>248</v>
      </c>
      <c r="AN218" s="14">
        <f>IF('Fund Data'!$H$2,IF(ISNUMBER(AK218),AK218,NA()),NA())</f>
        <v>16.43</v>
      </c>
      <c r="AO218" s="14"/>
      <c r="AP218" s="14"/>
      <c r="AQ218" s="14"/>
      <c r="AR218" s="14"/>
      <c r="AS218" s="14"/>
      <c r="AT218" s="14"/>
      <c r="AU218" s="14"/>
      <c r="AV218" s="14"/>
      <c r="AW218" s="14"/>
      <c r="AX218" s="14"/>
      <c r="AY218" s="14"/>
      <c r="AZ218" s="14"/>
      <c r="BA218" s="14"/>
      <c r="BB218" s="14"/>
      <c r="BC218" s="14"/>
      <c r="BD218" s="14"/>
      <c r="BE218" s="14"/>
      <c r="BF218" s="14"/>
      <c r="BG218" s="14"/>
      <c r="BH218" s="14"/>
      <c r="BI218" s="14"/>
    </row>
    <row r="219" spans="1:6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v>46259</v>
      </c>
      <c r="AK219" s="14">
        <v>16.48</v>
      </c>
      <c r="AL219" s="14" t="s">
        <v>850</v>
      </c>
      <c r="AM219" s="14" t="s">
        <v>248</v>
      </c>
      <c r="AN219" s="14">
        <f>IF('Fund Data'!$H$2,IF(ISNUMBER(AK219),AK219,NA()),NA())</f>
        <v>16.48</v>
      </c>
      <c r="AO219" s="14"/>
      <c r="AP219" s="14"/>
      <c r="AQ219" s="14"/>
      <c r="AR219" s="14"/>
      <c r="AS219" s="14"/>
      <c r="AT219" s="14"/>
      <c r="AU219" s="14"/>
      <c r="AV219" s="14"/>
      <c r="AW219" s="14"/>
      <c r="AX219" s="14"/>
      <c r="AY219" s="14"/>
      <c r="AZ219" s="14"/>
      <c r="BA219" s="14"/>
      <c r="BB219" s="14"/>
      <c r="BC219" s="14"/>
      <c r="BD219" s="14"/>
      <c r="BE219" s="14"/>
      <c r="BF219" s="14"/>
      <c r="BG219" s="14"/>
      <c r="BH219" s="14"/>
      <c r="BI219" s="14"/>
    </row>
    <row r="220" spans="1:6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v>46260</v>
      </c>
      <c r="AK220" s="14">
        <v>16.48</v>
      </c>
      <c r="AL220" s="14" t="s">
        <v>850</v>
      </c>
      <c r="AM220" s="14" t="s">
        <v>248</v>
      </c>
      <c r="AN220" s="14">
        <f>IF('Fund Data'!$H$2,IF(ISNUMBER(AK220),AK220,NA()),NA())</f>
        <v>16.48</v>
      </c>
      <c r="AO220" s="14"/>
      <c r="AP220" s="14"/>
      <c r="AQ220" s="14"/>
      <c r="AR220" s="14"/>
      <c r="AS220" s="14"/>
      <c r="AT220" s="14"/>
      <c r="AU220" s="14"/>
      <c r="AV220" s="14"/>
      <c r="AW220" s="14"/>
      <c r="AX220" s="14"/>
      <c r="AY220" s="14"/>
      <c r="AZ220" s="14"/>
      <c r="BA220" s="14"/>
      <c r="BB220" s="14"/>
      <c r="BC220" s="14"/>
      <c r="BD220" s="14"/>
      <c r="BE220" s="14"/>
      <c r="BF220" s="14"/>
      <c r="BG220" s="14"/>
      <c r="BH220" s="14"/>
      <c r="BI220" s="14"/>
    </row>
    <row r="221" spans="1:6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v>46261</v>
      </c>
      <c r="AK221" s="14">
        <v>16.600000000000001</v>
      </c>
      <c r="AL221" s="14" t="s">
        <v>850</v>
      </c>
      <c r="AM221" s="14" t="s">
        <v>248</v>
      </c>
      <c r="AN221" s="14">
        <f>IF('Fund Data'!$H$2,IF(ISNUMBER(AK221),AK221,NA()),NA())</f>
        <v>16.600000000000001</v>
      </c>
      <c r="AO221" s="14"/>
      <c r="AP221" s="14"/>
      <c r="AQ221" s="14"/>
      <c r="AR221" s="14"/>
      <c r="AS221" s="14"/>
      <c r="AT221" s="14"/>
      <c r="AU221" s="14"/>
      <c r="AV221" s="14"/>
      <c r="AW221" s="14"/>
      <c r="AX221" s="14"/>
      <c r="AY221" s="14"/>
      <c r="AZ221" s="14"/>
      <c r="BA221" s="14"/>
      <c r="BB221" s="14"/>
      <c r="BC221" s="14"/>
      <c r="BD221" s="14"/>
      <c r="BE221" s="14"/>
      <c r="BF221" s="14"/>
      <c r="BG221" s="14"/>
      <c r="BH221" s="14"/>
      <c r="BI221" s="14"/>
    </row>
    <row r="222" spans="1:6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v>46262</v>
      </c>
      <c r="AK222" s="14">
        <v>16.55</v>
      </c>
      <c r="AL222" s="14" t="s">
        <v>850</v>
      </c>
      <c r="AM222" s="14" t="s">
        <v>248</v>
      </c>
      <c r="AN222" s="14">
        <f>IF('Fund Data'!$H$2,IF(ISNUMBER(AK222),AK222,NA()),NA())</f>
        <v>16.55</v>
      </c>
      <c r="AO222" s="14"/>
      <c r="AP222" s="14"/>
      <c r="AQ222" s="14"/>
      <c r="AR222" s="14"/>
      <c r="AS222" s="14"/>
      <c r="AT222" s="14"/>
      <c r="AU222" s="14"/>
      <c r="AV222" s="14"/>
      <c r="AW222" s="14"/>
      <c r="AX222" s="14"/>
      <c r="AY222" s="14"/>
      <c r="AZ222" s="14"/>
      <c r="BA222" s="14"/>
      <c r="BB222" s="14"/>
      <c r="BC222" s="14"/>
      <c r="BD222" s="14"/>
      <c r="BE222" s="14"/>
      <c r="BF222" s="14"/>
      <c r="BG222" s="14"/>
      <c r="BH222" s="14"/>
      <c r="BI222" s="14"/>
    </row>
    <row r="223" spans="1:6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v>46265</v>
      </c>
      <c r="AK223" s="14">
        <v>16.489999999999998</v>
      </c>
      <c r="AL223" s="14" t="s">
        <v>850</v>
      </c>
      <c r="AM223" s="14" t="s">
        <v>248</v>
      </c>
      <c r="AN223" s="14">
        <f>IF('Fund Data'!$H$2,IF(ISNUMBER(AK223),AK223,NA()),NA())</f>
        <v>16.489999999999998</v>
      </c>
      <c r="AO223" s="14"/>
      <c r="AP223" s="14"/>
      <c r="AQ223" s="14"/>
      <c r="AR223" s="14"/>
      <c r="AS223" s="14"/>
      <c r="AT223" s="14"/>
      <c r="AU223" s="14"/>
      <c r="AV223" s="14"/>
      <c r="AW223" s="14"/>
      <c r="AX223" s="14"/>
      <c r="AY223" s="14"/>
      <c r="AZ223" s="14"/>
      <c r="BA223" s="14"/>
      <c r="BB223" s="14"/>
      <c r="BC223" s="14"/>
      <c r="BD223" s="14"/>
      <c r="BE223" s="14"/>
      <c r="BF223" s="14"/>
      <c r="BG223" s="14"/>
      <c r="BH223" s="14"/>
      <c r="BI223" s="14"/>
    </row>
    <row r="224" spans="1:6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v>46266</v>
      </c>
      <c r="AK224" s="14">
        <v>16.37</v>
      </c>
      <c r="AL224" s="14" t="s">
        <v>850</v>
      </c>
      <c r="AM224" s="14" t="s">
        <v>248</v>
      </c>
      <c r="AN224" s="14">
        <f>IF('Fund Data'!$H$2,IF(ISNUMBER(AK224),AK224,NA()),NA())</f>
        <v>16.37</v>
      </c>
      <c r="AO224" s="14"/>
      <c r="AP224" s="14"/>
      <c r="AQ224" s="14"/>
      <c r="AR224" s="14"/>
      <c r="AS224" s="14"/>
      <c r="AT224" s="14"/>
      <c r="AU224" s="14"/>
      <c r="AV224" s="14"/>
      <c r="AW224" s="14"/>
      <c r="AX224" s="14"/>
      <c r="AY224" s="14"/>
      <c r="AZ224" s="14"/>
      <c r="BA224" s="14"/>
      <c r="BB224" s="14"/>
      <c r="BC224" s="14"/>
      <c r="BD224" s="14"/>
      <c r="BE224" s="14"/>
      <c r="BF224" s="14"/>
      <c r="BG224" s="14"/>
      <c r="BH224" s="14"/>
      <c r="BI224" s="14"/>
    </row>
    <row r="225" spans="1:6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v>46267</v>
      </c>
      <c r="AK225" s="14">
        <v>16.440000000000001</v>
      </c>
      <c r="AL225" s="14" t="s">
        <v>850</v>
      </c>
      <c r="AM225" s="14" t="s">
        <v>248</v>
      </c>
      <c r="AN225" s="14">
        <f>IF('Fund Data'!$H$2,IF(ISNUMBER(AK225),AK225,NA()),NA())</f>
        <v>16.440000000000001</v>
      </c>
      <c r="AO225" s="14"/>
      <c r="AP225" s="14"/>
      <c r="AQ225" s="14"/>
      <c r="AR225" s="14"/>
      <c r="AS225" s="14"/>
      <c r="AT225" s="14"/>
      <c r="AU225" s="14"/>
      <c r="AV225" s="14"/>
      <c r="AW225" s="14"/>
      <c r="AX225" s="14"/>
      <c r="AY225" s="14"/>
      <c r="AZ225" s="14"/>
      <c r="BA225" s="14"/>
      <c r="BB225" s="14"/>
      <c r="BC225" s="14"/>
      <c r="BD225" s="14"/>
      <c r="BE225" s="14"/>
      <c r="BF225" s="14"/>
      <c r="BG225" s="14"/>
      <c r="BH225" s="14"/>
      <c r="BI225" s="14"/>
    </row>
    <row r="226" spans="1:6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v>46268</v>
      </c>
      <c r="AK226" s="14">
        <v>16.62</v>
      </c>
      <c r="AL226" s="14" t="s">
        <v>850</v>
      </c>
      <c r="AM226" s="14" t="s">
        <v>248</v>
      </c>
      <c r="AN226" s="14">
        <f>IF('Fund Data'!$H$2,IF(ISNUMBER(AK226),AK226,NA()),NA())</f>
        <v>16.62</v>
      </c>
      <c r="AO226" s="14"/>
      <c r="AP226" s="14"/>
      <c r="AQ226" s="14"/>
      <c r="AR226" s="14"/>
      <c r="AS226" s="14"/>
      <c r="AT226" s="14"/>
      <c r="AU226" s="14"/>
      <c r="AV226" s="14"/>
      <c r="AW226" s="14"/>
      <c r="AX226" s="14"/>
      <c r="AY226" s="14"/>
      <c r="AZ226" s="14"/>
      <c r="BA226" s="14"/>
      <c r="BB226" s="14"/>
      <c r="BC226" s="14"/>
      <c r="BD226" s="14"/>
      <c r="BE226" s="14"/>
      <c r="BF226" s="14"/>
      <c r="BG226" s="14"/>
      <c r="BH226" s="14"/>
      <c r="BI226" s="14"/>
    </row>
    <row r="227" spans="1:6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v>46269</v>
      </c>
      <c r="AK227" s="14">
        <v>16.57</v>
      </c>
      <c r="AL227" s="14" t="s">
        <v>850</v>
      </c>
      <c r="AM227" s="14" t="s">
        <v>248</v>
      </c>
      <c r="AN227" s="14">
        <f>IF('Fund Data'!$H$2,IF(ISNUMBER(AK227),AK227,NA()),NA())</f>
        <v>16.57</v>
      </c>
      <c r="AO227" s="14"/>
      <c r="AP227" s="14"/>
      <c r="AQ227" s="14"/>
      <c r="AR227" s="14"/>
      <c r="AS227" s="14"/>
      <c r="AT227" s="14"/>
      <c r="AU227" s="14"/>
      <c r="AV227" s="14"/>
      <c r="AW227" s="14"/>
      <c r="AX227" s="14"/>
      <c r="AY227" s="14"/>
      <c r="AZ227" s="14"/>
      <c r="BA227" s="14"/>
      <c r="BB227" s="14"/>
      <c r="BC227" s="14"/>
      <c r="BD227" s="14"/>
      <c r="BE227" s="14"/>
      <c r="BF227" s="14"/>
      <c r="BG227" s="14"/>
      <c r="BH227" s="14"/>
      <c r="BI227" s="14"/>
    </row>
    <row r="228" spans="1:6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v>46273</v>
      </c>
      <c r="AK228" s="14">
        <v>16.47</v>
      </c>
      <c r="AL228" s="14" t="s">
        <v>850</v>
      </c>
      <c r="AM228" s="14" t="s">
        <v>248</v>
      </c>
      <c r="AN228" s="14">
        <f>IF('Fund Data'!$H$2,IF(ISNUMBER(AK228),AK228,NA()),NA())</f>
        <v>16.47</v>
      </c>
      <c r="AO228" s="14"/>
      <c r="AP228" s="14"/>
      <c r="AQ228" s="14"/>
      <c r="AR228" s="14"/>
      <c r="AS228" s="14"/>
      <c r="AT228" s="14"/>
      <c r="AU228" s="14"/>
      <c r="AV228" s="14"/>
      <c r="AW228" s="14"/>
      <c r="AX228" s="14"/>
      <c r="AY228" s="14"/>
      <c r="AZ228" s="14"/>
      <c r="BA228" s="14"/>
      <c r="BB228" s="14"/>
      <c r="BC228" s="14"/>
      <c r="BD228" s="14"/>
      <c r="BE228" s="14"/>
      <c r="BF228" s="14"/>
      <c r="BG228" s="14"/>
      <c r="BH228" s="14"/>
      <c r="BI228" s="14"/>
    </row>
    <row r="229" spans="1:6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v>46274</v>
      </c>
      <c r="AK229" s="14">
        <v>16.38</v>
      </c>
      <c r="AL229" s="14" t="s">
        <v>850</v>
      </c>
      <c r="AM229" s="14" t="s">
        <v>248</v>
      </c>
      <c r="AN229" s="14">
        <f>IF('Fund Data'!$H$2,IF(ISNUMBER(AK229),AK229,NA()),NA())</f>
        <v>16.38</v>
      </c>
      <c r="AO229" s="14"/>
      <c r="AP229" s="14"/>
      <c r="AQ229" s="14"/>
      <c r="AR229" s="14"/>
      <c r="AS229" s="14"/>
      <c r="AT229" s="14"/>
      <c r="AU229" s="14"/>
      <c r="AV229" s="14"/>
      <c r="AW229" s="14"/>
      <c r="AX229" s="14"/>
      <c r="AY229" s="14"/>
      <c r="AZ229" s="14"/>
      <c r="BA229" s="14"/>
      <c r="BB229" s="14"/>
      <c r="BC229" s="14"/>
      <c r="BD229" s="14"/>
      <c r="BE229" s="14"/>
      <c r="BF229" s="14"/>
      <c r="BG229" s="14"/>
      <c r="BH229" s="14"/>
      <c r="BI229" s="14"/>
    </row>
    <row r="230" spans="1:6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v>46275</v>
      </c>
      <c r="AK230" s="14">
        <v>16.28</v>
      </c>
      <c r="AL230" s="14" t="s">
        <v>850</v>
      </c>
      <c r="AM230" s="14" t="s">
        <v>248</v>
      </c>
      <c r="AN230" s="14">
        <f>IF('Fund Data'!$H$2,IF(ISNUMBER(AK230),AK230,NA()),NA())</f>
        <v>16.28</v>
      </c>
      <c r="AO230" s="14"/>
      <c r="AP230" s="14"/>
      <c r="AQ230" s="14"/>
      <c r="AR230" s="14"/>
      <c r="AS230" s="14"/>
      <c r="AT230" s="14"/>
      <c r="AU230" s="14"/>
      <c r="AV230" s="14"/>
      <c r="AW230" s="14"/>
      <c r="AX230" s="14"/>
      <c r="AY230" s="14"/>
      <c r="AZ230" s="14"/>
      <c r="BA230" s="14"/>
      <c r="BB230" s="14"/>
      <c r="BC230" s="14"/>
      <c r="BD230" s="14"/>
      <c r="BE230" s="14"/>
      <c r="BF230" s="14"/>
      <c r="BG230" s="14"/>
      <c r="BH230" s="14"/>
      <c r="BI230" s="14"/>
    </row>
    <row r="231" spans="1:6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v>46276</v>
      </c>
      <c r="AK231" s="14">
        <v>16.420000000000002</v>
      </c>
      <c r="AL231" s="14" t="s">
        <v>850</v>
      </c>
      <c r="AM231" s="14" t="s">
        <v>248</v>
      </c>
      <c r="AN231" s="14">
        <f>IF('Fund Data'!$H$2,IF(ISNUMBER(AK231),AK231,NA()),NA())</f>
        <v>16.420000000000002</v>
      </c>
      <c r="AO231" s="14"/>
      <c r="AP231" s="14"/>
      <c r="AQ231" s="14"/>
      <c r="AR231" s="14"/>
      <c r="AS231" s="14"/>
      <c r="AT231" s="14"/>
      <c r="AU231" s="14"/>
      <c r="AV231" s="14"/>
      <c r="AW231" s="14"/>
      <c r="AX231" s="14"/>
      <c r="AY231" s="14"/>
      <c r="AZ231" s="14"/>
      <c r="BA231" s="14"/>
      <c r="BB231" s="14"/>
      <c r="BC231" s="14"/>
      <c r="BD231" s="14"/>
      <c r="BE231" s="14"/>
      <c r="BF231" s="14"/>
      <c r="BG231" s="14"/>
      <c r="BH231" s="14"/>
      <c r="BI231" s="14"/>
    </row>
    <row r="232" spans="1:6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v>46279</v>
      </c>
      <c r="AK232" s="14">
        <v>16.350000000000001</v>
      </c>
      <c r="AL232" s="14" t="s">
        <v>850</v>
      </c>
      <c r="AM232" s="14" t="s">
        <v>248</v>
      </c>
      <c r="AN232" s="14">
        <f>IF('Fund Data'!$H$2,IF(ISNUMBER(AK232),AK232,NA()),NA())</f>
        <v>16.350000000000001</v>
      </c>
      <c r="AO232" s="14"/>
      <c r="AP232" s="14"/>
      <c r="AQ232" s="14"/>
      <c r="AR232" s="14"/>
      <c r="AS232" s="14"/>
      <c r="AT232" s="14"/>
      <c r="AU232" s="14"/>
      <c r="AV232" s="14"/>
      <c r="AW232" s="14"/>
      <c r="AX232" s="14"/>
      <c r="AY232" s="14"/>
      <c r="AZ232" s="14"/>
      <c r="BA232" s="14"/>
      <c r="BB232" s="14"/>
      <c r="BC232" s="14"/>
      <c r="BD232" s="14"/>
      <c r="BE232" s="14"/>
      <c r="BF232" s="14"/>
      <c r="BG232" s="14"/>
      <c r="BH232" s="14"/>
      <c r="BI232" s="14"/>
    </row>
    <row r="233" spans="1:6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v>46280</v>
      </c>
      <c r="AK233" s="14">
        <v>16.27</v>
      </c>
      <c r="AL233" s="14" t="s">
        <v>850</v>
      </c>
      <c r="AM233" s="14" t="s">
        <v>248</v>
      </c>
      <c r="AN233" s="14">
        <f>IF('Fund Data'!$H$2,IF(ISNUMBER(AK233),AK233,NA()),NA())</f>
        <v>16.27</v>
      </c>
      <c r="AO233" s="14"/>
      <c r="AP233" s="14"/>
      <c r="AQ233" s="14"/>
      <c r="AR233" s="14"/>
      <c r="AS233" s="14"/>
      <c r="AT233" s="14"/>
      <c r="AU233" s="14"/>
      <c r="AV233" s="14"/>
      <c r="AW233" s="14"/>
      <c r="AX233" s="14"/>
      <c r="AY233" s="14"/>
      <c r="AZ233" s="14"/>
      <c r="BA233" s="14"/>
      <c r="BB233" s="14"/>
      <c r="BC233" s="14"/>
      <c r="BD233" s="14"/>
      <c r="BE233" s="14"/>
      <c r="BF233" s="14"/>
      <c r="BG233" s="14"/>
      <c r="BH233" s="14"/>
      <c r="BI233" s="14"/>
    </row>
    <row r="234" spans="1:6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v>46281</v>
      </c>
      <c r="AK234" s="14">
        <v>16.2</v>
      </c>
      <c r="AL234" s="14" t="s">
        <v>850</v>
      </c>
      <c r="AM234" s="14" t="s">
        <v>248</v>
      </c>
      <c r="AN234" s="14">
        <f>IF('Fund Data'!$H$2,IF(ISNUMBER(AK234),AK234,NA()),NA())</f>
        <v>16.2</v>
      </c>
      <c r="AO234" s="14"/>
      <c r="AP234" s="14"/>
      <c r="AQ234" s="14"/>
      <c r="AR234" s="14"/>
      <c r="AS234" s="14"/>
      <c r="AT234" s="14"/>
      <c r="AU234" s="14"/>
      <c r="AV234" s="14"/>
      <c r="AW234" s="14"/>
      <c r="AX234" s="14"/>
      <c r="AY234" s="14"/>
      <c r="AZ234" s="14"/>
      <c r="BA234" s="14"/>
      <c r="BB234" s="14"/>
      <c r="BC234" s="14"/>
      <c r="BD234" s="14"/>
      <c r="BE234" s="14"/>
      <c r="BF234" s="14"/>
      <c r="BG234" s="14"/>
      <c r="BH234" s="14"/>
      <c r="BI234" s="14"/>
    </row>
    <row r="235" spans="1:6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v>46282</v>
      </c>
      <c r="AK235" s="14">
        <v>16.38</v>
      </c>
      <c r="AL235" s="14" t="s">
        <v>850</v>
      </c>
      <c r="AM235" s="14" t="s">
        <v>248</v>
      </c>
      <c r="AN235" s="14">
        <f>IF('Fund Data'!$H$2,IF(ISNUMBER(AK235),AK235,NA()),NA())</f>
        <v>16.38</v>
      </c>
      <c r="AO235" s="14"/>
      <c r="AP235" s="14"/>
      <c r="AQ235" s="14"/>
      <c r="AR235" s="14"/>
      <c r="AS235" s="14"/>
      <c r="AT235" s="14"/>
      <c r="AU235" s="14"/>
      <c r="AV235" s="14"/>
      <c r="AW235" s="14"/>
      <c r="AX235" s="14"/>
      <c r="AY235" s="14"/>
      <c r="AZ235" s="14"/>
      <c r="BA235" s="14"/>
      <c r="BB235" s="14"/>
      <c r="BC235" s="14"/>
      <c r="BD235" s="14"/>
      <c r="BE235" s="14"/>
      <c r="BF235" s="14"/>
      <c r="BG235" s="14"/>
      <c r="BH235" s="14"/>
      <c r="BI235" s="14"/>
    </row>
    <row r="236" spans="1:6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v>46283</v>
      </c>
      <c r="AK236" s="14">
        <v>16.399999999999999</v>
      </c>
      <c r="AL236" s="14" t="s">
        <v>850</v>
      </c>
      <c r="AM236" s="14" t="s">
        <v>248</v>
      </c>
      <c r="AN236" s="14">
        <f>IF('Fund Data'!$H$2,IF(ISNUMBER(AK236),AK236,NA()),NA())</f>
        <v>16.399999999999999</v>
      </c>
      <c r="AO236" s="14"/>
      <c r="AP236" s="14"/>
      <c r="AQ236" s="14"/>
      <c r="AR236" s="14"/>
      <c r="AS236" s="14"/>
      <c r="AT236" s="14"/>
      <c r="AU236" s="14"/>
      <c r="AV236" s="14"/>
      <c r="AW236" s="14"/>
      <c r="AX236" s="14"/>
      <c r="AY236" s="14"/>
      <c r="AZ236" s="14"/>
      <c r="BA236" s="14"/>
      <c r="BB236" s="14"/>
      <c r="BC236" s="14"/>
      <c r="BD236" s="14"/>
      <c r="BE236" s="14"/>
      <c r="BF236" s="14"/>
      <c r="BG236" s="14"/>
      <c r="BH236" s="14"/>
      <c r="BI236" s="14"/>
    </row>
    <row r="237" spans="1:6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v>46286</v>
      </c>
      <c r="AK237" s="14">
        <v>16.649999999999999</v>
      </c>
      <c r="AL237" s="14" t="s">
        <v>850</v>
      </c>
      <c r="AM237" s="14" t="s">
        <v>248</v>
      </c>
      <c r="AN237" s="14">
        <f>IF('Fund Data'!$H$2,IF(ISNUMBER(AK237),AK237,NA()),NA())</f>
        <v>16.649999999999999</v>
      </c>
      <c r="AO237" s="14"/>
      <c r="AP237" s="14"/>
      <c r="AQ237" s="14"/>
      <c r="AR237" s="14"/>
      <c r="AS237" s="14"/>
      <c r="AT237" s="14"/>
      <c r="AU237" s="14"/>
      <c r="AV237" s="14"/>
      <c r="AW237" s="14"/>
      <c r="AX237" s="14"/>
      <c r="AY237" s="14"/>
      <c r="AZ237" s="14"/>
      <c r="BA237" s="14"/>
      <c r="BB237" s="14"/>
      <c r="BC237" s="14"/>
      <c r="BD237" s="14"/>
      <c r="BE237" s="14"/>
      <c r="BF237" s="14"/>
      <c r="BG237" s="14"/>
      <c r="BH237" s="14"/>
      <c r="BI237" s="14"/>
    </row>
    <row r="238" spans="1:6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v>46287</v>
      </c>
      <c r="AK238" s="14">
        <v>16.649999999999999</v>
      </c>
      <c r="AL238" s="14" t="s">
        <v>850</v>
      </c>
      <c r="AM238" s="14" t="s">
        <v>248</v>
      </c>
      <c r="AN238" s="14">
        <f>IF('Fund Data'!$H$2,IF(ISNUMBER(AK238),AK238,NA()),NA())</f>
        <v>16.649999999999999</v>
      </c>
      <c r="AO238" s="14"/>
      <c r="AP238" s="14"/>
      <c r="AQ238" s="14"/>
      <c r="AR238" s="14"/>
      <c r="AS238" s="14"/>
      <c r="AT238" s="14"/>
      <c r="AU238" s="14"/>
      <c r="AV238" s="14"/>
      <c r="AW238" s="14"/>
      <c r="AX238" s="14"/>
      <c r="AY238" s="14"/>
      <c r="AZ238" s="14"/>
      <c r="BA238" s="14"/>
      <c r="BB238" s="14"/>
      <c r="BC238" s="14"/>
      <c r="BD238" s="14"/>
      <c r="BE238" s="14"/>
      <c r="BF238" s="14"/>
      <c r="BG238" s="14"/>
      <c r="BH238" s="14"/>
      <c r="BI238" s="14"/>
    </row>
    <row r="239" spans="1:6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v>46288</v>
      </c>
      <c r="AK239" s="14">
        <v>16.52</v>
      </c>
      <c r="AL239" s="14" t="s">
        <v>850</v>
      </c>
      <c r="AM239" s="14" t="s">
        <v>248</v>
      </c>
      <c r="AN239" s="14">
        <f>IF('Fund Data'!$H$2,IF(ISNUMBER(AK239),AK239,NA()),NA())</f>
        <v>16.52</v>
      </c>
      <c r="AO239" s="14"/>
      <c r="AP239" s="14"/>
      <c r="AQ239" s="14"/>
      <c r="AR239" s="14"/>
      <c r="AS239" s="14"/>
      <c r="AT239" s="14"/>
      <c r="AU239" s="14"/>
      <c r="AV239" s="14"/>
      <c r="AW239" s="14"/>
      <c r="AX239" s="14"/>
      <c r="AY239" s="14"/>
      <c r="AZ239" s="14"/>
      <c r="BA239" s="14"/>
      <c r="BB239" s="14"/>
      <c r="BC239" s="14"/>
      <c r="BD239" s="14"/>
      <c r="BE239" s="14"/>
      <c r="BF239" s="14"/>
      <c r="BG239" s="14"/>
      <c r="BH239" s="14"/>
      <c r="BI239" s="14"/>
    </row>
    <row r="240" spans="1:6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v>46289</v>
      </c>
      <c r="AK240" s="14">
        <v>16.52</v>
      </c>
      <c r="AL240" s="14" t="s">
        <v>850</v>
      </c>
      <c r="AM240" s="14" t="s">
        <v>248</v>
      </c>
      <c r="AN240" s="14">
        <f>IF('Fund Data'!$H$2,IF(ISNUMBER(AK240),AK240,NA()),NA())</f>
        <v>16.52</v>
      </c>
      <c r="AO240" s="14"/>
      <c r="AP240" s="14"/>
      <c r="AQ240" s="14"/>
      <c r="AR240" s="14"/>
      <c r="AS240" s="14"/>
      <c r="AT240" s="14"/>
      <c r="AU240" s="14"/>
      <c r="AV240" s="14"/>
      <c r="AW240" s="14"/>
      <c r="AX240" s="14"/>
      <c r="AY240" s="14"/>
      <c r="AZ240" s="14"/>
      <c r="BA240" s="14"/>
      <c r="BB240" s="14"/>
      <c r="BC240" s="14"/>
      <c r="BD240" s="14"/>
      <c r="BE240" s="14"/>
      <c r="BF240" s="14"/>
      <c r="BG240" s="14"/>
      <c r="BH240" s="14"/>
      <c r="BI240" s="14"/>
    </row>
    <row r="241" spans="1:6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v>46290</v>
      </c>
      <c r="AK241" s="14">
        <v>16.600000000000001</v>
      </c>
      <c r="AL241" s="14" t="s">
        <v>850</v>
      </c>
      <c r="AM241" s="14" t="s">
        <v>248</v>
      </c>
      <c r="AN241" s="14">
        <f>IF('Fund Data'!$H$2,IF(ISNUMBER(AK241),AK241,NA()),NA())</f>
        <v>16.600000000000001</v>
      </c>
      <c r="AO241" s="14"/>
      <c r="AP241" s="14"/>
      <c r="AQ241" s="14"/>
      <c r="AR241" s="14"/>
      <c r="AS241" s="14"/>
      <c r="AT241" s="14"/>
      <c r="AU241" s="14"/>
      <c r="AV241" s="14"/>
      <c r="AW241" s="14"/>
      <c r="AX241" s="14"/>
      <c r="AY241" s="14"/>
      <c r="AZ241" s="14"/>
      <c r="BA241" s="14"/>
      <c r="BB241" s="14"/>
      <c r="BC241" s="14"/>
      <c r="BD241" s="14"/>
      <c r="BE241" s="14"/>
      <c r="BF241" s="14"/>
      <c r="BG241" s="14"/>
      <c r="BH241" s="14"/>
      <c r="BI241" s="14"/>
    </row>
    <row r="242" spans="1:6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v>46293</v>
      </c>
      <c r="AK242" s="14">
        <v>16.46</v>
      </c>
      <c r="AL242" s="14" t="s">
        <v>850</v>
      </c>
      <c r="AM242" s="14" t="s">
        <v>248</v>
      </c>
      <c r="AN242" s="14">
        <f>IF('Fund Data'!$H$2,IF(ISNUMBER(AK242),AK242,NA()),NA())</f>
        <v>16.46</v>
      </c>
      <c r="AO242" s="14"/>
      <c r="AP242" s="14"/>
      <c r="AQ242" s="14"/>
      <c r="AR242" s="14"/>
      <c r="AS242" s="14"/>
      <c r="AT242" s="14"/>
      <c r="AU242" s="14"/>
      <c r="AV242" s="14"/>
      <c r="AW242" s="14"/>
      <c r="AX242" s="14"/>
      <c r="AY242" s="14"/>
      <c r="AZ242" s="14"/>
      <c r="BA242" s="14"/>
      <c r="BB242" s="14"/>
      <c r="BC242" s="14"/>
      <c r="BD242" s="14"/>
      <c r="BE242" s="14"/>
      <c r="BF242" s="14"/>
      <c r="BG242" s="14"/>
      <c r="BH242" s="14"/>
      <c r="BI242" s="14"/>
    </row>
    <row r="243" spans="1:6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v>46294</v>
      </c>
      <c r="AK243" s="14">
        <v>16.440000000000001</v>
      </c>
      <c r="AL243" s="14" t="s">
        <v>850</v>
      </c>
      <c r="AM243" s="14" t="s">
        <v>248</v>
      </c>
      <c r="AN243" s="14">
        <f>IF('Fund Data'!$H$2,IF(ISNUMBER(AK243),AK243,NA()),NA())</f>
        <v>16.440000000000001</v>
      </c>
      <c r="AO243" s="14"/>
      <c r="AP243" s="14"/>
      <c r="AQ243" s="14"/>
      <c r="AR243" s="14"/>
      <c r="AS243" s="14"/>
      <c r="AT243" s="14"/>
      <c r="AU243" s="14"/>
      <c r="AV243" s="14"/>
      <c r="AW243" s="14"/>
      <c r="AX243" s="14"/>
      <c r="AY243" s="14"/>
      <c r="AZ243" s="14"/>
      <c r="BA243" s="14"/>
      <c r="BB243" s="14"/>
      <c r="BC243" s="14"/>
      <c r="BD243" s="14"/>
      <c r="BE243" s="14"/>
      <c r="BF243" s="14"/>
      <c r="BG243" s="14"/>
      <c r="BH243" s="14"/>
      <c r="BI243" s="14"/>
    </row>
    <row r="244" spans="1:6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v>46295</v>
      </c>
      <c r="AK244" s="14">
        <v>16.399999999999999</v>
      </c>
      <c r="AL244" s="14" t="s">
        <v>850</v>
      </c>
      <c r="AM244" s="14" t="s">
        <v>248</v>
      </c>
      <c r="AN244" s="14">
        <f>IF('Fund Data'!$H$2,IF(ISNUMBER(AK244),AK244,NA()),NA())</f>
        <v>16.399999999999999</v>
      </c>
      <c r="AO244" s="14"/>
      <c r="AP244" s="14"/>
      <c r="AQ244" s="14"/>
      <c r="AR244" s="14"/>
      <c r="AS244" s="14"/>
      <c r="AT244" s="14"/>
      <c r="AU244" s="14"/>
      <c r="AV244" s="14"/>
      <c r="AW244" s="14"/>
      <c r="AX244" s="14"/>
      <c r="AY244" s="14"/>
      <c r="AZ244" s="14"/>
      <c r="BA244" s="14"/>
      <c r="BB244" s="14"/>
      <c r="BC244" s="14"/>
      <c r="BD244" s="14"/>
      <c r="BE244" s="14"/>
      <c r="BF244" s="14"/>
      <c r="BG244" s="14"/>
      <c r="BH244" s="14"/>
      <c r="BI244" s="14"/>
    </row>
    <row r="245" spans="1:6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v>46296</v>
      </c>
      <c r="AK245" s="14">
        <v>16.440000000000001</v>
      </c>
      <c r="AL245" s="14" t="s">
        <v>850</v>
      </c>
      <c r="AM245" s="14" t="s">
        <v>248</v>
      </c>
      <c r="AN245" s="14">
        <f>IF('Fund Data'!$H$2,IF(ISNUMBER(AK245),AK245,NA()),NA())</f>
        <v>16.440000000000001</v>
      </c>
      <c r="AO245" s="14"/>
      <c r="AP245" s="14"/>
      <c r="AQ245" s="14"/>
      <c r="AR245" s="14"/>
      <c r="AS245" s="14"/>
      <c r="AT245" s="14"/>
      <c r="AU245" s="14"/>
      <c r="AV245" s="14"/>
      <c r="AW245" s="14"/>
      <c r="AX245" s="14"/>
      <c r="AY245" s="14"/>
      <c r="AZ245" s="14"/>
      <c r="BA245" s="14"/>
      <c r="BB245" s="14"/>
      <c r="BC245" s="14"/>
      <c r="BD245" s="14"/>
      <c r="BE245" s="14"/>
      <c r="BF245" s="14"/>
      <c r="BG245" s="14"/>
      <c r="BH245" s="14"/>
      <c r="BI245" s="14"/>
    </row>
    <row r="246" spans="1:6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v>46297</v>
      </c>
      <c r="AK246" s="14">
        <v>16.559999999999999</v>
      </c>
      <c r="AL246" s="14" t="s">
        <v>850</v>
      </c>
      <c r="AM246" s="14" t="s">
        <v>248</v>
      </c>
      <c r="AN246" s="14">
        <f>IF('Fund Data'!$H$2,IF(ISNUMBER(AK246),AK246,NA()),NA())</f>
        <v>16.559999999999999</v>
      </c>
      <c r="AO246" s="14"/>
      <c r="AP246" s="14"/>
      <c r="AQ246" s="14"/>
      <c r="AR246" s="14"/>
      <c r="AS246" s="14"/>
      <c r="AT246" s="14"/>
      <c r="AU246" s="14"/>
      <c r="AV246" s="14"/>
      <c r="AW246" s="14"/>
      <c r="AX246" s="14"/>
      <c r="AY246" s="14"/>
      <c r="AZ246" s="14"/>
      <c r="BA246" s="14"/>
      <c r="BB246" s="14"/>
      <c r="BC246" s="14"/>
      <c r="BD246" s="14"/>
      <c r="BE246" s="14"/>
      <c r="BF246" s="14"/>
      <c r="BG246" s="14"/>
      <c r="BH246" s="14"/>
      <c r="BI246" s="14"/>
    </row>
    <row r="247" spans="1:6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v>46300</v>
      </c>
      <c r="AK247" s="14">
        <v>16.670000000000002</v>
      </c>
      <c r="AL247" s="14" t="s">
        <v>850</v>
      </c>
      <c r="AM247" s="14" t="s">
        <v>248</v>
      </c>
      <c r="AN247" s="14">
        <f>IF('Fund Data'!$H$2,IF(ISNUMBER(AK247),AK247,NA()),NA())</f>
        <v>16.670000000000002</v>
      </c>
      <c r="AO247" s="14"/>
      <c r="AP247" s="14"/>
      <c r="AQ247" s="14"/>
      <c r="AR247" s="14"/>
      <c r="AS247" s="14"/>
      <c r="AT247" s="14"/>
      <c r="AU247" s="14"/>
      <c r="AV247" s="14"/>
      <c r="AW247" s="14"/>
      <c r="AX247" s="14"/>
      <c r="AY247" s="14"/>
      <c r="AZ247" s="14"/>
      <c r="BA247" s="14"/>
      <c r="BB247" s="14"/>
      <c r="BC247" s="14"/>
      <c r="BD247" s="14"/>
      <c r="BE247" s="14"/>
      <c r="BF247" s="14"/>
      <c r="BG247" s="14"/>
      <c r="BH247" s="14"/>
      <c r="BI247" s="14"/>
    </row>
    <row r="248" spans="1:6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v>46301</v>
      </c>
      <c r="AK248" s="14">
        <v>16.77</v>
      </c>
      <c r="AL248" s="14" t="s">
        <v>850</v>
      </c>
      <c r="AM248" s="14" t="s">
        <v>248</v>
      </c>
      <c r="AN248" s="14">
        <f>IF('Fund Data'!$H$2,IF(ISNUMBER(AK248),AK248,NA()),NA())</f>
        <v>16.77</v>
      </c>
      <c r="AO248" s="14"/>
      <c r="AP248" s="14"/>
      <c r="AQ248" s="14"/>
      <c r="AR248" s="14"/>
      <c r="AS248" s="14"/>
      <c r="AT248" s="14"/>
      <c r="AU248" s="14"/>
      <c r="AV248" s="14"/>
      <c r="AW248" s="14"/>
      <c r="AX248" s="14"/>
      <c r="AY248" s="14"/>
      <c r="AZ248" s="14"/>
      <c r="BA248" s="14"/>
      <c r="BB248" s="14"/>
      <c r="BC248" s="14"/>
      <c r="BD248" s="14"/>
      <c r="BE248" s="14"/>
      <c r="BF248" s="14"/>
      <c r="BG248" s="14"/>
      <c r="BH248" s="14"/>
      <c r="BI248" s="14"/>
    </row>
    <row r="249" spans="1:6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v>46302</v>
      </c>
      <c r="AK249" s="14">
        <v>16.71</v>
      </c>
      <c r="AL249" s="14" t="s">
        <v>850</v>
      </c>
      <c r="AM249" s="14" t="s">
        <v>248</v>
      </c>
      <c r="AN249" s="14">
        <f>IF('Fund Data'!$H$2,IF(ISNUMBER(AK249),AK249,NA()),NA())</f>
        <v>16.71</v>
      </c>
      <c r="AO249" s="14"/>
      <c r="AP249" s="14"/>
      <c r="AQ249" s="14"/>
      <c r="AR249" s="14"/>
      <c r="AS249" s="14"/>
      <c r="AT249" s="14"/>
      <c r="AU249" s="14"/>
      <c r="AV249" s="14"/>
      <c r="AW249" s="14"/>
      <c r="AX249" s="14"/>
      <c r="AY249" s="14"/>
      <c r="AZ249" s="14"/>
      <c r="BA249" s="14"/>
      <c r="BB249" s="14"/>
      <c r="BC249" s="14"/>
      <c r="BD249" s="14"/>
      <c r="BE249" s="14"/>
      <c r="BF249" s="14"/>
      <c r="BG249" s="14"/>
      <c r="BH249" s="14"/>
      <c r="BI249" s="14"/>
    </row>
    <row r="250" spans="1:6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v>46303</v>
      </c>
      <c r="AK250" s="14">
        <v>16.64</v>
      </c>
      <c r="AL250" s="14" t="s">
        <v>850</v>
      </c>
      <c r="AM250" s="14" t="s">
        <v>248</v>
      </c>
      <c r="AN250" s="14">
        <f>IF('Fund Data'!$H$2,IF(ISNUMBER(AK250),AK250,NA()),NA())</f>
        <v>16.64</v>
      </c>
      <c r="AO250" s="14"/>
      <c r="AP250" s="14"/>
      <c r="AQ250" s="14"/>
      <c r="AR250" s="14"/>
      <c r="AS250" s="14"/>
      <c r="AT250" s="14"/>
      <c r="AU250" s="14"/>
      <c r="AV250" s="14"/>
      <c r="AW250" s="14"/>
      <c r="AX250" s="14"/>
      <c r="AY250" s="14"/>
      <c r="AZ250" s="14"/>
      <c r="BA250" s="14"/>
      <c r="BB250" s="14"/>
      <c r="BC250" s="14"/>
      <c r="BD250" s="14"/>
      <c r="BE250" s="14"/>
      <c r="BF250" s="14"/>
      <c r="BG250" s="14"/>
      <c r="BH250" s="14"/>
      <c r="BI250" s="14"/>
    </row>
    <row r="251" spans="1:6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v>46304</v>
      </c>
      <c r="AK251" s="14">
        <v>16.739999999999998</v>
      </c>
      <c r="AL251" s="14" t="s">
        <v>850</v>
      </c>
      <c r="AM251" s="14" t="s">
        <v>248</v>
      </c>
      <c r="AN251" s="14">
        <f>IF('Fund Data'!$H$2,IF(ISNUMBER(AK251),AK251,NA()),NA())</f>
        <v>16.739999999999998</v>
      </c>
      <c r="AO251" s="14"/>
      <c r="AP251" s="14"/>
      <c r="AQ251" s="14"/>
      <c r="AR251" s="14"/>
      <c r="AS251" s="14"/>
      <c r="AT251" s="14"/>
      <c r="AU251" s="14"/>
      <c r="AV251" s="14"/>
      <c r="AW251" s="14"/>
      <c r="AX251" s="14"/>
      <c r="AY251" s="14"/>
      <c r="AZ251" s="14"/>
      <c r="BA251" s="14"/>
      <c r="BB251" s="14"/>
      <c r="BC251" s="14"/>
      <c r="BD251" s="14"/>
      <c r="BE251" s="14"/>
      <c r="BF251" s="14"/>
      <c r="BG251" s="14"/>
      <c r="BH251" s="14"/>
      <c r="BI251" s="14"/>
    </row>
    <row r="252" spans="1:6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t="e">
        <f>IF('Fund Data'!$H$2,IF(ISNUMBER(AK252),AK252,NA()),NA())</f>
        <v>#N/A</v>
      </c>
      <c r="AO252" s="14"/>
      <c r="AP252" s="14"/>
      <c r="AQ252" s="14"/>
      <c r="AR252" s="14"/>
      <c r="AS252" s="14"/>
      <c r="AT252" s="14"/>
      <c r="AU252" s="14"/>
      <c r="AV252" s="14"/>
      <c r="AW252" s="14"/>
      <c r="AX252" s="14"/>
      <c r="AY252" s="14"/>
      <c r="AZ252" s="14"/>
      <c r="BA252" s="14"/>
      <c r="BB252" s="14"/>
      <c r="BC252" s="14"/>
      <c r="BD252" s="14"/>
      <c r="BE252" s="14"/>
      <c r="BF252" s="14"/>
      <c r="BG252" s="14"/>
      <c r="BH252" s="14"/>
      <c r="BI252" s="14"/>
    </row>
    <row r="253" spans="1:6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t="e">
        <f>IF('Fund Data'!$H$2,IF(ISNUMBER(AK253),AK253,NA()),NA())</f>
        <v>#N/A</v>
      </c>
      <c r="AO253" s="14"/>
      <c r="AP253" s="14"/>
      <c r="AQ253" s="14"/>
      <c r="AR253" s="14"/>
      <c r="AS253" s="14"/>
      <c r="AT253" s="14"/>
      <c r="AU253" s="14"/>
      <c r="AV253" s="14"/>
      <c r="AW253" s="14"/>
      <c r="AX253" s="14"/>
      <c r="AY253" s="14"/>
      <c r="AZ253" s="14"/>
      <c r="BA253" s="14"/>
      <c r="BB253" s="14"/>
      <c r="BC253" s="14"/>
      <c r="BD253" s="14"/>
      <c r="BE253" s="14"/>
      <c r="BF253" s="14"/>
      <c r="BG253" s="14"/>
      <c r="BH253" s="14"/>
      <c r="BI253" s="14"/>
    </row>
    <row r="254" spans="1:6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t="e">
        <f>IF('Fund Data'!$H$2,IF(ISNUMBER(AK254),AK254,NA()),NA())</f>
        <v>#N/A</v>
      </c>
      <c r="AO254" s="14"/>
      <c r="AP254" s="14"/>
      <c r="AQ254" s="14"/>
      <c r="AR254" s="14"/>
      <c r="AS254" s="14"/>
      <c r="AT254" s="14"/>
      <c r="AU254" s="14"/>
      <c r="AV254" s="14"/>
      <c r="AW254" s="14"/>
      <c r="AX254" s="14"/>
      <c r="AY254" s="14"/>
      <c r="AZ254" s="14"/>
      <c r="BA254" s="14"/>
      <c r="BB254" s="14"/>
      <c r="BC254" s="14"/>
      <c r="BD254" s="14"/>
      <c r="BE254" s="14"/>
      <c r="BF254" s="14"/>
      <c r="BG254" s="14"/>
      <c r="BH254" s="14"/>
      <c r="BI254" s="14"/>
    </row>
    <row r="255" spans="1:6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t="e">
        <f>IF('Fund Data'!$H$2,IF(ISNUMBER(AK255),AK255,NA()),NA())</f>
        <v>#N/A</v>
      </c>
      <c r="AO255" s="14"/>
      <c r="AP255" s="14"/>
      <c r="AQ255" s="14"/>
      <c r="AR255" s="14"/>
      <c r="AS255" s="14"/>
      <c r="AT255" s="14"/>
      <c r="AU255" s="14"/>
      <c r="AV255" s="14"/>
      <c r="AW255" s="14"/>
      <c r="AX255" s="14"/>
      <c r="AY255" s="14"/>
      <c r="AZ255" s="14"/>
      <c r="BA255" s="14"/>
      <c r="BB255" s="14"/>
      <c r="BC255" s="14"/>
      <c r="BD255" s="14"/>
      <c r="BE255" s="14"/>
      <c r="BF255" s="14"/>
      <c r="BG255" s="14"/>
      <c r="BH255" s="14"/>
      <c r="BI255" s="14"/>
    </row>
    <row r="256" spans="1:6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t="e">
        <f>IF('Fund Data'!$H$2,IF(ISNUMBER(AK256),AK256,NA()),NA())</f>
        <v>#N/A</v>
      </c>
      <c r="AO256" s="14"/>
      <c r="AP256" s="14"/>
      <c r="AQ256" s="14"/>
      <c r="AR256" s="14"/>
      <c r="AS256" s="14"/>
      <c r="AT256" s="14"/>
      <c r="AU256" s="14"/>
      <c r="AV256" s="14"/>
      <c r="AW256" s="14"/>
      <c r="AX256" s="14"/>
      <c r="AY256" s="14"/>
      <c r="AZ256" s="14"/>
      <c r="BA256" s="14"/>
      <c r="BB256" s="14"/>
      <c r="BC256" s="14"/>
      <c r="BD256" s="14"/>
      <c r="BE256" s="14"/>
      <c r="BF256" s="14"/>
      <c r="BG256" s="14"/>
      <c r="BH256" s="14"/>
      <c r="BI256" s="14"/>
    </row>
    <row r="257" spans="1:6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t="e">
        <f>IF('Fund Data'!$H$2,IF(ISNUMBER(AK257),AK257,NA()),NA())</f>
        <v>#N/A</v>
      </c>
      <c r="AO257" s="14"/>
      <c r="AP257" s="14"/>
      <c r="AQ257" s="14"/>
      <c r="AR257" s="14"/>
      <c r="AS257" s="14"/>
      <c r="AT257" s="14"/>
      <c r="AU257" s="14"/>
      <c r="AV257" s="14"/>
      <c r="AW257" s="14"/>
      <c r="AX257" s="14"/>
      <c r="AY257" s="14"/>
      <c r="AZ257" s="14"/>
      <c r="BA257" s="14"/>
      <c r="BB257" s="14"/>
      <c r="BC257" s="14"/>
      <c r="BD257" s="14"/>
      <c r="BE257" s="14"/>
      <c r="BF257" s="14"/>
      <c r="BG257" s="14"/>
      <c r="BH257" s="14"/>
      <c r="BI257" s="14"/>
    </row>
    <row r="258" spans="1:6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t="e">
        <f>IF('Fund Data'!$H$2,IF(ISNUMBER(AK258),AK258,NA()),NA())</f>
        <v>#N/A</v>
      </c>
      <c r="AO258" s="14"/>
      <c r="AP258" s="14"/>
      <c r="AQ258" s="14"/>
      <c r="AR258" s="14"/>
      <c r="AS258" s="14"/>
      <c r="AT258" s="14"/>
      <c r="AU258" s="14"/>
      <c r="AV258" s="14"/>
      <c r="AW258" s="14"/>
      <c r="AX258" s="14"/>
      <c r="AY258" s="14"/>
      <c r="AZ258" s="14"/>
      <c r="BA258" s="14"/>
      <c r="BB258" s="14"/>
      <c r="BC258" s="14"/>
      <c r="BD258" s="14"/>
      <c r="BE258" s="14"/>
      <c r="BF258" s="14"/>
      <c r="BG258" s="14"/>
      <c r="BH258" s="14"/>
      <c r="BI258" s="14"/>
    </row>
    <row r="259" spans="1:6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t="e">
        <f>IF('Fund Data'!$H$2,IF(ISNUMBER(AK259),AK259,NA()),NA())</f>
        <v>#N/A</v>
      </c>
      <c r="AO259" s="14"/>
      <c r="AP259" s="14"/>
      <c r="AQ259" s="14"/>
      <c r="AR259" s="14"/>
      <c r="AS259" s="14"/>
      <c r="AT259" s="14"/>
      <c r="AU259" s="14"/>
      <c r="AV259" s="14"/>
      <c r="AW259" s="14"/>
      <c r="AX259" s="14"/>
      <c r="AY259" s="14"/>
      <c r="AZ259" s="14"/>
      <c r="BA259" s="14"/>
      <c r="BB259" s="14"/>
      <c r="BC259" s="14"/>
      <c r="BD259" s="14"/>
      <c r="BE259" s="14"/>
      <c r="BF259" s="14"/>
      <c r="BG259" s="14"/>
      <c r="BH259" s="14"/>
      <c r="BI259" s="14"/>
    </row>
    <row r="260" spans="1:6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t="e">
        <f>IF('Fund Data'!$H$2,IF(ISNUMBER(AK260),AK260,NA()),NA())</f>
        <v>#N/A</v>
      </c>
      <c r="AO260" s="14"/>
      <c r="AP260" s="14"/>
      <c r="AQ260" s="14"/>
      <c r="AR260" s="14"/>
      <c r="AS260" s="14"/>
      <c r="AT260" s="14"/>
      <c r="AU260" s="14"/>
      <c r="AV260" s="14"/>
      <c r="AW260" s="14"/>
      <c r="AX260" s="14"/>
      <c r="AY260" s="14"/>
      <c r="AZ260" s="14"/>
      <c r="BA260" s="14"/>
      <c r="BB260" s="14"/>
      <c r="BC260" s="14"/>
      <c r="BD260" s="14"/>
      <c r="BE260" s="14"/>
      <c r="BF260" s="14"/>
      <c r="BG260" s="14"/>
      <c r="BH260" s="14"/>
      <c r="BI260" s="14"/>
    </row>
    <row r="261" spans="1:6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t="e">
        <f>IF('Fund Data'!$H$2,IF(ISNUMBER(AK261),AK261,NA()),NA())</f>
        <v>#N/A</v>
      </c>
      <c r="AO261" s="14"/>
      <c r="AP261" s="14"/>
      <c r="AQ261" s="14"/>
      <c r="AR261" s="14"/>
      <c r="AS261" s="14"/>
      <c r="AT261" s="14"/>
      <c r="AU261" s="14"/>
      <c r="AV261" s="14"/>
      <c r="AW261" s="14"/>
      <c r="AX261" s="14"/>
      <c r="AY261" s="14"/>
      <c r="AZ261" s="14"/>
      <c r="BA261" s="14"/>
      <c r="BB261" s="14"/>
      <c r="BC261" s="14"/>
      <c r="BD261" s="14"/>
      <c r="BE261" s="14"/>
      <c r="BF261" s="14"/>
      <c r="BG261" s="14"/>
      <c r="BH261" s="14"/>
      <c r="BI261" s="14"/>
    </row>
    <row r="262" spans="1:6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t="e">
        <f>IF('Fund Data'!$H$2,IF(ISNUMBER(AK262),AK262,NA()),NA())</f>
        <v>#N/A</v>
      </c>
      <c r="AO262" s="14"/>
      <c r="AP262" s="14"/>
      <c r="AQ262" s="14"/>
      <c r="AR262" s="14"/>
      <c r="AS262" s="14"/>
      <c r="AT262" s="14"/>
      <c r="AU262" s="14"/>
      <c r="AV262" s="14"/>
      <c r="AW262" s="14"/>
      <c r="AX262" s="14"/>
      <c r="AY262" s="14"/>
      <c r="AZ262" s="14"/>
      <c r="BA262" s="14"/>
      <c r="BB262" s="14"/>
      <c r="BC262" s="14"/>
      <c r="BD262" s="14"/>
      <c r="BE262" s="14"/>
      <c r="BF262" s="14"/>
      <c r="BG262" s="14"/>
      <c r="BH262" s="14"/>
      <c r="BI262" s="14"/>
    </row>
    <row r="263" spans="1:6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t="e">
        <f>IF('Fund Data'!$H$2,IF(ISNUMBER(AK263),AK263,NA()),NA())</f>
        <v>#N/A</v>
      </c>
      <c r="AO263" s="14"/>
      <c r="AP263" s="14"/>
      <c r="AQ263" s="14"/>
      <c r="AR263" s="14"/>
      <c r="AS263" s="14"/>
      <c r="AT263" s="14"/>
      <c r="AU263" s="14"/>
      <c r="AV263" s="14"/>
      <c r="AW263" s="14"/>
      <c r="AX263" s="14"/>
      <c r="AY263" s="14"/>
      <c r="AZ263" s="14"/>
      <c r="BA263" s="14"/>
      <c r="BB263" s="14"/>
      <c r="BC263" s="14"/>
      <c r="BD263" s="14"/>
      <c r="BE263" s="14"/>
      <c r="BF263" s="14"/>
      <c r="BG263" s="14"/>
      <c r="BH263" s="14"/>
      <c r="BI263" s="14"/>
    </row>
    <row r="264" spans="1:6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t="e">
        <f>IF('Fund Data'!$H$2,IF(ISNUMBER(AK264),AK264,NA()),NA())</f>
        <v>#N/A</v>
      </c>
      <c r="AO264" s="14"/>
      <c r="AP264" s="14"/>
      <c r="AQ264" s="14"/>
      <c r="AR264" s="14"/>
      <c r="AS264" s="14"/>
      <c r="AT264" s="14"/>
      <c r="AU264" s="14"/>
      <c r="AV264" s="14"/>
      <c r="AW264" s="14"/>
      <c r="AX264" s="14"/>
      <c r="AY264" s="14"/>
      <c r="AZ264" s="14"/>
      <c r="BA264" s="14"/>
      <c r="BB264" s="14"/>
      <c r="BC264" s="14"/>
      <c r="BD264" s="14"/>
      <c r="BE264" s="14"/>
      <c r="BF264" s="14"/>
      <c r="BG264" s="14"/>
      <c r="BH264" s="14"/>
      <c r="BI264" s="14"/>
    </row>
    <row r="265" spans="1:6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t="e">
        <f>IF('Fund Data'!$H$2,IF(ISNUMBER(AK265),AK265,NA()),NA())</f>
        <v>#N/A</v>
      </c>
      <c r="AO265" s="14"/>
      <c r="AP265" s="14"/>
      <c r="AQ265" s="14"/>
      <c r="AR265" s="14"/>
      <c r="AS265" s="14"/>
      <c r="AT265" s="14"/>
      <c r="AU265" s="14"/>
      <c r="AV265" s="14"/>
      <c r="AW265" s="14"/>
      <c r="AX265" s="14"/>
      <c r="AY265" s="14"/>
      <c r="AZ265" s="14"/>
      <c r="BA265" s="14"/>
      <c r="BB265" s="14"/>
      <c r="BC265" s="14"/>
      <c r="BD265" s="14"/>
      <c r="BE265" s="14"/>
      <c r="BF265" s="14"/>
      <c r="BG265" s="14"/>
      <c r="BH265" s="14"/>
      <c r="BI265" s="14"/>
    </row>
    <row r="266" spans="1:6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t="e">
        <f>IF('Fund Data'!$H$2,IF(ISNUMBER(AK266),AK266,NA()),NA())</f>
        <v>#N/A</v>
      </c>
      <c r="AO266" s="14"/>
      <c r="AP266" s="14"/>
      <c r="AQ266" s="14"/>
      <c r="AR266" s="14"/>
      <c r="AS266" s="14"/>
      <c r="AT266" s="14"/>
      <c r="AU266" s="14"/>
      <c r="AV266" s="14"/>
      <c r="AW266" s="14"/>
      <c r="AX266" s="14"/>
      <c r="AY266" s="14"/>
      <c r="AZ266" s="14"/>
      <c r="BA266" s="14"/>
      <c r="BB266" s="14"/>
      <c r="BC266" s="14"/>
      <c r="BD266" s="14"/>
      <c r="BE266" s="14"/>
      <c r="BF266" s="14"/>
      <c r="BG266" s="14"/>
      <c r="BH266" s="14"/>
      <c r="BI266" s="14"/>
    </row>
    <row r="267" spans="1:6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t="e">
        <f>IF('Fund Data'!$H$2,IF(ISNUMBER(AK267),AK267,NA()),NA())</f>
        <v>#N/A</v>
      </c>
      <c r="AO267" s="14"/>
      <c r="AP267" s="14"/>
      <c r="AQ267" s="14"/>
      <c r="AR267" s="14"/>
      <c r="AS267" s="14"/>
      <c r="AT267" s="14"/>
      <c r="AU267" s="14"/>
      <c r="AV267" s="14"/>
      <c r="AW267" s="14"/>
      <c r="AX267" s="14"/>
      <c r="AY267" s="14"/>
      <c r="AZ267" s="14"/>
      <c r="BA267" s="14"/>
      <c r="BB267" s="14"/>
      <c r="BC267" s="14"/>
      <c r="BD267" s="14"/>
      <c r="BE267" s="14"/>
      <c r="BF267" s="14"/>
      <c r="BG267" s="14"/>
      <c r="BH267" s="14"/>
      <c r="BI267" s="14"/>
    </row>
    <row r="268" spans="1:6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t="e">
        <f>IF('Fund Data'!$H$2,IF(ISNUMBER(AK268),AK268,NA()),NA())</f>
        <v>#N/A</v>
      </c>
      <c r="AO268" s="14"/>
      <c r="AP268" s="14"/>
      <c r="AQ268" s="14"/>
      <c r="AR268" s="14"/>
      <c r="AS268" s="14"/>
      <c r="AT268" s="14"/>
      <c r="AU268" s="14"/>
      <c r="AV268" s="14"/>
      <c r="AW268" s="14"/>
      <c r="AX268" s="14"/>
      <c r="AY268" s="14"/>
      <c r="AZ268" s="14"/>
      <c r="BA268" s="14"/>
      <c r="BB268" s="14"/>
      <c r="BC268" s="14"/>
      <c r="BD268" s="14"/>
      <c r="BE268" s="14"/>
      <c r="BF268" s="14"/>
      <c r="BG268" s="14"/>
      <c r="BH268" s="14"/>
      <c r="BI268" s="14"/>
    </row>
    <row r="269" spans="1:6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t="e">
        <f>IF('Fund Data'!$H$2,IF(ISNUMBER(AK269),AK269,NA()),NA())</f>
        <v>#N/A</v>
      </c>
      <c r="AO269" s="14"/>
      <c r="AP269" s="14"/>
      <c r="AQ269" s="14"/>
      <c r="AR269" s="14"/>
      <c r="AS269" s="14"/>
      <c r="AT269" s="14"/>
      <c r="AU269" s="14"/>
      <c r="AV269" s="14"/>
      <c r="AW269" s="14"/>
      <c r="AX269" s="14"/>
      <c r="AY269" s="14"/>
      <c r="AZ269" s="14"/>
      <c r="BA269" s="14"/>
      <c r="BB269" s="14"/>
      <c r="BC269" s="14"/>
      <c r="BD269" s="14"/>
      <c r="BE269" s="14"/>
      <c r="BF269" s="14"/>
      <c r="BG269" s="14"/>
      <c r="BH269" s="14"/>
      <c r="BI269" s="14"/>
    </row>
    <row r="270" spans="1:6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t="e">
        <f>IF('Fund Data'!$H$2,IF(ISNUMBER(AK270),AK270,NA()),NA())</f>
        <v>#N/A</v>
      </c>
      <c r="AO270" s="14"/>
      <c r="AP270" s="14"/>
      <c r="AQ270" s="14"/>
      <c r="AR270" s="14"/>
      <c r="AS270" s="14"/>
      <c r="AT270" s="14"/>
      <c r="AU270" s="14"/>
      <c r="AV270" s="14"/>
      <c r="AW270" s="14"/>
      <c r="AX270" s="14"/>
      <c r="AY270" s="14"/>
      <c r="AZ270" s="14"/>
      <c r="BA270" s="14"/>
      <c r="BB270" s="14"/>
      <c r="BC270" s="14"/>
      <c r="BD270" s="14"/>
      <c r="BE270" s="14"/>
      <c r="BF270" s="14"/>
      <c r="BG270" s="14"/>
      <c r="BH270" s="14"/>
      <c r="BI270" s="14"/>
    </row>
    <row r="271" spans="1:6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t="e">
        <f>IF('Fund Data'!$H$2,IF(ISNUMBER(AK271),AK271,NA()),NA())</f>
        <v>#N/A</v>
      </c>
      <c r="AO271" s="14"/>
      <c r="AP271" s="14"/>
      <c r="AQ271" s="14"/>
      <c r="AR271" s="14"/>
      <c r="AS271" s="14"/>
      <c r="AT271" s="14"/>
      <c r="AU271" s="14"/>
      <c r="AV271" s="14"/>
      <c r="AW271" s="14"/>
      <c r="AX271" s="14"/>
      <c r="AY271" s="14"/>
      <c r="AZ271" s="14"/>
      <c r="BA271" s="14"/>
      <c r="BB271" s="14"/>
      <c r="BC271" s="14"/>
      <c r="BD271" s="14"/>
      <c r="BE271" s="14"/>
      <c r="BF271" s="14"/>
      <c r="BG271" s="14"/>
      <c r="BH271" s="14"/>
      <c r="BI271" s="14"/>
    </row>
    <row r="272" spans="1:6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t="e">
        <f>IF('Fund Data'!$H$2,IF(ISNUMBER(AK272),AK272,NA()),NA())</f>
        <v>#N/A</v>
      </c>
      <c r="AO272" s="14"/>
      <c r="AP272" s="14"/>
      <c r="AQ272" s="14"/>
      <c r="AR272" s="14"/>
      <c r="AS272" s="14"/>
      <c r="AT272" s="14"/>
      <c r="AU272" s="14"/>
      <c r="AV272" s="14"/>
      <c r="AW272" s="14"/>
      <c r="AX272" s="14"/>
      <c r="AY272" s="14"/>
      <c r="AZ272" s="14"/>
      <c r="BA272" s="14"/>
      <c r="BB272" s="14"/>
      <c r="BC272" s="14"/>
      <c r="BD272" s="14"/>
      <c r="BE272" s="14"/>
      <c r="BF272" s="14"/>
      <c r="BG272" s="14"/>
      <c r="BH272" s="14"/>
      <c r="BI272" s="14"/>
    </row>
    <row r="273" spans="1:6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t="e">
        <f>IF('Fund Data'!$H$2,IF(ISNUMBER(AK273),AK273,NA()),NA())</f>
        <v>#N/A</v>
      </c>
      <c r="AO273" s="14"/>
      <c r="AP273" s="14"/>
      <c r="AQ273" s="14"/>
      <c r="AR273" s="14"/>
      <c r="AS273" s="14"/>
      <c r="AT273" s="14"/>
      <c r="AU273" s="14"/>
      <c r="AV273" s="14"/>
      <c r="AW273" s="14"/>
      <c r="AX273" s="14"/>
      <c r="AY273" s="14"/>
      <c r="AZ273" s="14"/>
      <c r="BA273" s="14"/>
      <c r="BB273" s="14"/>
      <c r="BC273" s="14"/>
      <c r="BD273" s="14"/>
      <c r="BE273" s="14"/>
      <c r="BF273" s="14"/>
      <c r="BG273" s="14"/>
      <c r="BH273" s="14"/>
      <c r="BI273" s="14"/>
    </row>
    <row r="274" spans="1:6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t="e">
        <f>IF('Fund Data'!$H$2,IF(ISNUMBER(AK274),AK274,NA()),NA())</f>
        <v>#N/A</v>
      </c>
      <c r="AO274" s="14"/>
      <c r="AP274" s="14"/>
      <c r="AQ274" s="14"/>
      <c r="AR274" s="14"/>
      <c r="AS274" s="14"/>
      <c r="AT274" s="14"/>
      <c r="AU274" s="14"/>
      <c r="AV274" s="14"/>
      <c r="AW274" s="14"/>
      <c r="AX274" s="14"/>
      <c r="AY274" s="14"/>
      <c r="AZ274" s="14"/>
      <c r="BA274" s="14"/>
      <c r="BB274" s="14"/>
      <c r="BC274" s="14"/>
      <c r="BD274" s="14"/>
      <c r="BE274" s="14"/>
      <c r="BF274" s="14"/>
      <c r="BG274" s="14"/>
      <c r="BH274" s="14"/>
      <c r="BI274" s="14"/>
    </row>
    <row r="275" spans="1:6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t="e">
        <f>IF('Fund Data'!$H$2,IF(ISNUMBER(AK275),AK275,NA()),NA())</f>
        <v>#N/A</v>
      </c>
      <c r="AO275" s="14"/>
      <c r="AP275" s="14"/>
      <c r="AQ275" s="14"/>
      <c r="AR275" s="14"/>
      <c r="AS275" s="14"/>
      <c r="AT275" s="14"/>
      <c r="AU275" s="14"/>
      <c r="AV275" s="14"/>
      <c r="AW275" s="14"/>
      <c r="AX275" s="14"/>
      <c r="AY275" s="14"/>
      <c r="AZ275" s="14"/>
      <c r="BA275" s="14"/>
      <c r="BB275" s="14"/>
      <c r="BC275" s="14"/>
      <c r="BD275" s="14"/>
      <c r="BE275" s="14"/>
      <c r="BF275" s="14"/>
      <c r="BG275" s="14"/>
      <c r="BH275" s="14"/>
      <c r="BI275" s="14"/>
    </row>
    <row r="276" spans="1:6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t="e">
        <f>IF('Fund Data'!$H$2,IF(ISNUMBER(AK276),AK276,NA()),NA())</f>
        <v>#N/A</v>
      </c>
      <c r="AO276" s="14"/>
      <c r="AP276" s="14"/>
      <c r="AQ276" s="14"/>
      <c r="AR276" s="14"/>
      <c r="AS276" s="14"/>
      <c r="AT276" s="14"/>
      <c r="AU276" s="14"/>
      <c r="AV276" s="14"/>
      <c r="AW276" s="14"/>
      <c r="AX276" s="14"/>
      <c r="AY276" s="14"/>
      <c r="AZ276" s="14"/>
      <c r="BA276" s="14"/>
      <c r="BB276" s="14"/>
      <c r="BC276" s="14"/>
      <c r="BD276" s="14"/>
      <c r="BE276" s="14"/>
      <c r="BF276" s="14"/>
      <c r="BG276" s="14"/>
      <c r="BH276" s="14"/>
      <c r="BI276" s="14"/>
    </row>
    <row r="277" spans="1:6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t="e">
        <f>IF('Fund Data'!$H$2,IF(ISNUMBER(AK277),AK277,NA()),NA())</f>
        <v>#N/A</v>
      </c>
      <c r="AO277" s="14"/>
      <c r="AP277" s="14"/>
      <c r="AQ277" s="14"/>
      <c r="AR277" s="14"/>
      <c r="AS277" s="14"/>
      <c r="AT277" s="14"/>
      <c r="AU277" s="14"/>
      <c r="AV277" s="14"/>
      <c r="AW277" s="14"/>
      <c r="AX277" s="14"/>
      <c r="AY277" s="14"/>
      <c r="AZ277" s="14"/>
      <c r="BA277" s="14"/>
      <c r="BB277" s="14"/>
      <c r="BC277" s="14"/>
      <c r="BD277" s="14"/>
      <c r="BE277" s="14"/>
      <c r="BF277" s="14"/>
      <c r="BG277" s="14"/>
      <c r="BH277" s="14"/>
      <c r="BI277" s="14"/>
    </row>
    <row r="278" spans="1:6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t="e">
        <f>IF('Fund Data'!$H$2,IF(ISNUMBER(AK278),AK278,NA()),NA())</f>
        <v>#N/A</v>
      </c>
      <c r="AO278" s="14"/>
      <c r="AP278" s="14"/>
      <c r="AQ278" s="14"/>
      <c r="AR278" s="14"/>
      <c r="AS278" s="14"/>
      <c r="AT278" s="14"/>
      <c r="AU278" s="14"/>
      <c r="AV278" s="14"/>
      <c r="AW278" s="14"/>
      <c r="AX278" s="14"/>
      <c r="AY278" s="14"/>
      <c r="AZ278" s="14"/>
      <c r="BA278" s="14"/>
      <c r="BB278" s="14"/>
      <c r="BC278" s="14"/>
      <c r="BD278" s="14"/>
      <c r="BE278" s="14"/>
      <c r="BF278" s="14"/>
      <c r="BG278" s="14"/>
      <c r="BH278" s="14"/>
      <c r="BI278" s="14"/>
    </row>
    <row r="279" spans="1:6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t="e">
        <f>IF('Fund Data'!$H$2,IF(ISNUMBER(AK279),AK279,NA()),NA())</f>
        <v>#N/A</v>
      </c>
      <c r="AO279" s="14"/>
      <c r="AP279" s="14"/>
      <c r="AQ279" s="14"/>
      <c r="AR279" s="14"/>
      <c r="AS279" s="14"/>
      <c r="AT279" s="14"/>
      <c r="AU279" s="14"/>
      <c r="AV279" s="14"/>
      <c r="AW279" s="14"/>
      <c r="AX279" s="14"/>
      <c r="AY279" s="14"/>
      <c r="AZ279" s="14"/>
      <c r="BA279" s="14"/>
      <c r="BB279" s="14"/>
      <c r="BC279" s="14"/>
      <c r="BD279" s="14"/>
      <c r="BE279" s="14"/>
      <c r="BF279" s="14"/>
      <c r="BG279" s="14"/>
      <c r="BH279" s="14"/>
      <c r="BI279" s="14"/>
    </row>
    <row r="280" spans="1:6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t="e">
        <f>IF('Fund Data'!$H$2,IF(ISNUMBER(AK280),AK280,NA()),NA())</f>
        <v>#N/A</v>
      </c>
      <c r="AO280" s="14"/>
      <c r="AP280" s="14"/>
      <c r="AQ280" s="14"/>
      <c r="AR280" s="14"/>
      <c r="AS280" s="14"/>
      <c r="AT280" s="14"/>
      <c r="AU280" s="14"/>
      <c r="AV280" s="14"/>
      <c r="AW280" s="14"/>
      <c r="AX280" s="14"/>
      <c r="AY280" s="14"/>
      <c r="AZ280" s="14"/>
      <c r="BA280" s="14"/>
      <c r="BB280" s="14"/>
      <c r="BC280" s="14"/>
      <c r="BD280" s="14"/>
      <c r="BE280" s="14"/>
      <c r="BF280" s="14"/>
      <c r="BG280" s="14"/>
      <c r="BH280" s="14"/>
      <c r="BI280" s="14"/>
    </row>
    <row r="281" spans="1:6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t="e">
        <f>IF('Fund Data'!$H$2,IF(ISNUMBER(AK281),AK281,NA()),NA())</f>
        <v>#N/A</v>
      </c>
      <c r="AO281" s="14"/>
      <c r="AP281" s="14"/>
      <c r="AQ281" s="14"/>
      <c r="AR281" s="14"/>
      <c r="AS281" s="14"/>
      <c r="AT281" s="14"/>
      <c r="AU281" s="14"/>
      <c r="AV281" s="14"/>
      <c r="AW281" s="14"/>
      <c r="AX281" s="14"/>
      <c r="AY281" s="14"/>
      <c r="AZ281" s="14"/>
      <c r="BA281" s="14"/>
      <c r="BB281" s="14"/>
      <c r="BC281" s="14"/>
      <c r="BD281" s="14"/>
      <c r="BE281" s="14"/>
      <c r="BF281" s="14"/>
      <c r="BG281" s="14"/>
      <c r="BH281" s="14"/>
      <c r="BI281" s="14"/>
    </row>
    <row r="282" spans="1:6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t="e">
        <f>IF('Fund Data'!$H$2,IF(ISNUMBER(AK282),AK282,NA()),NA())</f>
        <v>#N/A</v>
      </c>
      <c r="AO282" s="14"/>
      <c r="AP282" s="14"/>
      <c r="AQ282" s="14"/>
      <c r="AR282" s="14"/>
      <c r="AS282" s="14"/>
      <c r="AT282" s="14"/>
      <c r="AU282" s="14"/>
      <c r="AV282" s="14"/>
      <c r="AW282" s="14"/>
      <c r="AX282" s="14"/>
      <c r="AY282" s="14"/>
      <c r="AZ282" s="14"/>
      <c r="BA282" s="14"/>
      <c r="BB282" s="14"/>
      <c r="BC282" s="14"/>
      <c r="BD282" s="14"/>
      <c r="BE282" s="14"/>
      <c r="BF282" s="14"/>
      <c r="BG282" s="14"/>
      <c r="BH282" s="14"/>
      <c r="BI282" s="14"/>
    </row>
    <row r="283" spans="1:6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t="e">
        <f>IF('Fund Data'!$H$2,IF(ISNUMBER(AK283),AK283,NA()),NA())</f>
        <v>#N/A</v>
      </c>
      <c r="AO283" s="14"/>
      <c r="AP283" s="14"/>
      <c r="AQ283" s="14"/>
      <c r="AR283" s="14"/>
      <c r="AS283" s="14"/>
      <c r="AT283" s="14"/>
      <c r="AU283" s="14"/>
      <c r="AV283" s="14"/>
      <c r="AW283" s="14"/>
      <c r="AX283" s="14"/>
      <c r="AY283" s="14"/>
      <c r="AZ283" s="14"/>
      <c r="BA283" s="14"/>
      <c r="BB283" s="14"/>
      <c r="BC283" s="14"/>
      <c r="BD283" s="14"/>
      <c r="BE283" s="14"/>
      <c r="BF283" s="14"/>
      <c r="BG283" s="14"/>
      <c r="BH283" s="14"/>
      <c r="BI283" s="14"/>
    </row>
    <row r="284" spans="1:6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t="e">
        <f>IF('Fund Data'!$H$2,IF(ISNUMBER(AK284),AK284,NA()),NA())</f>
        <v>#N/A</v>
      </c>
      <c r="AO284" s="14"/>
      <c r="AP284" s="14"/>
      <c r="AQ284" s="14"/>
      <c r="AR284" s="14"/>
      <c r="AS284" s="14"/>
      <c r="AT284" s="14"/>
      <c r="AU284" s="14"/>
      <c r="AV284" s="14"/>
      <c r="AW284" s="14"/>
      <c r="AX284" s="14"/>
      <c r="AY284" s="14"/>
      <c r="AZ284" s="14"/>
      <c r="BA284" s="14"/>
      <c r="BB284" s="14"/>
      <c r="BC284" s="14"/>
      <c r="BD284" s="14"/>
      <c r="BE284" s="14"/>
      <c r="BF284" s="14"/>
      <c r="BG284" s="14"/>
      <c r="BH284" s="14"/>
      <c r="BI284" s="14"/>
    </row>
    <row r="285" spans="1:6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t="e">
        <f>IF('Fund Data'!$H$2,IF(ISNUMBER(AK285),AK285,NA()),NA())</f>
        <v>#N/A</v>
      </c>
      <c r="AO285" s="14"/>
      <c r="AP285" s="14"/>
      <c r="AQ285" s="14"/>
      <c r="AR285" s="14"/>
      <c r="AS285" s="14"/>
      <c r="AT285" s="14"/>
      <c r="AU285" s="14"/>
      <c r="AV285" s="14"/>
      <c r="AW285" s="14"/>
      <c r="AX285" s="14"/>
      <c r="AY285" s="14"/>
      <c r="AZ285" s="14"/>
      <c r="BA285" s="14"/>
      <c r="BB285" s="14"/>
      <c r="BC285" s="14"/>
      <c r="BD285" s="14"/>
      <c r="BE285" s="14"/>
      <c r="BF285" s="14"/>
      <c r="BG285" s="14"/>
      <c r="BH285" s="14"/>
      <c r="BI285" s="14"/>
    </row>
    <row r="286" spans="1:6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t="e">
        <f>IF('Fund Data'!$H$2,IF(ISNUMBER(AK286),AK286,NA()),NA())</f>
        <v>#N/A</v>
      </c>
      <c r="AO286" s="14"/>
      <c r="AP286" s="14"/>
      <c r="AQ286" s="14"/>
      <c r="AR286" s="14"/>
      <c r="AS286" s="14"/>
      <c r="AT286" s="14"/>
      <c r="AU286" s="14"/>
      <c r="AV286" s="14"/>
      <c r="AW286" s="14"/>
      <c r="AX286" s="14"/>
      <c r="AY286" s="14"/>
      <c r="AZ286" s="14"/>
      <c r="BA286" s="14"/>
      <c r="BB286" s="14"/>
      <c r="BC286" s="14"/>
      <c r="BD286" s="14"/>
      <c r="BE286" s="14"/>
      <c r="BF286" s="14"/>
      <c r="BG286" s="14"/>
      <c r="BH286" s="14"/>
      <c r="BI286" s="14"/>
    </row>
    <row r="287" spans="1:6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t="e">
        <f>IF('Fund Data'!$H$2,IF(ISNUMBER(AK287),AK287,NA()),NA())</f>
        <v>#N/A</v>
      </c>
      <c r="AO287" s="14"/>
      <c r="AP287" s="14"/>
      <c r="AQ287" s="14"/>
      <c r="AR287" s="14"/>
      <c r="AS287" s="14"/>
      <c r="AT287" s="14"/>
      <c r="AU287" s="14"/>
      <c r="AV287" s="14"/>
      <c r="AW287" s="14"/>
      <c r="AX287" s="14"/>
      <c r="AY287" s="14"/>
      <c r="AZ287" s="14"/>
      <c r="BA287" s="14"/>
      <c r="BB287" s="14"/>
      <c r="BC287" s="14"/>
      <c r="BD287" s="14"/>
      <c r="BE287" s="14"/>
      <c r="BF287" s="14"/>
      <c r="BG287" s="14"/>
      <c r="BH287" s="14"/>
      <c r="BI287" s="14"/>
    </row>
    <row r="288" spans="1:6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t="e">
        <f>IF('Fund Data'!$H$2,IF(ISNUMBER(AK288),AK288,NA()),NA())</f>
        <v>#N/A</v>
      </c>
      <c r="AO288" s="14"/>
      <c r="AP288" s="14"/>
      <c r="AQ288" s="14"/>
      <c r="AR288" s="14"/>
      <c r="AS288" s="14"/>
      <c r="AT288" s="14"/>
      <c r="AU288" s="14"/>
      <c r="AV288" s="14"/>
      <c r="AW288" s="14"/>
      <c r="AX288" s="14"/>
      <c r="AY288" s="14"/>
      <c r="AZ288" s="14"/>
      <c r="BA288" s="14"/>
      <c r="BB288" s="14"/>
      <c r="BC288" s="14"/>
      <c r="BD288" s="14"/>
      <c r="BE288" s="14"/>
      <c r="BF288" s="14"/>
      <c r="BG288" s="14"/>
      <c r="BH288" s="14"/>
      <c r="BI288" s="14"/>
    </row>
    <row r="289" spans="1:6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t="e">
        <f>IF('Fund Data'!$H$2,IF(ISNUMBER(AK289),AK289,NA()),NA())</f>
        <v>#N/A</v>
      </c>
      <c r="AO289" s="14"/>
      <c r="AP289" s="14"/>
      <c r="AQ289" s="14"/>
      <c r="AR289" s="14"/>
      <c r="AS289" s="14"/>
      <c r="AT289" s="14"/>
      <c r="AU289" s="14"/>
      <c r="AV289" s="14"/>
      <c r="AW289" s="14"/>
      <c r="AX289" s="14"/>
      <c r="AY289" s="14"/>
      <c r="AZ289" s="14"/>
      <c r="BA289" s="14"/>
      <c r="BB289" s="14"/>
      <c r="BC289" s="14"/>
      <c r="BD289" s="14"/>
      <c r="BE289" s="14"/>
      <c r="BF289" s="14"/>
      <c r="BG289" s="14"/>
      <c r="BH289" s="14"/>
      <c r="BI289" s="14"/>
    </row>
    <row r="290" spans="1:6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t="e">
        <f>IF('Fund Data'!$H$2,IF(ISNUMBER(AK290),AK290,NA()),NA())</f>
        <v>#N/A</v>
      </c>
      <c r="AO290" s="14"/>
      <c r="AP290" s="14"/>
      <c r="AQ290" s="14"/>
      <c r="AR290" s="14"/>
      <c r="AS290" s="14"/>
      <c r="AT290" s="14"/>
      <c r="AU290" s="14"/>
      <c r="AV290" s="14"/>
      <c r="AW290" s="14"/>
      <c r="AX290" s="14"/>
      <c r="AY290" s="14"/>
      <c r="AZ290" s="14"/>
      <c r="BA290" s="14"/>
      <c r="BB290" s="14"/>
      <c r="BC290" s="14"/>
      <c r="BD290" s="14"/>
      <c r="BE290" s="14"/>
      <c r="BF290" s="14"/>
      <c r="BG290" s="14"/>
      <c r="BH290" s="14"/>
      <c r="BI290" s="14"/>
    </row>
    <row r="291" spans="1:6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t="e">
        <f>IF('Fund Data'!$H$2,IF(ISNUMBER(AK291),AK291,NA()),NA())</f>
        <v>#N/A</v>
      </c>
      <c r="AO291" s="14"/>
      <c r="AP291" s="14"/>
      <c r="AQ291" s="14"/>
      <c r="AR291" s="14"/>
      <c r="AS291" s="14"/>
      <c r="AT291" s="14"/>
      <c r="AU291" s="14"/>
      <c r="AV291" s="14"/>
      <c r="AW291" s="14"/>
      <c r="AX291" s="14"/>
      <c r="AY291" s="14"/>
      <c r="AZ291" s="14"/>
      <c r="BA291" s="14"/>
      <c r="BB291" s="14"/>
      <c r="BC291" s="14"/>
      <c r="BD291" s="14"/>
      <c r="BE291" s="14"/>
      <c r="BF291" s="14"/>
      <c r="BG291" s="14"/>
      <c r="BH291" s="14"/>
      <c r="BI291" s="14"/>
    </row>
    <row r="292" spans="1:6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t="e">
        <f>IF('Fund Data'!$H$2,IF(ISNUMBER(AK292),AK292,NA()),NA())</f>
        <v>#N/A</v>
      </c>
      <c r="AO292" s="14"/>
      <c r="AP292" s="14"/>
      <c r="AQ292" s="14"/>
      <c r="AR292" s="14"/>
      <c r="AS292" s="14"/>
      <c r="AT292" s="14"/>
      <c r="AU292" s="14"/>
      <c r="AV292" s="14"/>
      <c r="AW292" s="14"/>
      <c r="AX292" s="14"/>
      <c r="AY292" s="14"/>
      <c r="AZ292" s="14"/>
      <c r="BA292" s="14"/>
      <c r="BB292" s="14"/>
      <c r="BC292" s="14"/>
      <c r="BD292" s="14"/>
      <c r="BE292" s="14"/>
      <c r="BF292" s="14"/>
      <c r="BG292" s="14"/>
      <c r="BH292" s="14"/>
      <c r="BI292" s="14"/>
    </row>
    <row r="293" spans="1:6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t="e">
        <f>IF('Fund Data'!$H$2,IF(ISNUMBER(AK293),AK293,NA()),NA())</f>
        <v>#N/A</v>
      </c>
      <c r="AO293" s="14"/>
      <c r="AP293" s="14"/>
      <c r="AQ293" s="14"/>
      <c r="AR293" s="14"/>
      <c r="AS293" s="14"/>
      <c r="AT293" s="14"/>
      <c r="AU293" s="14"/>
      <c r="AV293" s="14"/>
      <c r="AW293" s="14"/>
      <c r="AX293" s="14"/>
      <c r="AY293" s="14"/>
      <c r="AZ293" s="14"/>
      <c r="BA293" s="14"/>
      <c r="BB293" s="14"/>
      <c r="BC293" s="14"/>
      <c r="BD293" s="14"/>
      <c r="BE293" s="14"/>
      <c r="BF293" s="14"/>
      <c r="BG293" s="14"/>
      <c r="BH293" s="14"/>
      <c r="BI293" s="14"/>
    </row>
    <row r="294" spans="1:6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t="e">
        <f>IF('Fund Data'!$H$2,IF(ISNUMBER(AK294),AK294,NA()),NA())</f>
        <v>#N/A</v>
      </c>
      <c r="AO294" s="14"/>
      <c r="AP294" s="14"/>
      <c r="AQ294" s="14"/>
      <c r="AR294" s="14"/>
      <c r="AS294" s="14"/>
      <c r="AT294" s="14"/>
      <c r="AU294" s="14"/>
      <c r="AV294" s="14"/>
      <c r="AW294" s="14"/>
      <c r="AX294" s="14"/>
      <c r="AY294" s="14"/>
      <c r="AZ294" s="14"/>
      <c r="BA294" s="14"/>
      <c r="BB294" s="14"/>
      <c r="BC294" s="14"/>
      <c r="BD294" s="14"/>
      <c r="BE294" s="14"/>
      <c r="BF294" s="14"/>
      <c r="BG294" s="14"/>
      <c r="BH294" s="14"/>
      <c r="BI294" s="14"/>
    </row>
    <row r="295" spans="1:6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t="e">
        <f>IF('Fund Data'!$H$2,IF(ISNUMBER(AK295),AK295,NA()),NA())</f>
        <v>#N/A</v>
      </c>
      <c r="AO295" s="14"/>
      <c r="AP295" s="14"/>
      <c r="AQ295" s="14"/>
      <c r="AR295" s="14"/>
      <c r="AS295" s="14"/>
      <c r="AT295" s="14"/>
      <c r="AU295" s="14"/>
      <c r="AV295" s="14"/>
      <c r="AW295" s="14"/>
      <c r="AX295" s="14"/>
      <c r="AY295" s="14"/>
      <c r="AZ295" s="14"/>
      <c r="BA295" s="14"/>
      <c r="BB295" s="14"/>
      <c r="BC295" s="14"/>
      <c r="BD295" s="14"/>
      <c r="BE295" s="14"/>
      <c r="BF295" s="14"/>
      <c r="BG295" s="14"/>
      <c r="BH295" s="14"/>
      <c r="BI295" s="14"/>
    </row>
    <row r="296" spans="1:6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t="e">
        <f>IF('Fund Data'!$H$2,IF(ISNUMBER(AK296),AK296,NA()),NA())</f>
        <v>#N/A</v>
      </c>
      <c r="AO296" s="14"/>
      <c r="AP296" s="14"/>
      <c r="AQ296" s="14"/>
      <c r="AR296" s="14"/>
      <c r="AS296" s="14"/>
      <c r="AT296" s="14"/>
      <c r="AU296" s="14"/>
      <c r="AV296" s="14"/>
      <c r="AW296" s="14"/>
      <c r="AX296" s="14"/>
      <c r="AY296" s="14"/>
      <c r="AZ296" s="14"/>
      <c r="BA296" s="14"/>
      <c r="BB296" s="14"/>
      <c r="BC296" s="14"/>
      <c r="BD296" s="14"/>
      <c r="BE296" s="14"/>
      <c r="BF296" s="14"/>
      <c r="BG296" s="14"/>
      <c r="BH296" s="14"/>
      <c r="BI296" s="14"/>
    </row>
    <row r="297" spans="1:6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t="e">
        <f>IF('Fund Data'!$H$2,IF(ISNUMBER(AK297),AK297,NA()),NA())</f>
        <v>#N/A</v>
      </c>
      <c r="AO297" s="14"/>
      <c r="AP297" s="14"/>
      <c r="AQ297" s="14"/>
      <c r="AR297" s="14"/>
      <c r="AS297" s="14"/>
      <c r="AT297" s="14"/>
      <c r="AU297" s="14"/>
      <c r="AV297" s="14"/>
      <c r="AW297" s="14"/>
      <c r="AX297" s="14"/>
      <c r="AY297" s="14"/>
      <c r="AZ297" s="14"/>
      <c r="BA297" s="14"/>
      <c r="BB297" s="14"/>
      <c r="BC297" s="14"/>
      <c r="BD297" s="14"/>
      <c r="BE297" s="14"/>
      <c r="BF297" s="14"/>
      <c r="BG297" s="14"/>
      <c r="BH297" s="14"/>
      <c r="BI297" s="14"/>
    </row>
    <row r="298" spans="1:6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t="e">
        <f>IF('Fund Data'!$H$2,IF(ISNUMBER(AK298),AK298,NA()),NA())</f>
        <v>#N/A</v>
      </c>
      <c r="AO298" s="14"/>
      <c r="AP298" s="14"/>
      <c r="AQ298" s="14"/>
      <c r="AR298" s="14"/>
      <c r="AS298" s="14"/>
      <c r="AT298" s="14"/>
      <c r="AU298" s="14"/>
      <c r="AV298" s="14"/>
      <c r="AW298" s="14"/>
      <c r="AX298" s="14"/>
      <c r="AY298" s="14"/>
      <c r="AZ298" s="14"/>
      <c r="BA298" s="14"/>
      <c r="BB298" s="14"/>
      <c r="BC298" s="14"/>
      <c r="BD298" s="14"/>
      <c r="BE298" s="14"/>
      <c r="BF298" s="14"/>
      <c r="BG298" s="14"/>
      <c r="BH298" s="14"/>
      <c r="BI298" s="14"/>
    </row>
    <row r="299" spans="1:6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t="e">
        <f>IF('Fund Data'!$H$2,IF(ISNUMBER(AK299),AK299,NA()),NA())</f>
        <v>#N/A</v>
      </c>
      <c r="AO299" s="14"/>
      <c r="AP299" s="14"/>
      <c r="AQ299" s="14"/>
      <c r="AR299" s="14"/>
      <c r="AS299" s="14"/>
      <c r="AT299" s="14"/>
      <c r="AU299" s="14"/>
      <c r="AV299" s="14"/>
      <c r="AW299" s="14"/>
      <c r="AX299" s="14"/>
      <c r="AY299" s="14"/>
      <c r="AZ299" s="14"/>
      <c r="BA299" s="14"/>
      <c r="BB299" s="14"/>
      <c r="BC299" s="14"/>
      <c r="BD299" s="14"/>
      <c r="BE299" s="14"/>
      <c r="BF299" s="14"/>
      <c r="BG299" s="14"/>
      <c r="BH299" s="14"/>
      <c r="BI299" s="14"/>
    </row>
    <row r="300" spans="1:6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t="e">
        <f>IF('Fund Data'!$H$2,IF(ISNUMBER(AK300),AK300,NA()),NA())</f>
        <v>#N/A</v>
      </c>
      <c r="AO300" s="14"/>
      <c r="AP300" s="14"/>
      <c r="AQ300" s="14"/>
      <c r="AR300" s="14"/>
      <c r="AS300" s="14"/>
      <c r="AT300" s="14"/>
      <c r="AU300" s="14"/>
      <c r="AV300" s="14"/>
      <c r="AW300" s="14"/>
      <c r="AX300" s="14"/>
      <c r="AY300" s="14"/>
      <c r="AZ300" s="14"/>
      <c r="BA300" s="14"/>
      <c r="BB300" s="14"/>
      <c r="BC300" s="14"/>
      <c r="BD300" s="14"/>
      <c r="BE300" s="14"/>
      <c r="BF300" s="14"/>
      <c r="BG300" s="14"/>
      <c r="BH300" s="14"/>
      <c r="BI300" s="14"/>
    </row>
    <row r="301" spans="1:6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t="e">
        <f>IF('Fund Data'!$H$2,IF(ISNUMBER(AK301),AK301,NA()),NA())</f>
        <v>#N/A</v>
      </c>
      <c r="AO301" s="14"/>
      <c r="AP301" s="14"/>
      <c r="AQ301" s="14"/>
      <c r="AR301" s="14"/>
      <c r="AS301" s="14"/>
      <c r="AT301" s="14"/>
      <c r="AU301" s="14"/>
      <c r="AV301" s="14"/>
      <c r="AW301" s="14"/>
      <c r="AX301" s="14"/>
      <c r="AY301" s="14"/>
      <c r="AZ301" s="14"/>
      <c r="BA301" s="14"/>
      <c r="BB301" s="14"/>
      <c r="BC301" s="14"/>
      <c r="BD301" s="14"/>
      <c r="BE301" s="14"/>
      <c r="BF301" s="14"/>
      <c r="BG301" s="14"/>
      <c r="BH301" s="14"/>
      <c r="BI301" s="14"/>
    </row>
    <row r="302" spans="1:6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t="e">
        <f>IF('Fund Data'!$H$2,IF(ISNUMBER(AK302),AK302,NA()),NA())</f>
        <v>#N/A</v>
      </c>
      <c r="AO302" s="14"/>
      <c r="AP302" s="14"/>
      <c r="AQ302" s="14"/>
      <c r="AR302" s="14"/>
      <c r="AS302" s="14"/>
      <c r="AT302" s="14"/>
      <c r="AU302" s="14"/>
      <c r="AV302" s="14"/>
      <c r="AW302" s="14"/>
      <c r="AX302" s="14"/>
      <c r="AY302" s="14"/>
      <c r="AZ302" s="14"/>
      <c r="BA302" s="14"/>
      <c r="BB302" s="14"/>
      <c r="BC302" s="14"/>
      <c r="BD302" s="14"/>
      <c r="BE302" s="14"/>
      <c r="BF302" s="14"/>
      <c r="BG302" s="14"/>
      <c r="BH302" s="14"/>
      <c r="BI302" s="14"/>
    </row>
    <row r="303" spans="1:6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t="e">
        <f>IF('Fund Data'!$H$2,IF(ISNUMBER(AK303),AK303,NA()),NA())</f>
        <v>#N/A</v>
      </c>
      <c r="AO303" s="14"/>
      <c r="AP303" s="14"/>
      <c r="AQ303" s="14"/>
      <c r="AR303" s="14"/>
      <c r="AS303" s="14"/>
      <c r="AT303" s="14"/>
      <c r="AU303" s="14"/>
      <c r="AV303" s="14"/>
      <c r="AW303" s="14"/>
      <c r="AX303" s="14"/>
      <c r="AY303" s="14"/>
      <c r="AZ303" s="14"/>
      <c r="BA303" s="14"/>
      <c r="BB303" s="14"/>
      <c r="BC303" s="14"/>
      <c r="BD303" s="14"/>
      <c r="BE303" s="14"/>
      <c r="BF303" s="14"/>
      <c r="BG303" s="14"/>
      <c r="BH303" s="14"/>
      <c r="BI303" s="14"/>
    </row>
    <row r="304" spans="1:6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t="e">
        <f>IF('Fund Data'!$H$2,IF(ISNUMBER(AK304),AK304,NA()),NA())</f>
        <v>#N/A</v>
      </c>
      <c r="AO304" s="14"/>
      <c r="AP304" s="14"/>
      <c r="AQ304" s="14"/>
      <c r="AR304" s="14"/>
      <c r="AS304" s="14"/>
      <c r="AT304" s="14"/>
      <c r="AU304" s="14"/>
      <c r="AV304" s="14"/>
      <c r="AW304" s="14"/>
      <c r="AX304" s="14"/>
      <c r="AY304" s="14"/>
      <c r="AZ304" s="14"/>
      <c r="BA304" s="14"/>
      <c r="BB304" s="14"/>
      <c r="BC304" s="14"/>
      <c r="BD304" s="14"/>
      <c r="BE304" s="14"/>
      <c r="BF304" s="14"/>
      <c r="BG304" s="14"/>
      <c r="BH304" s="14"/>
      <c r="BI304" s="14"/>
    </row>
    <row r="305" spans="1:6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t="e">
        <f>IF('Fund Data'!$H$2,IF(ISNUMBER(AK305),AK305,NA()),NA())</f>
        <v>#N/A</v>
      </c>
      <c r="AO305" s="14"/>
      <c r="AP305" s="14"/>
      <c r="AQ305" s="14"/>
      <c r="AR305" s="14"/>
      <c r="AS305" s="14"/>
      <c r="AT305" s="14"/>
      <c r="AU305" s="14"/>
      <c r="AV305" s="14"/>
      <c r="AW305" s="14"/>
      <c r="AX305" s="14"/>
      <c r="AY305" s="14"/>
      <c r="AZ305" s="14"/>
      <c r="BA305" s="14"/>
      <c r="BB305" s="14"/>
      <c r="BC305" s="14"/>
      <c r="BD305" s="14"/>
      <c r="BE305" s="14"/>
      <c r="BF305" s="14"/>
      <c r="BG305" s="14"/>
      <c r="BH305" s="14"/>
      <c r="BI305" s="14"/>
    </row>
    <row r="306" spans="1:6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t="e">
        <f>IF('Fund Data'!$H$2,IF(ISNUMBER(AK306),AK306,NA()),NA())</f>
        <v>#N/A</v>
      </c>
      <c r="AO306" s="14"/>
      <c r="AP306" s="14"/>
      <c r="AQ306" s="14"/>
      <c r="AR306" s="14"/>
      <c r="AS306" s="14"/>
      <c r="AT306" s="14"/>
      <c r="AU306" s="14"/>
      <c r="AV306" s="14"/>
      <c r="AW306" s="14"/>
      <c r="AX306" s="14"/>
      <c r="AY306" s="14"/>
      <c r="AZ306" s="14"/>
      <c r="BA306" s="14"/>
      <c r="BB306" s="14"/>
      <c r="BC306" s="14"/>
      <c r="BD306" s="14"/>
      <c r="BE306" s="14"/>
      <c r="BF306" s="14"/>
      <c r="BG306" s="14"/>
      <c r="BH306" s="14"/>
      <c r="BI306" s="14"/>
    </row>
    <row r="307" spans="1:6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t="e">
        <f>IF('Fund Data'!$H$2,IF(ISNUMBER(AK307),AK307,NA()),NA())</f>
        <v>#N/A</v>
      </c>
      <c r="AO307" s="14"/>
      <c r="AP307" s="14"/>
      <c r="AQ307" s="14"/>
      <c r="AR307" s="14"/>
      <c r="AS307" s="14"/>
      <c r="AT307" s="14"/>
      <c r="AU307" s="14"/>
      <c r="AV307" s="14"/>
      <c r="AW307" s="14"/>
      <c r="AX307" s="14"/>
      <c r="AY307" s="14"/>
      <c r="AZ307" s="14"/>
      <c r="BA307" s="14"/>
      <c r="BB307" s="14"/>
      <c r="BC307" s="14"/>
      <c r="BD307" s="14"/>
      <c r="BE307" s="14"/>
      <c r="BF307" s="14"/>
      <c r="BG307" s="14"/>
      <c r="BH307" s="14"/>
      <c r="BI307" s="14"/>
    </row>
    <row r="308" spans="1:6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t="e">
        <f>IF('Fund Data'!$H$2,IF(ISNUMBER(AK308),AK308,NA()),NA())</f>
        <v>#N/A</v>
      </c>
      <c r="AO308" s="14"/>
      <c r="AP308" s="14"/>
      <c r="AQ308" s="14"/>
      <c r="AR308" s="14"/>
      <c r="AS308" s="14"/>
      <c r="AT308" s="14"/>
      <c r="AU308" s="14"/>
      <c r="AV308" s="14"/>
      <c r="AW308" s="14"/>
      <c r="AX308" s="14"/>
      <c r="AY308" s="14"/>
      <c r="AZ308" s="14"/>
      <c r="BA308" s="14"/>
      <c r="BB308" s="14"/>
      <c r="BC308" s="14"/>
      <c r="BD308" s="14"/>
      <c r="BE308" s="14"/>
      <c r="BF308" s="14"/>
      <c r="BG308" s="14"/>
      <c r="BH308" s="14"/>
      <c r="BI308" s="14"/>
    </row>
    <row r="309" spans="1:6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t="e">
        <f>IF('Fund Data'!$H$2,IF(ISNUMBER(AK309),AK309,NA()),NA())</f>
        <v>#N/A</v>
      </c>
      <c r="AO309" s="14"/>
      <c r="AP309" s="14"/>
      <c r="AQ309" s="14"/>
      <c r="AR309" s="14"/>
      <c r="AS309" s="14"/>
      <c r="AT309" s="14"/>
      <c r="AU309" s="14"/>
      <c r="AV309" s="14"/>
      <c r="AW309" s="14"/>
      <c r="AX309" s="14"/>
      <c r="AY309" s="14"/>
      <c r="AZ309" s="14"/>
      <c r="BA309" s="14"/>
      <c r="BB309" s="14"/>
      <c r="BC309" s="14"/>
      <c r="BD309" s="14"/>
      <c r="BE309" s="14"/>
      <c r="BF309" s="14"/>
      <c r="BG309" s="14"/>
      <c r="BH309" s="14"/>
      <c r="BI309" s="14"/>
    </row>
    <row r="310" spans="1:6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t="e">
        <f>IF('Fund Data'!$H$2,IF(ISNUMBER(AK310),AK310,NA()),NA())</f>
        <v>#N/A</v>
      </c>
      <c r="AO310" s="14"/>
      <c r="AP310" s="14"/>
      <c r="AQ310" s="14"/>
      <c r="AR310" s="14"/>
      <c r="AS310" s="14"/>
      <c r="AT310" s="14"/>
      <c r="AU310" s="14"/>
      <c r="AV310" s="14"/>
      <c r="AW310" s="14"/>
      <c r="AX310" s="14"/>
      <c r="AY310" s="14"/>
      <c r="AZ310" s="14"/>
      <c r="BA310" s="14"/>
      <c r="BB310" s="14"/>
      <c r="BC310" s="14"/>
      <c r="BD310" s="14"/>
      <c r="BE310" s="14"/>
      <c r="BF310" s="14"/>
      <c r="BG310" s="14"/>
      <c r="BH310" s="14"/>
      <c r="BI310" s="14"/>
    </row>
    <row r="311" spans="1:6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t="e">
        <f>IF('Fund Data'!$H$2,IF(ISNUMBER(AK311),AK311,NA()),NA())</f>
        <v>#N/A</v>
      </c>
      <c r="AO311" s="14"/>
      <c r="AP311" s="14"/>
      <c r="AQ311" s="14"/>
      <c r="AR311" s="14"/>
      <c r="AS311" s="14"/>
      <c r="AT311" s="14"/>
      <c r="AU311" s="14"/>
      <c r="AV311" s="14"/>
      <c r="AW311" s="14"/>
      <c r="AX311" s="14"/>
      <c r="AY311" s="14"/>
      <c r="AZ311" s="14"/>
      <c r="BA311" s="14"/>
      <c r="BB311" s="14"/>
      <c r="BC311" s="14"/>
      <c r="BD311" s="14"/>
      <c r="BE311" s="14"/>
      <c r="BF311" s="14"/>
      <c r="BG311" s="14"/>
      <c r="BH311" s="14"/>
      <c r="BI311" s="14"/>
    </row>
    <row r="312" spans="1:6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t="e">
        <f>IF('Fund Data'!$H$2,IF(ISNUMBER(AK312),AK312,NA()),NA())</f>
        <v>#N/A</v>
      </c>
      <c r="AO312" s="14"/>
      <c r="AP312" s="14"/>
      <c r="AQ312" s="14"/>
      <c r="AR312" s="14"/>
      <c r="AS312" s="14"/>
      <c r="AT312" s="14"/>
      <c r="AU312" s="14"/>
      <c r="AV312" s="14"/>
      <c r="AW312" s="14"/>
      <c r="AX312" s="14"/>
      <c r="AY312" s="14"/>
      <c r="AZ312" s="14"/>
      <c r="BA312" s="14"/>
      <c r="BB312" s="14"/>
      <c r="BC312" s="14"/>
      <c r="BD312" s="14"/>
      <c r="BE312" s="14"/>
      <c r="BF312" s="14"/>
      <c r="BG312" s="14"/>
      <c r="BH312" s="14"/>
      <c r="BI312" s="14"/>
    </row>
    <row r="313" spans="1:6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t="e">
        <f>IF('Fund Data'!$H$2,IF(ISNUMBER(AK313),AK313,NA()),NA())</f>
        <v>#N/A</v>
      </c>
      <c r="AO313" s="14"/>
      <c r="AP313" s="14"/>
      <c r="AQ313" s="14"/>
      <c r="AR313" s="14"/>
      <c r="AS313" s="14"/>
      <c r="AT313" s="14"/>
      <c r="AU313" s="14"/>
      <c r="AV313" s="14"/>
      <c r="AW313" s="14"/>
      <c r="AX313" s="14"/>
      <c r="AY313" s="14"/>
      <c r="AZ313" s="14"/>
      <c r="BA313" s="14"/>
      <c r="BB313" s="14"/>
      <c r="BC313" s="14"/>
      <c r="BD313" s="14"/>
      <c r="BE313" s="14"/>
      <c r="BF313" s="14"/>
      <c r="BG313" s="14"/>
      <c r="BH313" s="14"/>
      <c r="BI313" s="14"/>
    </row>
    <row r="314" spans="1:6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t="e">
        <f>IF('Fund Data'!$H$2,IF(ISNUMBER(AK314),AK314,NA()),NA())</f>
        <v>#N/A</v>
      </c>
      <c r="AO314" s="14"/>
      <c r="AP314" s="14"/>
      <c r="AQ314" s="14"/>
      <c r="AR314" s="14"/>
      <c r="AS314" s="14"/>
      <c r="AT314" s="14"/>
      <c r="AU314" s="14"/>
      <c r="AV314" s="14"/>
      <c r="AW314" s="14"/>
      <c r="AX314" s="14"/>
      <c r="AY314" s="14"/>
      <c r="AZ314" s="14"/>
      <c r="BA314" s="14"/>
      <c r="BB314" s="14"/>
      <c r="BC314" s="14"/>
      <c r="BD314" s="14"/>
      <c r="BE314" s="14"/>
      <c r="BF314" s="14"/>
      <c r="BG314" s="14"/>
      <c r="BH314" s="14"/>
      <c r="BI314" s="14"/>
    </row>
    <row r="315" spans="1:6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t="e">
        <f>IF('Fund Data'!$H$2,IF(ISNUMBER(AK315),AK315,NA()),NA())</f>
        <v>#N/A</v>
      </c>
      <c r="AO315" s="14"/>
      <c r="AP315" s="14"/>
      <c r="AQ315" s="14"/>
      <c r="AR315" s="14"/>
      <c r="AS315" s="14"/>
      <c r="AT315" s="14"/>
      <c r="AU315" s="14"/>
      <c r="AV315" s="14"/>
      <c r="AW315" s="14"/>
      <c r="AX315" s="14"/>
      <c r="AY315" s="14"/>
      <c r="AZ315" s="14"/>
      <c r="BA315" s="14"/>
      <c r="BB315" s="14"/>
      <c r="BC315" s="14"/>
      <c r="BD315" s="14"/>
      <c r="BE315" s="14"/>
      <c r="BF315" s="14"/>
      <c r="BG315" s="14"/>
      <c r="BH315" s="14"/>
      <c r="BI315" s="14"/>
    </row>
    <row r="316" spans="1:6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t="e">
        <f>IF('Fund Data'!$H$2,IF(ISNUMBER(AK316),AK316,NA()),NA())</f>
        <v>#N/A</v>
      </c>
      <c r="AO316" s="14"/>
      <c r="AP316" s="14"/>
      <c r="AQ316" s="14"/>
      <c r="AR316" s="14"/>
      <c r="AS316" s="14"/>
      <c r="AT316" s="14"/>
      <c r="AU316" s="14"/>
      <c r="AV316" s="14"/>
      <c r="AW316" s="14"/>
      <c r="AX316" s="14"/>
      <c r="AY316" s="14"/>
      <c r="AZ316" s="14"/>
      <c r="BA316" s="14"/>
      <c r="BB316" s="14"/>
      <c r="BC316" s="14"/>
      <c r="BD316" s="14"/>
      <c r="BE316" s="14"/>
      <c r="BF316" s="14"/>
      <c r="BG316" s="14"/>
      <c r="BH316" s="14"/>
      <c r="BI316" s="14"/>
    </row>
    <row r="317" spans="1:6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t="e">
        <f>IF('Fund Data'!$H$2,IF(ISNUMBER(AK317),AK317,NA()),NA())</f>
        <v>#N/A</v>
      </c>
      <c r="AO317" s="14"/>
      <c r="AP317" s="14"/>
      <c r="AQ317" s="14"/>
      <c r="AR317" s="14"/>
      <c r="AS317" s="14"/>
      <c r="AT317" s="14"/>
      <c r="AU317" s="14"/>
      <c r="AV317" s="14"/>
      <c r="AW317" s="14"/>
      <c r="AX317" s="14"/>
      <c r="AY317" s="14"/>
      <c r="AZ317" s="14"/>
      <c r="BA317" s="14"/>
      <c r="BB317" s="14"/>
      <c r="BC317" s="14"/>
      <c r="BD317" s="14"/>
      <c r="BE317" s="14"/>
      <c r="BF317" s="14"/>
      <c r="BG317" s="14"/>
      <c r="BH317" s="14"/>
      <c r="BI317" s="14"/>
    </row>
    <row r="318" spans="1:6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t="e">
        <f>IF('Fund Data'!$H$2,IF(ISNUMBER(AK318),AK318,NA()),NA())</f>
        <v>#N/A</v>
      </c>
      <c r="AO318" s="14"/>
      <c r="AP318" s="14"/>
      <c r="AQ318" s="14"/>
      <c r="AR318" s="14"/>
      <c r="AS318" s="14"/>
      <c r="AT318" s="14"/>
      <c r="AU318" s="14"/>
      <c r="AV318" s="14"/>
      <c r="AW318" s="14"/>
      <c r="AX318" s="14"/>
      <c r="AY318" s="14"/>
      <c r="AZ318" s="14"/>
      <c r="BA318" s="14"/>
      <c r="BB318" s="14"/>
      <c r="BC318" s="14"/>
      <c r="BD318" s="14"/>
      <c r="BE318" s="14"/>
      <c r="BF318" s="14"/>
      <c r="BG318" s="14"/>
      <c r="BH318" s="14"/>
      <c r="BI318" s="14"/>
    </row>
    <row r="319" spans="1:6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t="e">
        <f>IF('Fund Data'!$H$2,IF(ISNUMBER(AK319),AK319,NA()),NA())</f>
        <v>#N/A</v>
      </c>
      <c r="AO319" s="14"/>
      <c r="AP319" s="14"/>
      <c r="AQ319" s="14"/>
      <c r="AR319" s="14"/>
      <c r="AS319" s="14"/>
      <c r="AT319" s="14"/>
      <c r="AU319" s="14"/>
      <c r="AV319" s="14"/>
      <c r="AW319" s="14"/>
      <c r="AX319" s="14"/>
      <c r="AY319" s="14"/>
      <c r="AZ319" s="14"/>
      <c r="BA319" s="14"/>
      <c r="BB319" s="14"/>
      <c r="BC319" s="14"/>
      <c r="BD319" s="14"/>
      <c r="BE319" s="14"/>
      <c r="BF319" s="14"/>
      <c r="BG319" s="14"/>
      <c r="BH319" s="14"/>
      <c r="BI319" s="14"/>
    </row>
    <row r="320" spans="1:6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t="e">
        <f>IF('Fund Data'!$H$2,IF(ISNUMBER(AK320),AK320,NA()),NA())</f>
        <v>#N/A</v>
      </c>
      <c r="AO320" s="14"/>
      <c r="AP320" s="14"/>
      <c r="AQ320" s="14"/>
      <c r="AR320" s="14"/>
      <c r="AS320" s="14"/>
      <c r="AT320" s="14"/>
      <c r="AU320" s="14"/>
      <c r="AV320" s="14"/>
      <c r="AW320" s="14"/>
      <c r="AX320" s="14"/>
      <c r="AY320" s="14"/>
      <c r="AZ320" s="14"/>
      <c r="BA320" s="14"/>
      <c r="BB320" s="14"/>
      <c r="BC320" s="14"/>
      <c r="BD320" s="14"/>
      <c r="BE320" s="14"/>
      <c r="BF320" s="14"/>
      <c r="BG320" s="14"/>
      <c r="BH320" s="14"/>
      <c r="BI320" s="14"/>
    </row>
    <row r="321" spans="1:6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t="e">
        <f>IF('Fund Data'!$H$2,IF(ISNUMBER(AK321),AK321,NA()),NA())</f>
        <v>#N/A</v>
      </c>
      <c r="AO321" s="14"/>
      <c r="AP321" s="14"/>
      <c r="AQ321" s="14"/>
      <c r="AR321" s="14"/>
      <c r="AS321" s="14"/>
      <c r="AT321" s="14"/>
      <c r="AU321" s="14"/>
      <c r="AV321" s="14"/>
      <c r="AW321" s="14"/>
      <c r="AX321" s="14"/>
      <c r="AY321" s="14"/>
      <c r="AZ321" s="14"/>
      <c r="BA321" s="14"/>
      <c r="BB321" s="14"/>
      <c r="BC321" s="14"/>
      <c r="BD321" s="14"/>
      <c r="BE321" s="14"/>
      <c r="BF321" s="14"/>
      <c r="BG321" s="14"/>
      <c r="BH321" s="14"/>
      <c r="BI321" s="14"/>
    </row>
    <row r="322" spans="1:6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t="e">
        <f>IF('Fund Data'!$H$2,IF(ISNUMBER(AK322),AK322,NA()),NA())</f>
        <v>#N/A</v>
      </c>
      <c r="AO322" s="14"/>
      <c r="AP322" s="14"/>
      <c r="AQ322" s="14"/>
      <c r="AR322" s="14"/>
      <c r="AS322" s="14"/>
      <c r="AT322" s="14"/>
      <c r="AU322" s="14"/>
      <c r="AV322" s="14"/>
      <c r="AW322" s="14"/>
      <c r="AX322" s="14"/>
      <c r="AY322" s="14"/>
      <c r="AZ322" s="14"/>
      <c r="BA322" s="14"/>
      <c r="BB322" s="14"/>
      <c r="BC322" s="14"/>
      <c r="BD322" s="14"/>
      <c r="BE322" s="14"/>
      <c r="BF322" s="14"/>
      <c r="BG322" s="14"/>
      <c r="BH322" s="14"/>
      <c r="BI322" s="14"/>
    </row>
    <row r="323" spans="1:6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t="e">
        <f>IF('Fund Data'!$H$2,IF(ISNUMBER(AK323),AK323,NA()),NA())</f>
        <v>#N/A</v>
      </c>
      <c r="AO323" s="14"/>
      <c r="AP323" s="14"/>
      <c r="AQ323" s="14"/>
      <c r="AR323" s="14"/>
      <c r="AS323" s="14"/>
      <c r="AT323" s="14"/>
      <c r="AU323" s="14"/>
      <c r="AV323" s="14"/>
      <c r="AW323" s="14"/>
      <c r="AX323" s="14"/>
      <c r="AY323" s="14"/>
      <c r="AZ323" s="14"/>
      <c r="BA323" s="14"/>
      <c r="BB323" s="14"/>
      <c r="BC323" s="14"/>
      <c r="BD323" s="14"/>
      <c r="BE323" s="14"/>
      <c r="BF323" s="14"/>
      <c r="BG323" s="14"/>
      <c r="BH323" s="14"/>
      <c r="BI323" s="14"/>
    </row>
    <row r="324" spans="1:6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t="e">
        <f>IF('Fund Data'!$H$2,IF(ISNUMBER(AK324),AK324,NA()),NA())</f>
        <v>#N/A</v>
      </c>
      <c r="AO324" s="14"/>
      <c r="AP324" s="14"/>
      <c r="AQ324" s="14"/>
      <c r="AR324" s="14"/>
      <c r="AS324" s="14"/>
      <c r="AT324" s="14"/>
      <c r="AU324" s="14"/>
      <c r="AV324" s="14"/>
      <c r="AW324" s="14"/>
      <c r="AX324" s="14"/>
      <c r="AY324" s="14"/>
      <c r="AZ324" s="14"/>
      <c r="BA324" s="14"/>
      <c r="BB324" s="14"/>
      <c r="BC324" s="14"/>
      <c r="BD324" s="14"/>
      <c r="BE324" s="14"/>
      <c r="BF324" s="14"/>
      <c r="BG324" s="14"/>
      <c r="BH324" s="14"/>
      <c r="BI324" s="14"/>
    </row>
    <row r="325" spans="1:6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t="e">
        <f>IF('Fund Data'!$H$2,IF(ISNUMBER(AK325),AK325,NA()),NA())</f>
        <v>#N/A</v>
      </c>
      <c r="AO325" s="14"/>
      <c r="AP325" s="14"/>
      <c r="AQ325" s="14"/>
      <c r="AR325" s="14"/>
      <c r="AS325" s="14"/>
      <c r="AT325" s="14"/>
      <c r="AU325" s="14"/>
      <c r="AV325" s="14"/>
      <c r="AW325" s="14"/>
      <c r="AX325" s="14"/>
      <c r="AY325" s="14"/>
      <c r="AZ325" s="14"/>
      <c r="BA325" s="14"/>
      <c r="BB325" s="14"/>
      <c r="BC325" s="14"/>
      <c r="BD325" s="14"/>
      <c r="BE325" s="14"/>
      <c r="BF325" s="14"/>
      <c r="BG325" s="14"/>
      <c r="BH325" s="14"/>
      <c r="BI325" s="14"/>
    </row>
    <row r="326" spans="1:6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t="e">
        <f>IF('Fund Data'!$H$2,IF(ISNUMBER(AK326),AK326,NA()),NA())</f>
        <v>#N/A</v>
      </c>
      <c r="AO326" s="14"/>
      <c r="AP326" s="14"/>
      <c r="AQ326" s="14"/>
      <c r="AR326" s="14"/>
      <c r="AS326" s="14"/>
      <c r="AT326" s="14"/>
      <c r="AU326" s="14"/>
      <c r="AV326" s="14"/>
      <c r="AW326" s="14"/>
      <c r="AX326" s="14"/>
      <c r="AY326" s="14"/>
      <c r="AZ326" s="14"/>
      <c r="BA326" s="14"/>
      <c r="BB326" s="14"/>
      <c r="BC326" s="14"/>
      <c r="BD326" s="14"/>
      <c r="BE326" s="14"/>
      <c r="BF326" s="14"/>
      <c r="BG326" s="14"/>
      <c r="BH326" s="14"/>
      <c r="BI326" s="14"/>
    </row>
    <row r="327" spans="1:6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t="e">
        <f>IF('Fund Data'!$H$2,IF(ISNUMBER(AK327),AK327,NA()),NA())</f>
        <v>#N/A</v>
      </c>
      <c r="AO327" s="14"/>
      <c r="AP327" s="14"/>
      <c r="AQ327" s="14"/>
      <c r="AR327" s="14"/>
      <c r="AS327" s="14"/>
      <c r="AT327" s="14"/>
      <c r="AU327" s="14"/>
      <c r="AV327" s="14"/>
      <c r="AW327" s="14"/>
      <c r="AX327" s="14"/>
      <c r="AY327" s="14"/>
      <c r="AZ327" s="14"/>
      <c r="BA327" s="14"/>
      <c r="BB327" s="14"/>
      <c r="BC327" s="14"/>
      <c r="BD327" s="14"/>
      <c r="BE327" s="14"/>
      <c r="BF327" s="14"/>
      <c r="BG327" s="14"/>
      <c r="BH327" s="14"/>
      <c r="BI327" s="14"/>
    </row>
    <row r="328" spans="1:6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t="e">
        <f>IF('Fund Data'!$H$2,IF(ISNUMBER(AK328),AK328,NA()),NA())</f>
        <v>#N/A</v>
      </c>
      <c r="AO328" s="14"/>
      <c r="AP328" s="14"/>
      <c r="AQ328" s="14"/>
      <c r="AR328" s="14"/>
      <c r="AS328" s="14"/>
      <c r="AT328" s="14"/>
      <c r="AU328" s="14"/>
      <c r="AV328" s="14"/>
      <c r="AW328" s="14"/>
      <c r="AX328" s="14"/>
      <c r="AY328" s="14"/>
      <c r="AZ328" s="14"/>
      <c r="BA328" s="14"/>
      <c r="BB328" s="14"/>
      <c r="BC328" s="14"/>
      <c r="BD328" s="14"/>
      <c r="BE328" s="14"/>
      <c r="BF328" s="14"/>
      <c r="BG328" s="14"/>
      <c r="BH328" s="14"/>
      <c r="BI328" s="14"/>
    </row>
    <row r="329" spans="1:6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t="e">
        <f>IF('Fund Data'!$H$2,IF(ISNUMBER(AK329),AK329,NA()),NA())</f>
        <v>#N/A</v>
      </c>
      <c r="AO329" s="14"/>
      <c r="AP329" s="14"/>
      <c r="AQ329" s="14"/>
      <c r="AR329" s="14"/>
      <c r="AS329" s="14"/>
      <c r="AT329" s="14"/>
      <c r="AU329" s="14"/>
      <c r="AV329" s="14"/>
      <c r="AW329" s="14"/>
      <c r="AX329" s="14"/>
      <c r="AY329" s="14"/>
      <c r="AZ329" s="14"/>
      <c r="BA329" s="14"/>
      <c r="BB329" s="14"/>
      <c r="BC329" s="14"/>
      <c r="BD329" s="14"/>
      <c r="BE329" s="14"/>
      <c r="BF329" s="14"/>
      <c r="BG329" s="14"/>
      <c r="BH329" s="14"/>
      <c r="BI329" s="14"/>
    </row>
    <row r="330" spans="1:6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t="e">
        <f>IF('Fund Data'!$H$2,IF(ISNUMBER(AK330),AK330,NA()),NA())</f>
        <v>#N/A</v>
      </c>
      <c r="AO330" s="14"/>
      <c r="AP330" s="14"/>
      <c r="AQ330" s="14"/>
      <c r="AR330" s="14"/>
      <c r="AS330" s="14"/>
      <c r="AT330" s="14"/>
      <c r="AU330" s="14"/>
      <c r="AV330" s="14"/>
      <c r="AW330" s="14"/>
      <c r="AX330" s="14"/>
      <c r="AY330" s="14"/>
      <c r="AZ330" s="14"/>
      <c r="BA330" s="14"/>
      <c r="BB330" s="14"/>
      <c r="BC330" s="14"/>
      <c r="BD330" s="14"/>
      <c r="BE330" s="14"/>
      <c r="BF330" s="14"/>
      <c r="BG330" s="14"/>
      <c r="BH330" s="14"/>
      <c r="BI330" s="14"/>
    </row>
    <row r="331" spans="1:6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t="e">
        <f>IF('Fund Data'!$H$2,IF(ISNUMBER(AK331),AK331,NA()),NA())</f>
        <v>#N/A</v>
      </c>
      <c r="AO331" s="14"/>
      <c r="AP331" s="14"/>
      <c r="AQ331" s="14"/>
      <c r="AR331" s="14"/>
      <c r="AS331" s="14"/>
      <c r="AT331" s="14"/>
      <c r="AU331" s="14"/>
      <c r="AV331" s="14"/>
      <c r="AW331" s="14"/>
      <c r="AX331" s="14"/>
      <c r="AY331" s="14"/>
      <c r="AZ331" s="14"/>
      <c r="BA331" s="14"/>
      <c r="BB331" s="14"/>
      <c r="BC331" s="14"/>
      <c r="BD331" s="14"/>
      <c r="BE331" s="14"/>
      <c r="BF331" s="14"/>
      <c r="BG331" s="14"/>
      <c r="BH331" s="14"/>
      <c r="BI331" s="14"/>
    </row>
    <row r="332" spans="1:6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t="e">
        <f>IF('Fund Data'!$H$2,IF(ISNUMBER(AK332),AK332,NA()),NA())</f>
        <v>#N/A</v>
      </c>
      <c r="AO332" s="14"/>
      <c r="AP332" s="14"/>
      <c r="AQ332" s="14"/>
      <c r="AR332" s="14"/>
      <c r="AS332" s="14"/>
      <c r="AT332" s="14"/>
      <c r="AU332" s="14"/>
      <c r="AV332" s="14"/>
      <c r="AW332" s="14"/>
      <c r="AX332" s="14"/>
      <c r="AY332" s="14"/>
      <c r="AZ332" s="14"/>
      <c r="BA332" s="14"/>
      <c r="BB332" s="14"/>
      <c r="BC332" s="14"/>
      <c r="BD332" s="14"/>
      <c r="BE332" s="14"/>
      <c r="BF332" s="14"/>
      <c r="BG332" s="14"/>
      <c r="BH332" s="14"/>
      <c r="BI332" s="14"/>
    </row>
    <row r="333" spans="1:6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t="e">
        <f>IF('Fund Data'!$H$2,IF(ISNUMBER(AK333),AK333,NA()),NA())</f>
        <v>#N/A</v>
      </c>
      <c r="AO333" s="14"/>
      <c r="AP333" s="14"/>
      <c r="AQ333" s="14"/>
      <c r="AR333" s="14"/>
      <c r="AS333" s="14"/>
      <c r="AT333" s="14"/>
      <c r="AU333" s="14"/>
      <c r="AV333" s="14"/>
      <c r="AW333" s="14"/>
      <c r="AX333" s="14"/>
      <c r="AY333" s="14"/>
      <c r="AZ333" s="14"/>
      <c r="BA333" s="14"/>
      <c r="BB333" s="14"/>
      <c r="BC333" s="14"/>
      <c r="BD333" s="14"/>
      <c r="BE333" s="14"/>
      <c r="BF333" s="14"/>
      <c r="BG333" s="14"/>
      <c r="BH333" s="14"/>
      <c r="BI333" s="14"/>
    </row>
    <row r="334" spans="1:6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t="e">
        <f>IF('Fund Data'!$H$2,IF(ISNUMBER(AK334),AK334,NA()),NA())</f>
        <v>#N/A</v>
      </c>
      <c r="AO334" s="14"/>
      <c r="AP334" s="14"/>
      <c r="AQ334" s="14"/>
      <c r="AR334" s="14"/>
      <c r="AS334" s="14"/>
      <c r="AT334" s="14"/>
      <c r="AU334" s="14"/>
      <c r="AV334" s="14"/>
      <c r="AW334" s="14"/>
      <c r="AX334" s="14"/>
      <c r="AY334" s="14"/>
      <c r="AZ334" s="14"/>
      <c r="BA334" s="14"/>
      <c r="BB334" s="14"/>
      <c r="BC334" s="14"/>
      <c r="BD334" s="14"/>
      <c r="BE334" s="14"/>
      <c r="BF334" s="14"/>
      <c r="BG334" s="14"/>
      <c r="BH334" s="14"/>
      <c r="BI334" s="14"/>
    </row>
    <row r="335" spans="1:6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t="e">
        <f>IF('Fund Data'!$H$2,IF(ISNUMBER(AK335),AK335,NA()),NA())</f>
        <v>#N/A</v>
      </c>
      <c r="AO335" s="14"/>
      <c r="AP335" s="14"/>
      <c r="AQ335" s="14"/>
      <c r="AR335" s="14"/>
      <c r="AS335" s="14"/>
      <c r="AT335" s="14"/>
      <c r="AU335" s="14"/>
      <c r="AV335" s="14"/>
      <c r="AW335" s="14"/>
      <c r="AX335" s="14"/>
      <c r="AY335" s="14"/>
      <c r="AZ335" s="14"/>
      <c r="BA335" s="14"/>
      <c r="BB335" s="14"/>
      <c r="BC335" s="14"/>
      <c r="BD335" s="14"/>
      <c r="BE335" s="14"/>
      <c r="BF335" s="14"/>
      <c r="BG335" s="14"/>
      <c r="BH335" s="14"/>
      <c r="BI335" s="14"/>
    </row>
    <row r="336" spans="1:6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t="e">
        <f>IF('Fund Data'!$H$2,IF(ISNUMBER(AK336),AK336,NA()),NA())</f>
        <v>#N/A</v>
      </c>
      <c r="AO336" s="14"/>
      <c r="AP336" s="14"/>
      <c r="AQ336" s="14"/>
      <c r="AR336" s="14"/>
      <c r="AS336" s="14"/>
      <c r="AT336" s="14"/>
      <c r="AU336" s="14"/>
      <c r="AV336" s="14"/>
      <c r="AW336" s="14"/>
      <c r="AX336" s="14"/>
      <c r="AY336" s="14"/>
      <c r="AZ336" s="14"/>
      <c r="BA336" s="14"/>
      <c r="BB336" s="14"/>
      <c r="BC336" s="14"/>
      <c r="BD336" s="14"/>
      <c r="BE336" s="14"/>
      <c r="BF336" s="14"/>
      <c r="BG336" s="14"/>
      <c r="BH336" s="14"/>
      <c r="BI336" s="14"/>
    </row>
    <row r="337" spans="1:6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t="e">
        <f>IF('Fund Data'!$H$2,IF(ISNUMBER(AK337),AK337,NA()),NA())</f>
        <v>#N/A</v>
      </c>
      <c r="AO337" s="14"/>
      <c r="AP337" s="14"/>
      <c r="AQ337" s="14"/>
      <c r="AR337" s="14"/>
      <c r="AS337" s="14"/>
      <c r="AT337" s="14"/>
      <c r="AU337" s="14"/>
      <c r="AV337" s="14"/>
      <c r="AW337" s="14"/>
      <c r="AX337" s="14"/>
      <c r="AY337" s="14"/>
      <c r="AZ337" s="14"/>
      <c r="BA337" s="14"/>
      <c r="BB337" s="14"/>
      <c r="BC337" s="14"/>
      <c r="BD337" s="14"/>
      <c r="BE337" s="14"/>
      <c r="BF337" s="14"/>
      <c r="BG337" s="14"/>
      <c r="BH337" s="14"/>
      <c r="BI337" s="14"/>
    </row>
    <row r="338" spans="1:6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t="e">
        <f>IF('Fund Data'!$H$2,IF(ISNUMBER(AK338),AK338,NA()),NA())</f>
        <v>#N/A</v>
      </c>
      <c r="AO338" s="14"/>
      <c r="AP338" s="14"/>
      <c r="AQ338" s="14"/>
      <c r="AR338" s="14"/>
      <c r="AS338" s="14"/>
      <c r="AT338" s="14"/>
      <c r="AU338" s="14"/>
      <c r="AV338" s="14"/>
      <c r="AW338" s="14"/>
      <c r="AX338" s="14"/>
      <c r="AY338" s="14"/>
      <c r="AZ338" s="14"/>
      <c r="BA338" s="14"/>
      <c r="BB338" s="14"/>
      <c r="BC338" s="14"/>
      <c r="BD338" s="14"/>
      <c r="BE338" s="14"/>
      <c r="BF338" s="14"/>
      <c r="BG338" s="14"/>
      <c r="BH338" s="14"/>
      <c r="BI338" s="14"/>
    </row>
    <row r="339" spans="1:6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t="e">
        <f>IF('Fund Data'!$H$2,IF(ISNUMBER(AK339),AK339,NA()),NA())</f>
        <v>#N/A</v>
      </c>
      <c r="AO339" s="14"/>
      <c r="AP339" s="14"/>
      <c r="AQ339" s="14"/>
      <c r="AR339" s="14"/>
      <c r="AS339" s="14"/>
      <c r="AT339" s="14"/>
      <c r="AU339" s="14"/>
      <c r="AV339" s="14"/>
      <c r="AW339" s="14"/>
      <c r="AX339" s="14"/>
      <c r="AY339" s="14"/>
      <c r="AZ339" s="14"/>
      <c r="BA339" s="14"/>
      <c r="BB339" s="14"/>
      <c r="BC339" s="14"/>
      <c r="BD339" s="14"/>
      <c r="BE339" s="14"/>
      <c r="BF339" s="14"/>
      <c r="BG339" s="14"/>
      <c r="BH339" s="14"/>
      <c r="BI339" s="14"/>
    </row>
    <row r="340" spans="1:6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t="e">
        <f>IF('Fund Data'!$H$2,IF(ISNUMBER(AK340),AK340,NA()),NA())</f>
        <v>#N/A</v>
      </c>
      <c r="AO340" s="14"/>
      <c r="AP340" s="14"/>
      <c r="AQ340" s="14"/>
      <c r="AR340" s="14"/>
      <c r="AS340" s="14"/>
      <c r="AT340" s="14"/>
      <c r="AU340" s="14"/>
      <c r="AV340" s="14"/>
      <c r="AW340" s="14"/>
      <c r="AX340" s="14"/>
      <c r="AY340" s="14"/>
      <c r="AZ340" s="14"/>
      <c r="BA340" s="14"/>
      <c r="BB340" s="14"/>
      <c r="BC340" s="14"/>
      <c r="BD340" s="14"/>
      <c r="BE340" s="14"/>
      <c r="BF340" s="14"/>
      <c r="BG340" s="14"/>
      <c r="BH340" s="14"/>
      <c r="BI340" s="14"/>
    </row>
    <row r="341" spans="1:6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t="e">
        <f>IF('Fund Data'!$H$2,IF(ISNUMBER(AK341),AK341,NA()),NA())</f>
        <v>#N/A</v>
      </c>
      <c r="AO341" s="14"/>
      <c r="AP341" s="14"/>
      <c r="AQ341" s="14"/>
      <c r="AR341" s="14"/>
      <c r="AS341" s="14"/>
      <c r="AT341" s="14"/>
      <c r="AU341" s="14"/>
      <c r="AV341" s="14"/>
      <c r="AW341" s="14"/>
      <c r="AX341" s="14"/>
      <c r="AY341" s="14"/>
      <c r="AZ341" s="14"/>
      <c r="BA341" s="14"/>
      <c r="BB341" s="14"/>
      <c r="BC341" s="14"/>
      <c r="BD341" s="14"/>
      <c r="BE341" s="14"/>
      <c r="BF341" s="14"/>
      <c r="BG341" s="14"/>
      <c r="BH341" s="14"/>
      <c r="BI341" s="14"/>
    </row>
    <row r="342" spans="1:6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t="e">
        <f>IF('Fund Data'!$H$2,IF(ISNUMBER(AK342),AK342,NA()),NA())</f>
        <v>#N/A</v>
      </c>
      <c r="AO342" s="14"/>
      <c r="AP342" s="14"/>
      <c r="AQ342" s="14"/>
      <c r="AR342" s="14"/>
      <c r="AS342" s="14"/>
      <c r="AT342" s="14"/>
      <c r="AU342" s="14"/>
      <c r="AV342" s="14"/>
      <c r="AW342" s="14"/>
      <c r="AX342" s="14"/>
      <c r="AY342" s="14"/>
      <c r="AZ342" s="14"/>
      <c r="BA342" s="14"/>
      <c r="BB342" s="14"/>
      <c r="BC342" s="14"/>
      <c r="BD342" s="14"/>
      <c r="BE342" s="14"/>
      <c r="BF342" s="14"/>
      <c r="BG342" s="14"/>
      <c r="BH342" s="14"/>
      <c r="BI342" s="14"/>
    </row>
    <row r="343" spans="1:6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t="e">
        <f>IF('Fund Data'!$H$2,IF(ISNUMBER(AK343),AK343,NA()),NA())</f>
        <v>#N/A</v>
      </c>
      <c r="AO343" s="14"/>
      <c r="AP343" s="14"/>
      <c r="AQ343" s="14"/>
      <c r="AR343" s="14"/>
      <c r="AS343" s="14"/>
      <c r="AT343" s="14"/>
      <c r="AU343" s="14"/>
      <c r="AV343" s="14"/>
      <c r="AW343" s="14"/>
      <c r="AX343" s="14"/>
      <c r="AY343" s="14"/>
      <c r="AZ343" s="14"/>
      <c r="BA343" s="14"/>
      <c r="BB343" s="14"/>
      <c r="BC343" s="14"/>
      <c r="BD343" s="14"/>
      <c r="BE343" s="14"/>
      <c r="BF343" s="14"/>
      <c r="BG343" s="14"/>
      <c r="BH343" s="14"/>
      <c r="BI343" s="14"/>
    </row>
    <row r="344" spans="1:6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t="e">
        <f>IF('Fund Data'!$H$2,IF(ISNUMBER(AK344),AK344,NA()),NA())</f>
        <v>#N/A</v>
      </c>
      <c r="AO344" s="14"/>
      <c r="AP344" s="14"/>
      <c r="AQ344" s="14"/>
      <c r="AR344" s="14"/>
      <c r="AS344" s="14"/>
      <c r="AT344" s="14"/>
      <c r="AU344" s="14"/>
      <c r="AV344" s="14"/>
      <c r="AW344" s="14"/>
      <c r="AX344" s="14"/>
      <c r="AY344" s="14"/>
      <c r="AZ344" s="14"/>
      <c r="BA344" s="14"/>
      <c r="BB344" s="14"/>
      <c r="BC344" s="14"/>
      <c r="BD344" s="14"/>
      <c r="BE344" s="14"/>
      <c r="BF344" s="14"/>
      <c r="BG344" s="14"/>
      <c r="BH344" s="14"/>
      <c r="BI344" s="14"/>
    </row>
    <row r="345" spans="1:6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t="e">
        <f>IF('Fund Data'!$H$2,IF(ISNUMBER(AK345),AK345,NA()),NA())</f>
        <v>#N/A</v>
      </c>
      <c r="AO345" s="14"/>
      <c r="AP345" s="14"/>
      <c r="AQ345" s="14"/>
      <c r="AR345" s="14"/>
      <c r="AS345" s="14"/>
      <c r="AT345" s="14"/>
      <c r="AU345" s="14"/>
      <c r="AV345" s="14"/>
      <c r="AW345" s="14"/>
      <c r="AX345" s="14"/>
      <c r="AY345" s="14"/>
      <c r="AZ345" s="14"/>
      <c r="BA345" s="14"/>
      <c r="BB345" s="14"/>
      <c r="BC345" s="14"/>
      <c r="BD345" s="14"/>
      <c r="BE345" s="14"/>
      <c r="BF345" s="14"/>
      <c r="BG345" s="14"/>
      <c r="BH345" s="14"/>
      <c r="BI345" s="14"/>
    </row>
    <row r="346" spans="1:6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t="e">
        <f>IF('Fund Data'!$H$2,IF(ISNUMBER(AK346),AK346,NA()),NA())</f>
        <v>#N/A</v>
      </c>
      <c r="AO346" s="14"/>
      <c r="AP346" s="14"/>
      <c r="AQ346" s="14"/>
      <c r="AR346" s="14"/>
      <c r="AS346" s="14"/>
      <c r="AT346" s="14"/>
      <c r="AU346" s="14"/>
      <c r="AV346" s="14"/>
      <c r="AW346" s="14"/>
      <c r="AX346" s="14"/>
      <c r="AY346" s="14"/>
      <c r="AZ346" s="14"/>
      <c r="BA346" s="14"/>
      <c r="BB346" s="14"/>
      <c r="BC346" s="14"/>
      <c r="BD346" s="14"/>
      <c r="BE346" s="14"/>
      <c r="BF346" s="14"/>
      <c r="BG346" s="14"/>
      <c r="BH346" s="14"/>
      <c r="BI346" s="14"/>
    </row>
    <row r="347" spans="1:6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t="e">
        <f>IF('Fund Data'!$H$2,IF(ISNUMBER(AK347),AK347,NA()),NA())</f>
        <v>#N/A</v>
      </c>
      <c r="AO347" s="14"/>
      <c r="AP347" s="14"/>
      <c r="AQ347" s="14"/>
      <c r="AR347" s="14"/>
      <c r="AS347" s="14"/>
      <c r="AT347" s="14"/>
      <c r="AU347" s="14"/>
      <c r="AV347" s="14"/>
      <c r="AW347" s="14"/>
      <c r="AX347" s="14"/>
      <c r="AY347" s="14"/>
      <c r="AZ347" s="14"/>
      <c r="BA347" s="14"/>
      <c r="BB347" s="14"/>
      <c r="BC347" s="14"/>
      <c r="BD347" s="14"/>
      <c r="BE347" s="14"/>
      <c r="BF347" s="14"/>
      <c r="BG347" s="14"/>
      <c r="BH347" s="14"/>
      <c r="BI347" s="14"/>
    </row>
    <row r="348" spans="1:6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t="e">
        <f>IF('Fund Data'!$H$2,IF(ISNUMBER(AK348),AK348,NA()),NA())</f>
        <v>#N/A</v>
      </c>
      <c r="AO348" s="14"/>
      <c r="AP348" s="14"/>
      <c r="AQ348" s="14"/>
      <c r="AR348" s="14"/>
      <c r="AS348" s="14"/>
      <c r="AT348" s="14"/>
      <c r="AU348" s="14"/>
      <c r="AV348" s="14"/>
      <c r="AW348" s="14"/>
      <c r="AX348" s="14"/>
      <c r="AY348" s="14"/>
      <c r="AZ348" s="14"/>
      <c r="BA348" s="14"/>
      <c r="BB348" s="14"/>
      <c r="BC348" s="14"/>
      <c r="BD348" s="14"/>
      <c r="BE348" s="14"/>
      <c r="BF348" s="14"/>
      <c r="BG348" s="14"/>
      <c r="BH348" s="14"/>
      <c r="BI348" s="14"/>
    </row>
    <row r="349" spans="1:6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t="e">
        <f>IF('Fund Data'!$H$2,IF(ISNUMBER(AK349),AK349,NA()),NA())</f>
        <v>#N/A</v>
      </c>
      <c r="AO349" s="14"/>
      <c r="AP349" s="14"/>
      <c r="AQ349" s="14"/>
      <c r="AR349" s="14"/>
      <c r="AS349" s="14"/>
      <c r="AT349" s="14"/>
      <c r="AU349" s="14"/>
      <c r="AV349" s="14"/>
      <c r="AW349" s="14"/>
      <c r="AX349" s="14"/>
      <c r="AY349" s="14"/>
      <c r="AZ349" s="14"/>
      <c r="BA349" s="14"/>
      <c r="BB349" s="14"/>
      <c r="BC349" s="14"/>
      <c r="BD349" s="14"/>
      <c r="BE349" s="14"/>
      <c r="BF349" s="14"/>
      <c r="BG349" s="14"/>
      <c r="BH349" s="14"/>
      <c r="BI349" s="14"/>
    </row>
    <row r="350" spans="1:6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t="e">
        <f>IF('Fund Data'!$H$2,IF(ISNUMBER(AK350),AK350,NA()),NA())</f>
        <v>#N/A</v>
      </c>
      <c r="AO350" s="14"/>
      <c r="AP350" s="14"/>
      <c r="AQ350" s="14"/>
      <c r="AR350" s="14"/>
      <c r="AS350" s="14"/>
      <c r="AT350" s="14"/>
      <c r="AU350" s="14"/>
      <c r="AV350" s="14"/>
      <c r="AW350" s="14"/>
      <c r="AX350" s="14"/>
      <c r="AY350" s="14"/>
      <c r="AZ350" s="14"/>
      <c r="BA350" s="14"/>
      <c r="BB350" s="14"/>
      <c r="BC350" s="14"/>
      <c r="BD350" s="14"/>
      <c r="BE350" s="14"/>
      <c r="BF350" s="14"/>
      <c r="BG350" s="14"/>
      <c r="BH350" s="14"/>
      <c r="BI350" s="14"/>
    </row>
    <row r="351" spans="1:6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t="e">
        <f>IF('Fund Data'!$H$2,IF(ISNUMBER(AK351),AK351,NA()),NA())</f>
        <v>#N/A</v>
      </c>
      <c r="AO351" s="14"/>
      <c r="AP351" s="14"/>
      <c r="AQ351" s="14"/>
      <c r="AR351" s="14"/>
      <c r="AS351" s="14"/>
      <c r="AT351" s="14"/>
      <c r="AU351" s="14"/>
      <c r="AV351" s="14"/>
      <c r="AW351" s="14"/>
      <c r="AX351" s="14"/>
      <c r="AY351" s="14"/>
      <c r="AZ351" s="14"/>
      <c r="BA351" s="14"/>
      <c r="BB351" s="14"/>
      <c r="BC351" s="14"/>
      <c r="BD351" s="14"/>
      <c r="BE351" s="14"/>
      <c r="BF351" s="14"/>
      <c r="BG351" s="14"/>
      <c r="BH351" s="14"/>
      <c r="BI351" s="14"/>
    </row>
    <row r="352" spans="1:6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t="e">
        <f>IF('Fund Data'!$H$2,IF(ISNUMBER(AK352),AK352,NA()),NA())</f>
        <v>#N/A</v>
      </c>
      <c r="AO352" s="14"/>
      <c r="AP352" s="14"/>
      <c r="AQ352" s="14"/>
      <c r="AR352" s="14"/>
      <c r="AS352" s="14"/>
      <c r="AT352" s="14"/>
      <c r="AU352" s="14"/>
      <c r="AV352" s="14"/>
      <c r="AW352" s="14"/>
      <c r="AX352" s="14"/>
      <c r="AY352" s="14"/>
      <c r="AZ352" s="14"/>
      <c r="BA352" s="14"/>
      <c r="BB352" s="14"/>
      <c r="BC352" s="14"/>
      <c r="BD352" s="14"/>
      <c r="BE352" s="14"/>
      <c r="BF352" s="14"/>
      <c r="BG352" s="14"/>
      <c r="BH352" s="14"/>
      <c r="BI352" s="14"/>
    </row>
    <row r="353" spans="1:6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t="e">
        <f>IF('Fund Data'!$H$2,IF(ISNUMBER(AK353),AK353,NA()),NA())</f>
        <v>#N/A</v>
      </c>
      <c r="AO353" s="14"/>
      <c r="AP353" s="14"/>
      <c r="AQ353" s="14"/>
      <c r="AR353" s="14"/>
      <c r="AS353" s="14"/>
      <c r="AT353" s="14"/>
      <c r="AU353" s="14"/>
      <c r="AV353" s="14"/>
      <c r="AW353" s="14"/>
      <c r="AX353" s="14"/>
      <c r="AY353" s="14"/>
      <c r="AZ353" s="14"/>
      <c r="BA353" s="14"/>
      <c r="BB353" s="14"/>
      <c r="BC353" s="14"/>
      <c r="BD353" s="14"/>
      <c r="BE353" s="14"/>
      <c r="BF353" s="14"/>
      <c r="BG353" s="14"/>
      <c r="BH353" s="14"/>
      <c r="BI353" s="14"/>
    </row>
    <row r="354" spans="1:6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t="e">
        <f>IF('Fund Data'!$H$2,IF(ISNUMBER(AK354),AK354,NA()),NA())</f>
        <v>#N/A</v>
      </c>
      <c r="AO354" s="14"/>
      <c r="AP354" s="14"/>
      <c r="AQ354" s="14"/>
      <c r="AR354" s="14"/>
      <c r="AS354" s="14"/>
      <c r="AT354" s="14"/>
      <c r="AU354" s="14"/>
      <c r="AV354" s="14"/>
      <c r="AW354" s="14"/>
      <c r="AX354" s="14"/>
      <c r="AY354" s="14"/>
      <c r="AZ354" s="14"/>
      <c r="BA354" s="14"/>
      <c r="BB354" s="14"/>
      <c r="BC354" s="14"/>
      <c r="BD354" s="14"/>
      <c r="BE354" s="14"/>
      <c r="BF354" s="14"/>
      <c r="BG354" s="14"/>
      <c r="BH354" s="14"/>
      <c r="BI354" s="14"/>
    </row>
    <row r="355" spans="1:6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t="e">
        <f>IF('Fund Data'!$H$2,IF(ISNUMBER(AK355),AK355,NA()),NA())</f>
        <v>#N/A</v>
      </c>
      <c r="AO355" s="14"/>
      <c r="AP355" s="14"/>
      <c r="AQ355" s="14"/>
      <c r="AR355" s="14"/>
      <c r="AS355" s="14"/>
      <c r="AT355" s="14"/>
      <c r="AU355" s="14"/>
      <c r="AV355" s="14"/>
      <c r="AW355" s="14"/>
      <c r="AX355" s="14"/>
      <c r="AY355" s="14"/>
      <c r="AZ355" s="14"/>
      <c r="BA355" s="14"/>
      <c r="BB355" s="14"/>
      <c r="BC355" s="14"/>
      <c r="BD355" s="14"/>
      <c r="BE355" s="14"/>
      <c r="BF355" s="14"/>
      <c r="BG355" s="14"/>
      <c r="BH355" s="14"/>
      <c r="BI355" s="14"/>
    </row>
    <row r="356" spans="1:6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t="e">
        <f>IF('Fund Data'!$H$2,IF(ISNUMBER(AK356),AK356,NA()),NA())</f>
        <v>#N/A</v>
      </c>
      <c r="AO356" s="14"/>
      <c r="AP356" s="14"/>
      <c r="AQ356" s="14"/>
      <c r="AR356" s="14"/>
      <c r="AS356" s="14"/>
      <c r="AT356" s="14"/>
      <c r="AU356" s="14"/>
      <c r="AV356" s="14"/>
      <c r="AW356" s="14"/>
      <c r="AX356" s="14"/>
      <c r="AY356" s="14"/>
      <c r="AZ356" s="14"/>
      <c r="BA356" s="14"/>
      <c r="BB356" s="14"/>
      <c r="BC356" s="14"/>
      <c r="BD356" s="14"/>
      <c r="BE356" s="14"/>
      <c r="BF356" s="14"/>
      <c r="BG356" s="14"/>
      <c r="BH356" s="14"/>
      <c r="BI356" s="14"/>
    </row>
    <row r="357" spans="1:6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t="e">
        <f>IF('Fund Data'!$H$2,IF(ISNUMBER(AK357),AK357,NA()),NA())</f>
        <v>#N/A</v>
      </c>
      <c r="AO357" s="14"/>
      <c r="AP357" s="14"/>
      <c r="AQ357" s="14"/>
      <c r="AR357" s="14"/>
      <c r="AS357" s="14"/>
      <c r="AT357" s="14"/>
      <c r="AU357" s="14"/>
      <c r="AV357" s="14"/>
      <c r="AW357" s="14"/>
      <c r="AX357" s="14"/>
      <c r="AY357" s="14"/>
      <c r="AZ357" s="14"/>
      <c r="BA357" s="14"/>
      <c r="BB357" s="14"/>
      <c r="BC357" s="14"/>
      <c r="BD357" s="14"/>
      <c r="BE357" s="14"/>
      <c r="BF357" s="14"/>
      <c r="BG357" s="14"/>
      <c r="BH357" s="14"/>
      <c r="BI357" s="14"/>
    </row>
    <row r="358" spans="1:6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t="e">
        <f>IF('Fund Data'!$H$2,IF(ISNUMBER(AK358),AK358,NA()),NA())</f>
        <v>#N/A</v>
      </c>
      <c r="AO358" s="14"/>
      <c r="AP358" s="14"/>
      <c r="AQ358" s="14"/>
      <c r="AR358" s="14"/>
      <c r="AS358" s="14"/>
      <c r="AT358" s="14"/>
      <c r="AU358" s="14"/>
      <c r="AV358" s="14"/>
      <c r="AW358" s="14"/>
      <c r="AX358" s="14"/>
      <c r="AY358" s="14"/>
      <c r="AZ358" s="14"/>
      <c r="BA358" s="14"/>
      <c r="BB358" s="14"/>
      <c r="BC358" s="14"/>
      <c r="BD358" s="14"/>
      <c r="BE358" s="14"/>
      <c r="BF358" s="14"/>
      <c r="BG358" s="14"/>
      <c r="BH358" s="14"/>
      <c r="BI358" s="14"/>
    </row>
    <row r="359" spans="1:6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t="e">
        <f>IF('Fund Data'!$H$2,IF(ISNUMBER(AK359),AK359,NA()),NA())</f>
        <v>#N/A</v>
      </c>
      <c r="AO359" s="14"/>
      <c r="AP359" s="14"/>
      <c r="AQ359" s="14"/>
      <c r="AR359" s="14"/>
      <c r="AS359" s="14"/>
      <c r="AT359" s="14"/>
      <c r="AU359" s="14"/>
      <c r="AV359" s="14"/>
      <c r="AW359" s="14"/>
      <c r="AX359" s="14"/>
      <c r="AY359" s="14"/>
      <c r="AZ359" s="14"/>
      <c r="BA359" s="14"/>
      <c r="BB359" s="14"/>
      <c r="BC359" s="14"/>
      <c r="BD359" s="14"/>
      <c r="BE359" s="14"/>
      <c r="BF359" s="14"/>
      <c r="BG359" s="14"/>
      <c r="BH359" s="14"/>
      <c r="BI359" s="14"/>
    </row>
    <row r="360" spans="1:6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t="e">
        <f>IF('Fund Data'!$H$2,IF(ISNUMBER(AK360),AK360,NA()),NA())</f>
        <v>#N/A</v>
      </c>
      <c r="AO360" s="14"/>
      <c r="AP360" s="14"/>
      <c r="AQ360" s="14"/>
      <c r="AR360" s="14"/>
      <c r="AS360" s="14"/>
      <c r="AT360" s="14"/>
      <c r="AU360" s="14"/>
      <c r="AV360" s="14"/>
      <c r="AW360" s="14"/>
      <c r="AX360" s="14"/>
      <c r="AY360" s="14"/>
      <c r="AZ360" s="14"/>
      <c r="BA360" s="14"/>
      <c r="BB360" s="14"/>
      <c r="BC360" s="14"/>
      <c r="BD360" s="14"/>
      <c r="BE360" s="14"/>
      <c r="BF360" s="14"/>
      <c r="BG360" s="14"/>
      <c r="BH360" s="14"/>
      <c r="BI360" s="14"/>
    </row>
    <row r="361" spans="1:6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t="e">
        <f>IF('Fund Data'!$H$2,IF(ISNUMBER(AK361),AK361,NA()),NA())</f>
        <v>#N/A</v>
      </c>
      <c r="AO361" s="14"/>
      <c r="AP361" s="14"/>
      <c r="AQ361" s="14"/>
      <c r="AR361" s="14"/>
      <c r="AS361" s="14"/>
      <c r="AT361" s="14"/>
      <c r="AU361" s="14"/>
      <c r="AV361" s="14"/>
      <c r="AW361" s="14"/>
      <c r="AX361" s="14"/>
      <c r="AY361" s="14"/>
      <c r="AZ361" s="14"/>
      <c r="BA361" s="14"/>
      <c r="BB361" s="14"/>
      <c r="BC361" s="14"/>
      <c r="BD361" s="14"/>
      <c r="BE361" s="14"/>
      <c r="BF361" s="14"/>
      <c r="BG361" s="14"/>
      <c r="BH361" s="14"/>
      <c r="BI361" s="14"/>
    </row>
    <row r="362" spans="1:6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t="e">
        <f>IF('Fund Data'!$H$2,IF(ISNUMBER(AK362),AK362,NA()),NA())</f>
        <v>#N/A</v>
      </c>
      <c r="AO362" s="14"/>
      <c r="AP362" s="14"/>
      <c r="AQ362" s="14"/>
      <c r="AR362" s="14"/>
      <c r="AS362" s="14"/>
      <c r="AT362" s="14"/>
      <c r="AU362" s="14"/>
      <c r="AV362" s="14"/>
      <c r="AW362" s="14"/>
      <c r="AX362" s="14"/>
      <c r="AY362" s="14"/>
      <c r="AZ362" s="14"/>
      <c r="BA362" s="14"/>
      <c r="BB362" s="14"/>
      <c r="BC362" s="14"/>
      <c r="BD362" s="14"/>
      <c r="BE362" s="14"/>
      <c r="BF362" s="14"/>
      <c r="BG362" s="14"/>
      <c r="BH362" s="14"/>
      <c r="BI362" s="14"/>
    </row>
    <row r="363" spans="1:6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t="e">
        <f>IF('Fund Data'!$H$2,IF(ISNUMBER(AK363),AK363,NA()),NA())</f>
        <v>#N/A</v>
      </c>
      <c r="AO363" s="14"/>
      <c r="AP363" s="14"/>
      <c r="AQ363" s="14"/>
      <c r="AR363" s="14"/>
      <c r="AS363" s="14"/>
      <c r="AT363" s="14"/>
      <c r="AU363" s="14"/>
      <c r="AV363" s="14"/>
      <c r="AW363" s="14"/>
      <c r="AX363" s="14"/>
      <c r="AY363" s="14"/>
      <c r="AZ363" s="14"/>
      <c r="BA363" s="14"/>
      <c r="BB363" s="14"/>
      <c r="BC363" s="14"/>
      <c r="BD363" s="14"/>
      <c r="BE363" s="14"/>
      <c r="BF363" s="14"/>
      <c r="BG363" s="14"/>
      <c r="BH363" s="14"/>
      <c r="BI363" s="14"/>
    </row>
    <row r="364" spans="1:6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t="e">
        <f>IF('Fund Data'!$H$2,IF(ISNUMBER(AK364),AK364,NA()),NA())</f>
        <v>#N/A</v>
      </c>
      <c r="AO364" s="14"/>
      <c r="AP364" s="14"/>
      <c r="AQ364" s="14"/>
      <c r="AR364" s="14"/>
      <c r="AS364" s="14"/>
      <c r="AT364" s="14"/>
      <c r="AU364" s="14"/>
      <c r="AV364" s="14"/>
      <c r="AW364" s="14"/>
      <c r="AX364" s="14"/>
      <c r="AY364" s="14"/>
      <c r="AZ364" s="14"/>
      <c r="BA364" s="14"/>
      <c r="BB364" s="14"/>
      <c r="BC364" s="14"/>
      <c r="BD364" s="14"/>
      <c r="BE364" s="14"/>
      <c r="BF364" s="14"/>
      <c r="BG364" s="14"/>
      <c r="BH364" s="14"/>
      <c r="BI364" s="14"/>
    </row>
    <row r="365" spans="1:6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t="e">
        <f>IF('Fund Data'!$H$2,IF(ISNUMBER(AK365),AK365,NA()),NA())</f>
        <v>#N/A</v>
      </c>
      <c r="AO365" s="14"/>
      <c r="AP365" s="14"/>
      <c r="AQ365" s="14"/>
      <c r="AR365" s="14"/>
      <c r="AS365" s="14"/>
      <c r="AT365" s="14"/>
      <c r="AU365" s="14"/>
      <c r="AV365" s="14"/>
      <c r="AW365" s="14"/>
      <c r="AX365" s="14"/>
      <c r="AY365" s="14"/>
      <c r="AZ365" s="14"/>
      <c r="BA365" s="14"/>
      <c r="BB365" s="14"/>
      <c r="BC365" s="14"/>
      <c r="BD365" s="14"/>
      <c r="BE365" s="14"/>
      <c r="BF365" s="14"/>
      <c r="BG365" s="14"/>
      <c r="BH365" s="14"/>
      <c r="BI365" s="14"/>
    </row>
    <row r="366" spans="1:6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t="e">
        <f>IF('Fund Data'!$H$2,IF(ISNUMBER(AK366),AK366,NA()),NA())</f>
        <v>#N/A</v>
      </c>
      <c r="AO366" s="14"/>
      <c r="AP366" s="14"/>
      <c r="AQ366" s="14"/>
      <c r="AR366" s="14"/>
      <c r="AS366" s="14"/>
      <c r="AT366" s="14"/>
      <c r="AU366" s="14"/>
      <c r="AV366" s="14"/>
      <c r="AW366" s="14"/>
      <c r="AX366" s="14"/>
      <c r="AY366" s="14"/>
      <c r="AZ366" s="14"/>
      <c r="BA366" s="14"/>
      <c r="BB366" s="14"/>
      <c r="BC366" s="14"/>
      <c r="BD366" s="14"/>
      <c r="BE366" s="14"/>
      <c r="BF366" s="14"/>
      <c r="BG366" s="14"/>
      <c r="BH366" s="14"/>
      <c r="BI366" s="14"/>
    </row>
    <row r="367" spans="1:6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t="e">
        <f>IF('Fund Data'!$H$2,IF(ISNUMBER(AK367),AK367,NA()),NA())</f>
        <v>#N/A</v>
      </c>
      <c r="AO367" s="14"/>
      <c r="AP367" s="14"/>
      <c r="AQ367" s="14"/>
      <c r="AR367" s="14"/>
      <c r="AS367" s="14"/>
      <c r="AT367" s="14"/>
      <c r="AU367" s="14"/>
      <c r="AV367" s="14"/>
      <c r="AW367" s="14"/>
      <c r="AX367" s="14"/>
      <c r="AY367" s="14"/>
      <c r="AZ367" s="14"/>
      <c r="BA367" s="14"/>
      <c r="BB367" s="14"/>
      <c r="BC367" s="14"/>
      <c r="BD367" s="14"/>
      <c r="BE367" s="14"/>
      <c r="BF367" s="14"/>
      <c r="BG367" s="14"/>
      <c r="BH367" s="14"/>
      <c r="BI367" s="14"/>
    </row>
    <row r="368" spans="1:6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t="e">
        <f>IF('Fund Data'!$H$2,IF(ISNUMBER(AK368),AK368,NA()),NA())</f>
        <v>#N/A</v>
      </c>
      <c r="AO368" s="14"/>
      <c r="AP368" s="14"/>
      <c r="AQ368" s="14"/>
      <c r="AR368" s="14"/>
      <c r="AS368" s="14"/>
      <c r="AT368" s="14"/>
      <c r="AU368" s="14"/>
      <c r="AV368" s="14"/>
      <c r="AW368" s="14"/>
      <c r="AX368" s="14"/>
      <c r="AY368" s="14"/>
      <c r="AZ368" s="14"/>
      <c r="BA368" s="14"/>
      <c r="BB368" s="14"/>
      <c r="BC368" s="14"/>
      <c r="BD368" s="14"/>
      <c r="BE368" s="14"/>
      <c r="BF368" s="14"/>
      <c r="BG368" s="14"/>
      <c r="BH368" s="14"/>
      <c r="BI368" s="14"/>
    </row>
    <row r="369" spans="1:6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t="e">
        <f>IF('Fund Data'!$H$2,IF(ISNUMBER(AK369),AK369,NA()),NA())</f>
        <v>#N/A</v>
      </c>
      <c r="AO369" s="14"/>
      <c r="AP369" s="14"/>
      <c r="AQ369" s="14"/>
      <c r="AR369" s="14"/>
      <c r="AS369" s="14"/>
      <c r="AT369" s="14"/>
      <c r="AU369" s="14"/>
      <c r="AV369" s="14"/>
      <c r="AW369" s="14"/>
      <c r="AX369" s="14"/>
      <c r="AY369" s="14"/>
      <c r="AZ369" s="14"/>
      <c r="BA369" s="14"/>
      <c r="BB369" s="14"/>
      <c r="BC369" s="14"/>
      <c r="BD369" s="14"/>
      <c r="BE369" s="14"/>
      <c r="BF369" s="14"/>
      <c r="BG369" s="14"/>
      <c r="BH369" s="14"/>
      <c r="BI369" s="14"/>
    </row>
    <row r="370" spans="1:6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t="e">
        <f>IF('Fund Data'!$H$2,IF(ISNUMBER(AK370),AK370,NA()),NA())</f>
        <v>#N/A</v>
      </c>
      <c r="AO370" s="14"/>
      <c r="AP370" s="14"/>
      <c r="AQ370" s="14"/>
      <c r="AR370" s="14"/>
      <c r="AS370" s="14"/>
      <c r="AT370" s="14"/>
      <c r="AU370" s="14"/>
      <c r="AV370" s="14"/>
      <c r="AW370" s="14"/>
      <c r="AX370" s="14"/>
      <c r="AY370" s="14"/>
      <c r="AZ370" s="14"/>
      <c r="BA370" s="14"/>
      <c r="BB370" s="14"/>
      <c r="BC370" s="14"/>
      <c r="BD370" s="14"/>
      <c r="BE370" s="14"/>
      <c r="BF370" s="14"/>
      <c r="BG370" s="14"/>
      <c r="BH370" s="14"/>
      <c r="BI370" s="14"/>
    </row>
    <row r="371" spans="1:6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t="e">
        <f>IF('Fund Data'!$H$2,IF(ISNUMBER(AK371),AK371,NA()),NA())</f>
        <v>#N/A</v>
      </c>
      <c r="AO371" s="14"/>
      <c r="AP371" s="14"/>
      <c r="AQ371" s="14"/>
      <c r="AR371" s="14"/>
      <c r="AS371" s="14"/>
      <c r="AT371" s="14"/>
      <c r="AU371" s="14"/>
      <c r="AV371" s="14"/>
      <c r="AW371" s="14"/>
      <c r="AX371" s="14"/>
      <c r="AY371" s="14"/>
      <c r="AZ371" s="14"/>
      <c r="BA371" s="14"/>
      <c r="BB371" s="14"/>
      <c r="BC371" s="14"/>
      <c r="BD371" s="14"/>
      <c r="BE371" s="14"/>
      <c r="BF371" s="14"/>
      <c r="BG371" s="14"/>
      <c r="BH371" s="14"/>
      <c r="BI371" s="14"/>
    </row>
    <row r="372" spans="1:6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t="e">
        <f>IF('Fund Data'!$H$2,IF(ISNUMBER(AK372),AK372,NA()),NA())</f>
        <v>#N/A</v>
      </c>
      <c r="AO372" s="14"/>
      <c r="AP372" s="14"/>
      <c r="AQ372" s="14"/>
      <c r="AR372" s="14"/>
      <c r="AS372" s="14"/>
      <c r="AT372" s="14"/>
      <c r="AU372" s="14"/>
      <c r="AV372" s="14"/>
      <c r="AW372" s="14"/>
      <c r="AX372" s="14"/>
      <c r="AY372" s="14"/>
      <c r="AZ372" s="14"/>
      <c r="BA372" s="14"/>
      <c r="BB372" s="14"/>
      <c r="BC372" s="14"/>
      <c r="BD372" s="14"/>
      <c r="BE372" s="14"/>
      <c r="BF372" s="14"/>
      <c r="BG372" s="14"/>
      <c r="BH372" s="14"/>
      <c r="BI372" s="14"/>
    </row>
    <row r="373" spans="1:6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t="e">
        <f>IF('Fund Data'!$H$2,IF(ISNUMBER(AK373),AK373,NA()),NA())</f>
        <v>#N/A</v>
      </c>
      <c r="AO373" s="14"/>
      <c r="AP373" s="14"/>
      <c r="AQ373" s="14"/>
      <c r="AR373" s="14"/>
      <c r="AS373" s="14"/>
      <c r="AT373" s="14"/>
      <c r="AU373" s="14"/>
      <c r="AV373" s="14"/>
      <c r="AW373" s="14"/>
      <c r="AX373" s="14"/>
      <c r="AY373" s="14"/>
      <c r="AZ373" s="14"/>
      <c r="BA373" s="14"/>
      <c r="BB373" s="14"/>
      <c r="BC373" s="14"/>
      <c r="BD373" s="14"/>
      <c r="BE373" s="14"/>
      <c r="BF373" s="14"/>
      <c r="BG373" s="14"/>
      <c r="BH373" s="14"/>
      <c r="BI373" s="14"/>
    </row>
    <row r="374" spans="1:6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t="e">
        <f>IF('Fund Data'!$H$2,IF(ISNUMBER(AK374),AK374,NA()),NA())</f>
        <v>#N/A</v>
      </c>
      <c r="AO374" s="14"/>
      <c r="AP374" s="14"/>
      <c r="AQ374" s="14"/>
      <c r="AR374" s="14"/>
      <c r="AS374" s="14"/>
      <c r="AT374" s="14"/>
      <c r="AU374" s="14"/>
      <c r="AV374" s="14"/>
      <c r="AW374" s="14"/>
      <c r="AX374" s="14"/>
      <c r="AY374" s="14"/>
      <c r="AZ374" s="14"/>
      <c r="BA374" s="14"/>
      <c r="BB374" s="14"/>
      <c r="BC374" s="14"/>
      <c r="BD374" s="14"/>
      <c r="BE374" s="14"/>
      <c r="BF374" s="14"/>
      <c r="BG374" s="14"/>
      <c r="BH374" s="14"/>
      <c r="BI374" s="14"/>
    </row>
    <row r="375" spans="1:6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t="e">
        <f>IF('Fund Data'!$H$2,IF(ISNUMBER(AK375),AK375,NA()),NA())</f>
        <v>#N/A</v>
      </c>
      <c r="AO375" s="14"/>
      <c r="AP375" s="14"/>
      <c r="AQ375" s="14"/>
      <c r="AR375" s="14"/>
      <c r="AS375" s="14"/>
      <c r="AT375" s="14"/>
      <c r="AU375" s="14"/>
      <c r="AV375" s="14"/>
      <c r="AW375" s="14"/>
      <c r="AX375" s="14"/>
      <c r="AY375" s="14"/>
      <c r="AZ375" s="14"/>
      <c r="BA375" s="14"/>
      <c r="BB375" s="14"/>
      <c r="BC375" s="14"/>
      <c r="BD375" s="14"/>
      <c r="BE375" s="14"/>
      <c r="BF375" s="14"/>
      <c r="BG375" s="14"/>
      <c r="BH375" s="14"/>
      <c r="BI375" s="14"/>
    </row>
    <row r="376" spans="1:6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t="e">
        <f>IF('Fund Data'!$H$2,IF(ISNUMBER(AK376),AK376,NA()),NA())</f>
        <v>#N/A</v>
      </c>
      <c r="AO376" s="14"/>
      <c r="AP376" s="14"/>
      <c r="AQ376" s="14"/>
      <c r="AR376" s="14"/>
      <c r="AS376" s="14"/>
      <c r="AT376" s="14"/>
      <c r="AU376" s="14"/>
      <c r="AV376" s="14"/>
      <c r="AW376" s="14"/>
      <c r="AX376" s="14"/>
      <c r="AY376" s="14"/>
      <c r="AZ376" s="14"/>
      <c r="BA376" s="14"/>
      <c r="BB376" s="14"/>
      <c r="BC376" s="14"/>
      <c r="BD376" s="14"/>
      <c r="BE376" s="14"/>
      <c r="BF376" s="14"/>
      <c r="BG376" s="14"/>
      <c r="BH376" s="14"/>
      <c r="BI376" s="14"/>
    </row>
    <row r="377" spans="1:6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t="e">
        <f>IF('Fund Data'!$H$2,IF(ISNUMBER(AK377),AK377,NA()),NA())</f>
        <v>#N/A</v>
      </c>
      <c r="AO377" s="14"/>
      <c r="AP377" s="14"/>
      <c r="AQ377" s="14"/>
      <c r="AR377" s="14"/>
      <c r="AS377" s="14"/>
      <c r="AT377" s="14"/>
      <c r="AU377" s="14"/>
      <c r="AV377" s="14"/>
      <c r="AW377" s="14"/>
      <c r="AX377" s="14"/>
      <c r="AY377" s="14"/>
      <c r="AZ377" s="14"/>
      <c r="BA377" s="14"/>
      <c r="BB377" s="14"/>
      <c r="BC377" s="14"/>
      <c r="BD377" s="14"/>
      <c r="BE377" s="14"/>
      <c r="BF377" s="14"/>
      <c r="BG377" s="14"/>
      <c r="BH377" s="14"/>
      <c r="BI377" s="14"/>
    </row>
    <row r="378" spans="1:6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t="e">
        <f>IF('Fund Data'!$H$2,IF(ISNUMBER(AK378),AK378,NA()),NA())</f>
        <v>#N/A</v>
      </c>
      <c r="AO378" s="14"/>
      <c r="AP378" s="14"/>
      <c r="AQ378" s="14"/>
      <c r="AR378" s="14"/>
      <c r="AS378" s="14"/>
      <c r="AT378" s="14"/>
      <c r="AU378" s="14"/>
      <c r="AV378" s="14"/>
      <c r="AW378" s="14"/>
      <c r="AX378" s="14"/>
      <c r="AY378" s="14"/>
      <c r="AZ378" s="14"/>
      <c r="BA378" s="14"/>
      <c r="BB378" s="14"/>
      <c r="BC378" s="14"/>
      <c r="BD378" s="14"/>
      <c r="BE378" s="14"/>
      <c r="BF378" s="14"/>
      <c r="BG378" s="14"/>
      <c r="BH378" s="14"/>
      <c r="BI378" s="14"/>
    </row>
    <row r="379" spans="1:6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t="e">
        <f>IF('Fund Data'!$H$2,IF(ISNUMBER(AK379),AK379,NA()),NA())</f>
        <v>#N/A</v>
      </c>
      <c r="AO379" s="14"/>
      <c r="AP379" s="14"/>
      <c r="AQ379" s="14"/>
      <c r="AR379" s="14"/>
      <c r="AS379" s="14"/>
      <c r="AT379" s="14"/>
      <c r="AU379" s="14"/>
      <c r="AV379" s="14"/>
      <c r="AW379" s="14"/>
      <c r="AX379" s="14"/>
      <c r="AY379" s="14"/>
      <c r="AZ379" s="14"/>
      <c r="BA379" s="14"/>
      <c r="BB379" s="14"/>
      <c r="BC379" s="14"/>
      <c r="BD379" s="14"/>
      <c r="BE379" s="14"/>
      <c r="BF379" s="14"/>
      <c r="BG379" s="14"/>
      <c r="BH379" s="14"/>
      <c r="BI379" s="14"/>
    </row>
    <row r="380" spans="1:6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t="e">
        <f>IF('Fund Data'!$H$2,IF(ISNUMBER(AK380),AK380,NA()),NA())</f>
        <v>#N/A</v>
      </c>
      <c r="AO380" s="14"/>
      <c r="AP380" s="14"/>
      <c r="AQ380" s="14"/>
      <c r="AR380" s="14"/>
      <c r="AS380" s="14"/>
      <c r="AT380" s="14"/>
      <c r="AU380" s="14"/>
      <c r="AV380" s="14"/>
      <c r="AW380" s="14"/>
      <c r="AX380" s="14"/>
      <c r="AY380" s="14"/>
      <c r="AZ380" s="14"/>
      <c r="BA380" s="14"/>
      <c r="BB380" s="14"/>
      <c r="BC380" s="14"/>
      <c r="BD380" s="14"/>
      <c r="BE380" s="14"/>
      <c r="BF380" s="14"/>
      <c r="BG380" s="14"/>
      <c r="BH380" s="14"/>
      <c r="BI380" s="14"/>
    </row>
    <row r="381" spans="1:6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t="e">
        <f>IF('Fund Data'!$H$2,IF(ISNUMBER(AK381),AK381,NA()),NA())</f>
        <v>#N/A</v>
      </c>
      <c r="AO381" s="14"/>
      <c r="AP381" s="14"/>
      <c r="AQ381" s="14"/>
      <c r="AR381" s="14"/>
      <c r="AS381" s="14"/>
      <c r="AT381" s="14"/>
      <c r="AU381" s="14"/>
      <c r="AV381" s="14"/>
      <c r="AW381" s="14"/>
      <c r="AX381" s="14"/>
      <c r="AY381" s="14"/>
      <c r="AZ381" s="14"/>
      <c r="BA381" s="14"/>
      <c r="BB381" s="14"/>
      <c r="BC381" s="14"/>
      <c r="BD381" s="14"/>
      <c r="BE381" s="14"/>
      <c r="BF381" s="14"/>
      <c r="BG381" s="14"/>
      <c r="BH381" s="14"/>
      <c r="BI381" s="14"/>
    </row>
    <row r="382" spans="1:6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t="e">
        <f>IF('Fund Data'!$H$2,IF(ISNUMBER(AK382),AK382,NA()),NA())</f>
        <v>#N/A</v>
      </c>
      <c r="AO382" s="14"/>
      <c r="AP382" s="14"/>
      <c r="AQ382" s="14"/>
      <c r="AR382" s="14"/>
      <c r="AS382" s="14"/>
      <c r="AT382" s="14"/>
      <c r="AU382" s="14"/>
      <c r="AV382" s="14"/>
      <c r="AW382" s="14"/>
      <c r="AX382" s="14"/>
      <c r="AY382" s="14"/>
      <c r="AZ382" s="14"/>
      <c r="BA382" s="14"/>
      <c r="BB382" s="14"/>
      <c r="BC382" s="14"/>
      <c r="BD382" s="14"/>
      <c r="BE382" s="14"/>
      <c r="BF382" s="14"/>
      <c r="BG382" s="14"/>
      <c r="BH382" s="14"/>
      <c r="BI382" s="14"/>
    </row>
    <row r="383" spans="1:6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t="e">
        <f>IF('Fund Data'!$H$2,IF(ISNUMBER(AK383),AK383,NA()),NA())</f>
        <v>#N/A</v>
      </c>
      <c r="AO383" s="14"/>
      <c r="AP383" s="14"/>
      <c r="AQ383" s="14"/>
      <c r="AR383" s="14"/>
      <c r="AS383" s="14"/>
      <c r="AT383" s="14"/>
      <c r="AU383" s="14"/>
      <c r="AV383" s="14"/>
      <c r="AW383" s="14"/>
      <c r="AX383" s="14"/>
      <c r="AY383" s="14"/>
      <c r="AZ383" s="14"/>
      <c r="BA383" s="14"/>
      <c r="BB383" s="14"/>
      <c r="BC383" s="14"/>
      <c r="BD383" s="14"/>
      <c r="BE383" s="14"/>
      <c r="BF383" s="14"/>
      <c r="BG383" s="14"/>
      <c r="BH383" s="14"/>
      <c r="BI383" s="14"/>
    </row>
    <row r="384" spans="1:6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t="e">
        <f>IF('Fund Data'!$H$2,IF(ISNUMBER(AK384),AK384,NA()),NA())</f>
        <v>#N/A</v>
      </c>
      <c r="AO384" s="14"/>
      <c r="AP384" s="14"/>
      <c r="AQ384" s="14"/>
      <c r="AR384" s="14"/>
      <c r="AS384" s="14"/>
      <c r="AT384" s="14"/>
      <c r="AU384" s="14"/>
      <c r="AV384" s="14"/>
      <c r="AW384" s="14"/>
      <c r="AX384" s="14"/>
      <c r="AY384" s="14"/>
      <c r="AZ384" s="14"/>
      <c r="BA384" s="14"/>
      <c r="BB384" s="14"/>
      <c r="BC384" s="14"/>
      <c r="BD384" s="14"/>
      <c r="BE384" s="14"/>
      <c r="BF384" s="14"/>
      <c r="BG384" s="14"/>
      <c r="BH384" s="14"/>
      <c r="BI384" s="14"/>
    </row>
    <row r="385" spans="1:6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t="e">
        <f>IF('Fund Data'!$H$2,IF(ISNUMBER(AK385),AK385,NA()),NA())</f>
        <v>#N/A</v>
      </c>
      <c r="AO385" s="14"/>
      <c r="AP385" s="14"/>
      <c r="AQ385" s="14"/>
      <c r="AR385" s="14"/>
      <c r="AS385" s="14"/>
      <c r="AT385" s="14"/>
      <c r="AU385" s="14"/>
      <c r="AV385" s="14"/>
      <c r="AW385" s="14"/>
      <c r="AX385" s="14"/>
      <c r="AY385" s="14"/>
      <c r="AZ385" s="14"/>
      <c r="BA385" s="14"/>
      <c r="BB385" s="14"/>
      <c r="BC385" s="14"/>
      <c r="BD385" s="14"/>
      <c r="BE385" s="14"/>
      <c r="BF385" s="14"/>
      <c r="BG385" s="14"/>
      <c r="BH385" s="14"/>
      <c r="BI385" s="14"/>
    </row>
    <row r="386" spans="1:6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t="e">
        <f>IF('Fund Data'!$H$2,IF(ISNUMBER(AK386),AK386,NA()),NA())</f>
        <v>#N/A</v>
      </c>
      <c r="AO386" s="14"/>
      <c r="AP386" s="14"/>
      <c r="AQ386" s="14"/>
      <c r="AR386" s="14"/>
      <c r="AS386" s="14"/>
      <c r="AT386" s="14"/>
      <c r="AU386" s="14"/>
      <c r="AV386" s="14"/>
      <c r="AW386" s="14"/>
      <c r="AX386" s="14"/>
      <c r="AY386" s="14"/>
      <c r="AZ386" s="14"/>
      <c r="BA386" s="14"/>
      <c r="BB386" s="14"/>
      <c r="BC386" s="14"/>
      <c r="BD386" s="14"/>
      <c r="BE386" s="14"/>
      <c r="BF386" s="14"/>
      <c r="BG386" s="14"/>
      <c r="BH386" s="14"/>
      <c r="BI386" s="14"/>
    </row>
    <row r="387" spans="1:6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t="e">
        <f>IF('Fund Data'!$H$2,IF(ISNUMBER(AK387),AK387,NA()),NA())</f>
        <v>#N/A</v>
      </c>
      <c r="AO387" s="14"/>
      <c r="AP387" s="14"/>
      <c r="AQ387" s="14"/>
      <c r="AR387" s="14"/>
      <c r="AS387" s="14"/>
      <c r="AT387" s="14"/>
      <c r="AU387" s="14"/>
      <c r="AV387" s="14"/>
      <c r="AW387" s="14"/>
      <c r="AX387" s="14"/>
      <c r="AY387" s="14"/>
      <c r="AZ387" s="14"/>
      <c r="BA387" s="14"/>
      <c r="BB387" s="14"/>
      <c r="BC387" s="14"/>
      <c r="BD387" s="14"/>
      <c r="BE387" s="14"/>
      <c r="BF387" s="14"/>
      <c r="BG387" s="14"/>
      <c r="BH387" s="14"/>
      <c r="BI387" s="14"/>
    </row>
    <row r="388" spans="1:6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t="e">
        <f>IF('Fund Data'!$H$2,IF(ISNUMBER(AK388),AK388,NA()),NA())</f>
        <v>#N/A</v>
      </c>
      <c r="AO388" s="14"/>
      <c r="AP388" s="14"/>
      <c r="AQ388" s="14"/>
      <c r="AR388" s="14"/>
      <c r="AS388" s="14"/>
      <c r="AT388" s="14"/>
      <c r="AU388" s="14"/>
      <c r="AV388" s="14"/>
      <c r="AW388" s="14"/>
      <c r="AX388" s="14"/>
      <c r="AY388" s="14"/>
      <c r="AZ388" s="14"/>
      <c r="BA388" s="14"/>
      <c r="BB388" s="14"/>
      <c r="BC388" s="14"/>
      <c r="BD388" s="14"/>
      <c r="BE388" s="14"/>
      <c r="BF388" s="14"/>
      <c r="BG388" s="14"/>
      <c r="BH388" s="14"/>
      <c r="BI388" s="14"/>
    </row>
    <row r="389" spans="1:6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t="e">
        <f>IF('Fund Data'!$H$2,IF(ISNUMBER(AK389),AK389,NA()),NA())</f>
        <v>#N/A</v>
      </c>
      <c r="AO389" s="14"/>
      <c r="AP389" s="14"/>
      <c r="AQ389" s="14"/>
      <c r="AR389" s="14"/>
      <c r="AS389" s="14"/>
      <c r="AT389" s="14"/>
      <c r="AU389" s="14"/>
      <c r="AV389" s="14"/>
      <c r="AW389" s="14"/>
      <c r="AX389" s="14"/>
      <c r="AY389" s="14"/>
      <c r="AZ389" s="14"/>
      <c r="BA389" s="14"/>
      <c r="BB389" s="14"/>
      <c r="BC389" s="14"/>
      <c r="BD389" s="14"/>
      <c r="BE389" s="14"/>
      <c r="BF389" s="14"/>
      <c r="BG389" s="14"/>
      <c r="BH389" s="14"/>
      <c r="BI389" s="14"/>
    </row>
    <row r="390" spans="1:6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t="e">
        <f>IF('Fund Data'!$H$2,IF(ISNUMBER(AK390),AK390,NA()),NA())</f>
        <v>#N/A</v>
      </c>
      <c r="AO390" s="14"/>
      <c r="AP390" s="14"/>
      <c r="AQ390" s="14"/>
      <c r="AR390" s="14"/>
      <c r="AS390" s="14"/>
      <c r="AT390" s="14"/>
      <c r="AU390" s="14"/>
      <c r="AV390" s="14"/>
      <c r="AW390" s="14"/>
      <c r="AX390" s="14"/>
      <c r="AY390" s="14"/>
      <c r="AZ390" s="14"/>
      <c r="BA390" s="14"/>
      <c r="BB390" s="14"/>
      <c r="BC390" s="14"/>
      <c r="BD390" s="14"/>
      <c r="BE390" s="14"/>
      <c r="BF390" s="14"/>
      <c r="BG390" s="14"/>
      <c r="BH390" s="14"/>
      <c r="BI390" s="14"/>
    </row>
    <row r="391" spans="1:6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t="e">
        <f>IF('Fund Data'!$H$2,IF(ISNUMBER(AK391),AK391,NA()),NA())</f>
        <v>#N/A</v>
      </c>
      <c r="AO391" s="14"/>
      <c r="AP391" s="14"/>
      <c r="AQ391" s="14"/>
      <c r="AR391" s="14"/>
      <c r="AS391" s="14"/>
      <c r="AT391" s="14"/>
      <c r="AU391" s="14"/>
      <c r="AV391" s="14"/>
      <c r="AW391" s="14"/>
      <c r="AX391" s="14"/>
      <c r="AY391" s="14"/>
      <c r="AZ391" s="14"/>
      <c r="BA391" s="14"/>
      <c r="BB391" s="14"/>
      <c r="BC391" s="14"/>
      <c r="BD391" s="14"/>
      <c r="BE391" s="14"/>
      <c r="BF391" s="14"/>
      <c r="BG391" s="14"/>
      <c r="BH391" s="14"/>
      <c r="BI391" s="14"/>
    </row>
    <row r="392" spans="1:6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t="e">
        <f>IF('Fund Data'!$H$2,IF(ISNUMBER(AK392),AK392,NA()),NA())</f>
        <v>#N/A</v>
      </c>
      <c r="AO392" s="14"/>
      <c r="AP392" s="14"/>
      <c r="AQ392" s="14"/>
      <c r="AR392" s="14"/>
      <c r="AS392" s="14"/>
      <c r="AT392" s="14"/>
      <c r="AU392" s="14"/>
      <c r="AV392" s="14"/>
      <c r="AW392" s="14"/>
      <c r="AX392" s="14"/>
      <c r="AY392" s="14"/>
      <c r="AZ392" s="14"/>
      <c r="BA392" s="14"/>
      <c r="BB392" s="14"/>
      <c r="BC392" s="14"/>
      <c r="BD392" s="14"/>
      <c r="BE392" s="14"/>
      <c r="BF392" s="14"/>
      <c r="BG392" s="14"/>
      <c r="BH392" s="14"/>
      <c r="BI392" s="14"/>
    </row>
    <row r="393" spans="1:6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t="e">
        <f>IF('Fund Data'!$H$2,IF(ISNUMBER(AK393),AK393,NA()),NA())</f>
        <v>#N/A</v>
      </c>
      <c r="AO393" s="14"/>
      <c r="AP393" s="14"/>
      <c r="AQ393" s="14"/>
      <c r="AR393" s="14"/>
      <c r="AS393" s="14"/>
      <c r="AT393" s="14"/>
      <c r="AU393" s="14"/>
      <c r="AV393" s="14"/>
      <c r="AW393" s="14"/>
      <c r="AX393" s="14"/>
      <c r="AY393" s="14"/>
      <c r="AZ393" s="14"/>
      <c r="BA393" s="14"/>
      <c r="BB393" s="14"/>
      <c r="BC393" s="14"/>
      <c r="BD393" s="14"/>
      <c r="BE393" s="14"/>
      <c r="BF393" s="14"/>
      <c r="BG393" s="14"/>
      <c r="BH393" s="14"/>
      <c r="BI393" s="14"/>
    </row>
    <row r="394" spans="1:6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t="e">
        <f>IF('Fund Data'!$H$2,IF(ISNUMBER(AK394),AK394,NA()),NA())</f>
        <v>#N/A</v>
      </c>
      <c r="AO394" s="14"/>
      <c r="AP394" s="14"/>
      <c r="AQ394" s="14"/>
      <c r="AR394" s="14"/>
      <c r="AS394" s="14"/>
      <c r="AT394" s="14"/>
      <c r="AU394" s="14"/>
      <c r="AV394" s="14"/>
      <c r="AW394" s="14"/>
      <c r="AX394" s="14"/>
      <c r="AY394" s="14"/>
      <c r="AZ394" s="14"/>
      <c r="BA394" s="14"/>
      <c r="BB394" s="14"/>
      <c r="BC394" s="14"/>
      <c r="BD394" s="14"/>
      <c r="BE394" s="14"/>
      <c r="BF394" s="14"/>
      <c r="BG394" s="14"/>
      <c r="BH394" s="14"/>
      <c r="BI394" s="14"/>
    </row>
    <row r="395" spans="1:6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t="e">
        <f>IF('Fund Data'!$H$2,IF(ISNUMBER(AK395),AK395,NA()),NA())</f>
        <v>#N/A</v>
      </c>
      <c r="AO395" s="14"/>
      <c r="AP395" s="14"/>
      <c r="AQ395" s="14"/>
      <c r="AR395" s="14"/>
      <c r="AS395" s="14"/>
      <c r="AT395" s="14"/>
      <c r="AU395" s="14"/>
      <c r="AV395" s="14"/>
      <c r="AW395" s="14"/>
      <c r="AX395" s="14"/>
      <c r="AY395" s="14"/>
      <c r="AZ395" s="14"/>
      <c r="BA395" s="14"/>
      <c r="BB395" s="14"/>
      <c r="BC395" s="14"/>
      <c r="BD395" s="14"/>
      <c r="BE395" s="14"/>
      <c r="BF395" s="14"/>
      <c r="BG395" s="14"/>
      <c r="BH395" s="14"/>
      <c r="BI395" s="14"/>
    </row>
    <row r="396" spans="1:6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t="e">
        <f>IF('Fund Data'!$H$2,IF(ISNUMBER(AK396),AK396,NA()),NA())</f>
        <v>#N/A</v>
      </c>
      <c r="AO396" s="14"/>
      <c r="AP396" s="14"/>
      <c r="AQ396" s="14"/>
      <c r="AR396" s="14"/>
      <c r="AS396" s="14"/>
      <c r="AT396" s="14"/>
      <c r="AU396" s="14"/>
      <c r="AV396" s="14"/>
      <c r="AW396" s="14"/>
      <c r="AX396" s="14"/>
      <c r="AY396" s="14"/>
      <c r="AZ396" s="14"/>
      <c r="BA396" s="14"/>
      <c r="BB396" s="14"/>
      <c r="BC396" s="14"/>
      <c r="BD396" s="14"/>
      <c r="BE396" s="14"/>
      <c r="BF396" s="14"/>
      <c r="BG396" s="14"/>
      <c r="BH396" s="14"/>
      <c r="BI396" s="14"/>
    </row>
    <row r="397" spans="1:6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t="e">
        <f>IF('Fund Data'!$H$2,IF(ISNUMBER(AK397),AK397,NA()),NA())</f>
        <v>#N/A</v>
      </c>
      <c r="AO397" s="14"/>
      <c r="AP397" s="14"/>
      <c r="AQ397" s="14"/>
      <c r="AR397" s="14"/>
      <c r="AS397" s="14"/>
      <c r="AT397" s="14"/>
      <c r="AU397" s="14"/>
      <c r="AV397" s="14"/>
      <c r="AW397" s="14"/>
      <c r="AX397" s="14"/>
      <c r="AY397" s="14"/>
      <c r="AZ397" s="14"/>
      <c r="BA397" s="14"/>
      <c r="BB397" s="14"/>
      <c r="BC397" s="14"/>
      <c r="BD397" s="14"/>
      <c r="BE397" s="14"/>
      <c r="BF397" s="14"/>
      <c r="BG397" s="14"/>
      <c r="BH397" s="14"/>
      <c r="BI397" s="14"/>
    </row>
    <row r="398" spans="1:6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t="e">
        <f>IF('Fund Data'!$H$2,IF(ISNUMBER(AK398),AK398,NA()),NA())</f>
        <v>#N/A</v>
      </c>
      <c r="AO398" s="14"/>
      <c r="AP398" s="14"/>
      <c r="AQ398" s="14"/>
      <c r="AR398" s="14"/>
      <c r="AS398" s="14"/>
      <c r="AT398" s="14"/>
      <c r="AU398" s="14"/>
      <c r="AV398" s="14"/>
      <c r="AW398" s="14"/>
      <c r="AX398" s="14"/>
      <c r="AY398" s="14"/>
      <c r="AZ398" s="14"/>
      <c r="BA398" s="14"/>
      <c r="BB398" s="14"/>
      <c r="BC398" s="14"/>
      <c r="BD398" s="14"/>
      <c r="BE398" s="14"/>
      <c r="BF398" s="14"/>
      <c r="BG398" s="14"/>
      <c r="BH398" s="14"/>
      <c r="BI398" s="14"/>
    </row>
    <row r="399" spans="1:6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t="e">
        <f>IF('Fund Data'!$H$2,IF(ISNUMBER(AK399),AK399,NA()),NA())</f>
        <v>#N/A</v>
      </c>
      <c r="AO399" s="14"/>
      <c r="AP399" s="14"/>
      <c r="AQ399" s="14"/>
      <c r="AR399" s="14"/>
      <c r="AS399" s="14"/>
      <c r="AT399" s="14"/>
      <c r="AU399" s="14"/>
      <c r="AV399" s="14"/>
      <c r="AW399" s="14"/>
      <c r="AX399" s="14"/>
      <c r="AY399" s="14"/>
      <c r="AZ399" s="14"/>
      <c r="BA399" s="14"/>
      <c r="BB399" s="14"/>
      <c r="BC399" s="14"/>
      <c r="BD399" s="14"/>
      <c r="BE399" s="14"/>
      <c r="BF399" s="14"/>
      <c r="BG399" s="14"/>
      <c r="BH399" s="14"/>
      <c r="BI399" s="14"/>
    </row>
    <row r="400" spans="1:6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t="e">
        <f>IF('Fund Data'!$H$2,IF(ISNUMBER(AK400),AK400,NA()),NA())</f>
        <v>#N/A</v>
      </c>
      <c r="AO400" s="14"/>
      <c r="AP400" s="14"/>
      <c r="AQ400" s="14"/>
      <c r="AR400" s="14"/>
      <c r="AS400" s="14"/>
      <c r="AT400" s="14"/>
      <c r="AU400" s="14"/>
      <c r="AV400" s="14"/>
      <c r="AW400" s="14"/>
      <c r="AX400" s="14"/>
      <c r="AY400" s="14"/>
      <c r="AZ400" s="14"/>
      <c r="BA400" s="14"/>
      <c r="BB400" s="14"/>
      <c r="BC400" s="14"/>
      <c r="BD400" s="14"/>
      <c r="BE400" s="14"/>
      <c r="BF400" s="14"/>
      <c r="BG400" s="14"/>
      <c r="BH400" s="14"/>
      <c r="BI400" s="14"/>
    </row>
    <row r="401" spans="1:6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t="e">
        <f>IF('Fund Data'!$H$2,IF(ISNUMBER(AK401),AK401,NA()),NA())</f>
        <v>#N/A</v>
      </c>
      <c r="AO401" s="14"/>
      <c r="AP401" s="14"/>
      <c r="AQ401" s="14"/>
      <c r="AR401" s="14"/>
      <c r="AS401" s="14"/>
      <c r="AT401" s="14"/>
      <c r="AU401" s="14"/>
      <c r="AV401" s="14"/>
      <c r="AW401" s="14"/>
      <c r="AX401" s="14"/>
      <c r="AY401" s="14"/>
      <c r="AZ401" s="14"/>
      <c r="BA401" s="14"/>
      <c r="BB401" s="14"/>
      <c r="BC401" s="14"/>
      <c r="BD401" s="14"/>
      <c r="BE401" s="14"/>
      <c r="BF401" s="14"/>
      <c r="BG401" s="14"/>
      <c r="BH401" s="14"/>
      <c r="BI401" s="14"/>
    </row>
    <row r="402" spans="1:6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t="e">
        <f>IF('Fund Data'!$H$2,IF(ISNUMBER(AK402),AK402,NA()),NA())</f>
        <v>#N/A</v>
      </c>
      <c r="AO402" s="14"/>
      <c r="AP402" s="14"/>
      <c r="AQ402" s="14"/>
      <c r="AR402" s="14"/>
      <c r="AS402" s="14"/>
      <c r="AT402" s="14"/>
      <c r="AU402" s="14"/>
      <c r="AV402" s="14"/>
      <c r="AW402" s="14"/>
      <c r="AX402" s="14"/>
      <c r="AY402" s="14"/>
      <c r="AZ402" s="14"/>
      <c r="BA402" s="14"/>
      <c r="BB402" s="14"/>
      <c r="BC402" s="14"/>
      <c r="BD402" s="14"/>
      <c r="BE402" s="14"/>
      <c r="BF402" s="14"/>
      <c r="BG402" s="14"/>
      <c r="BH402" s="14"/>
      <c r="BI402" s="14"/>
    </row>
    <row r="403" spans="1:6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t="e">
        <f>IF('Fund Data'!$H$2,IF(ISNUMBER(AK403),AK403,NA()),NA())</f>
        <v>#N/A</v>
      </c>
      <c r="AO403" s="14"/>
      <c r="AP403" s="14"/>
      <c r="AQ403" s="14"/>
      <c r="AR403" s="14"/>
      <c r="AS403" s="14"/>
      <c r="AT403" s="14"/>
      <c r="AU403" s="14"/>
      <c r="AV403" s="14"/>
      <c r="AW403" s="14"/>
      <c r="AX403" s="14"/>
      <c r="AY403" s="14"/>
      <c r="AZ403" s="14"/>
      <c r="BA403" s="14"/>
      <c r="BB403" s="14"/>
      <c r="BC403" s="14"/>
      <c r="BD403" s="14"/>
      <c r="BE403" s="14"/>
      <c r="BF403" s="14"/>
      <c r="BG403" s="14"/>
      <c r="BH403" s="14"/>
      <c r="BI403" s="14"/>
    </row>
    <row r="404" spans="1:6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t="e">
        <f>IF('Fund Data'!$H$2,IF(ISNUMBER(AK404),AK404,NA()),NA())</f>
        <v>#N/A</v>
      </c>
      <c r="AO404" s="14"/>
      <c r="AP404" s="14"/>
      <c r="AQ404" s="14"/>
      <c r="AR404" s="14"/>
      <c r="AS404" s="14"/>
      <c r="AT404" s="14"/>
      <c r="AU404" s="14"/>
      <c r="AV404" s="14"/>
      <c r="AW404" s="14"/>
      <c r="AX404" s="14"/>
      <c r="AY404" s="14"/>
      <c r="AZ404" s="14"/>
      <c r="BA404" s="14"/>
      <c r="BB404" s="14"/>
      <c r="BC404" s="14"/>
      <c r="BD404" s="14"/>
      <c r="BE404" s="14"/>
      <c r="BF404" s="14"/>
      <c r="BG404" s="14"/>
      <c r="BH404" s="14"/>
      <c r="BI404" s="14"/>
    </row>
    <row r="405" spans="1:6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t="e">
        <f>IF('Fund Data'!$H$2,IF(ISNUMBER(AK405),AK405,NA()),NA())</f>
        <v>#N/A</v>
      </c>
      <c r="AO405" s="14"/>
      <c r="AP405" s="14"/>
      <c r="AQ405" s="14"/>
      <c r="AR405" s="14"/>
      <c r="AS405" s="14"/>
      <c r="AT405" s="14"/>
      <c r="AU405" s="14"/>
      <c r="AV405" s="14"/>
      <c r="AW405" s="14"/>
      <c r="AX405" s="14"/>
      <c r="AY405" s="14"/>
      <c r="AZ405" s="14"/>
      <c r="BA405" s="14"/>
      <c r="BB405" s="14"/>
      <c r="BC405" s="14"/>
      <c r="BD405" s="14"/>
      <c r="BE405" s="14"/>
      <c r="BF405" s="14"/>
      <c r="BG405" s="14"/>
      <c r="BH405" s="14"/>
      <c r="BI405" s="14"/>
    </row>
    <row r="406" spans="1:6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t="e">
        <f>IF('Fund Data'!$H$2,IF(ISNUMBER(AK406),AK406,NA()),NA())</f>
        <v>#N/A</v>
      </c>
      <c r="AO406" s="14"/>
      <c r="AP406" s="14"/>
      <c r="AQ406" s="14"/>
      <c r="AR406" s="14"/>
      <c r="AS406" s="14"/>
      <c r="AT406" s="14"/>
      <c r="AU406" s="14"/>
      <c r="AV406" s="14"/>
      <c r="AW406" s="14"/>
      <c r="AX406" s="14"/>
      <c r="AY406" s="14"/>
      <c r="AZ406" s="14"/>
      <c r="BA406" s="14"/>
      <c r="BB406" s="14"/>
      <c r="BC406" s="14"/>
      <c r="BD406" s="14"/>
      <c r="BE406" s="14"/>
      <c r="BF406" s="14"/>
      <c r="BG406" s="14"/>
      <c r="BH406" s="14"/>
      <c r="BI406" s="14"/>
    </row>
    <row r="407" spans="1:6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t="e">
        <f>IF('Fund Data'!$H$2,IF(ISNUMBER(AK407),AK407,NA()),NA())</f>
        <v>#N/A</v>
      </c>
      <c r="AO407" s="14"/>
      <c r="AP407" s="14"/>
      <c r="AQ407" s="14"/>
      <c r="AR407" s="14"/>
      <c r="AS407" s="14"/>
      <c r="AT407" s="14"/>
      <c r="AU407" s="14"/>
      <c r="AV407" s="14"/>
      <c r="AW407" s="14"/>
      <c r="AX407" s="14"/>
      <c r="AY407" s="14"/>
      <c r="AZ407" s="14"/>
      <c r="BA407" s="14"/>
      <c r="BB407" s="14"/>
      <c r="BC407" s="14"/>
      <c r="BD407" s="14"/>
      <c r="BE407" s="14"/>
      <c r="BF407" s="14"/>
      <c r="BG407" s="14"/>
      <c r="BH407" s="14"/>
      <c r="BI407" s="14"/>
    </row>
    <row r="408" spans="1:6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t="e">
        <f>IF('Fund Data'!$H$2,IF(ISNUMBER(AK408),AK408,NA()),NA())</f>
        <v>#N/A</v>
      </c>
      <c r="AO408" s="14"/>
      <c r="AP408" s="14"/>
      <c r="AQ408" s="14"/>
      <c r="AR408" s="14"/>
      <c r="AS408" s="14"/>
      <c r="AT408" s="14"/>
      <c r="AU408" s="14"/>
      <c r="AV408" s="14"/>
      <c r="AW408" s="14"/>
      <c r="AX408" s="14"/>
      <c r="AY408" s="14"/>
      <c r="AZ408" s="14"/>
      <c r="BA408" s="14"/>
      <c r="BB408" s="14"/>
      <c r="BC408" s="14"/>
      <c r="BD408" s="14"/>
      <c r="BE408" s="14"/>
      <c r="BF408" s="14"/>
      <c r="BG408" s="14"/>
      <c r="BH408" s="14"/>
      <c r="BI408" s="14"/>
    </row>
    <row r="409" spans="1:6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t="e">
        <f>IF('Fund Data'!$H$2,IF(ISNUMBER(AK409),AK409,NA()),NA())</f>
        <v>#N/A</v>
      </c>
      <c r="AO409" s="14"/>
      <c r="AP409" s="14"/>
      <c r="AQ409" s="14"/>
      <c r="AR409" s="14"/>
      <c r="AS409" s="14"/>
      <c r="AT409" s="14"/>
      <c r="AU409" s="14"/>
      <c r="AV409" s="14"/>
      <c r="AW409" s="14"/>
      <c r="AX409" s="14"/>
      <c r="AY409" s="14"/>
      <c r="AZ409" s="14"/>
      <c r="BA409" s="14"/>
      <c r="BB409" s="14"/>
      <c r="BC409" s="14"/>
      <c r="BD409" s="14"/>
      <c r="BE409" s="14"/>
      <c r="BF409" s="14"/>
      <c r="BG409" s="14"/>
      <c r="BH409" s="14"/>
      <c r="BI409" s="14"/>
    </row>
    <row r="410" spans="1:6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t="e">
        <f>IF('Fund Data'!$H$2,IF(ISNUMBER(AK410),AK410,NA()),NA())</f>
        <v>#N/A</v>
      </c>
      <c r="AO410" s="14"/>
      <c r="AP410" s="14"/>
      <c r="AQ410" s="14"/>
      <c r="AR410" s="14"/>
      <c r="AS410" s="14"/>
      <c r="AT410" s="14"/>
      <c r="AU410" s="14"/>
      <c r="AV410" s="14"/>
      <c r="AW410" s="14"/>
      <c r="AX410" s="14"/>
      <c r="AY410" s="14"/>
      <c r="AZ410" s="14"/>
      <c r="BA410" s="14"/>
      <c r="BB410" s="14"/>
      <c r="BC410" s="14"/>
      <c r="BD410" s="14"/>
      <c r="BE410" s="14"/>
      <c r="BF410" s="14"/>
      <c r="BG410" s="14"/>
      <c r="BH410" s="14"/>
      <c r="BI410" s="14"/>
    </row>
    <row r="411" spans="1:6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t="e">
        <f>IF('Fund Data'!$H$2,IF(ISNUMBER(AK411),AK411,NA()),NA())</f>
        <v>#N/A</v>
      </c>
      <c r="AO411" s="14"/>
      <c r="AP411" s="14"/>
      <c r="AQ411" s="14"/>
      <c r="AR411" s="14"/>
      <c r="AS411" s="14"/>
      <c r="AT411" s="14"/>
      <c r="AU411" s="14"/>
      <c r="AV411" s="14"/>
      <c r="AW411" s="14"/>
      <c r="AX411" s="14"/>
      <c r="AY411" s="14"/>
      <c r="AZ411" s="14"/>
      <c r="BA411" s="14"/>
      <c r="BB411" s="14"/>
      <c r="BC411" s="14"/>
      <c r="BD411" s="14"/>
      <c r="BE411" s="14"/>
      <c r="BF411" s="14"/>
      <c r="BG411" s="14"/>
      <c r="BH411" s="14"/>
      <c r="BI411" s="14"/>
    </row>
    <row r="412" spans="1:6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t="e">
        <f>IF('Fund Data'!$H$2,IF(ISNUMBER(AK412),AK412,NA()),NA())</f>
        <v>#N/A</v>
      </c>
      <c r="AO412" s="14"/>
      <c r="AP412" s="14"/>
      <c r="AQ412" s="14"/>
      <c r="AR412" s="14"/>
      <c r="AS412" s="14"/>
      <c r="AT412" s="14"/>
      <c r="AU412" s="14"/>
      <c r="AV412" s="14"/>
      <c r="AW412" s="14"/>
      <c r="AX412" s="14"/>
      <c r="AY412" s="14"/>
      <c r="AZ412" s="14"/>
      <c r="BA412" s="14"/>
      <c r="BB412" s="14"/>
      <c r="BC412" s="14"/>
      <c r="BD412" s="14"/>
      <c r="BE412" s="14"/>
      <c r="BF412" s="14"/>
      <c r="BG412" s="14"/>
      <c r="BH412" s="14"/>
      <c r="BI412" s="14"/>
    </row>
    <row r="413" spans="1:6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t="e">
        <f>IF('Fund Data'!$H$2,IF(ISNUMBER(AK413),AK413,NA()),NA())</f>
        <v>#N/A</v>
      </c>
      <c r="AO413" s="14"/>
      <c r="AP413" s="14"/>
      <c r="AQ413" s="14"/>
      <c r="AR413" s="14"/>
      <c r="AS413" s="14"/>
      <c r="AT413" s="14"/>
      <c r="AU413" s="14"/>
      <c r="AV413" s="14"/>
      <c r="AW413" s="14"/>
      <c r="AX413" s="14"/>
      <c r="AY413" s="14"/>
      <c r="AZ413" s="14"/>
      <c r="BA413" s="14"/>
      <c r="BB413" s="14"/>
      <c r="BC413" s="14"/>
      <c r="BD413" s="14"/>
      <c r="BE413" s="14"/>
      <c r="BF413" s="14"/>
      <c r="BG413" s="14"/>
      <c r="BH413" s="14"/>
      <c r="BI413" s="14"/>
    </row>
    <row r="414" spans="1:6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t="e">
        <f>IF('Fund Data'!$H$2,IF(ISNUMBER(AK414),AK414,NA()),NA())</f>
        <v>#N/A</v>
      </c>
      <c r="AO414" s="14"/>
      <c r="AP414" s="14"/>
      <c r="AQ414" s="14"/>
      <c r="AR414" s="14"/>
      <c r="AS414" s="14"/>
      <c r="AT414" s="14"/>
      <c r="AU414" s="14"/>
      <c r="AV414" s="14"/>
      <c r="AW414" s="14"/>
      <c r="AX414" s="14"/>
      <c r="AY414" s="14"/>
      <c r="AZ414" s="14"/>
      <c r="BA414" s="14"/>
      <c r="BB414" s="14"/>
      <c r="BC414" s="14"/>
      <c r="BD414" s="14"/>
      <c r="BE414" s="14"/>
      <c r="BF414" s="14"/>
      <c r="BG414" s="14"/>
      <c r="BH414" s="14"/>
      <c r="BI414" s="14"/>
    </row>
    <row r="415" spans="1:6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t="e">
        <f>IF('Fund Data'!$H$2,IF(ISNUMBER(AK415),AK415,NA()),NA())</f>
        <v>#N/A</v>
      </c>
      <c r="AO415" s="14"/>
      <c r="AP415" s="14"/>
      <c r="AQ415" s="14"/>
      <c r="AR415" s="14"/>
      <c r="AS415" s="14"/>
      <c r="AT415" s="14"/>
      <c r="AU415" s="14"/>
      <c r="AV415" s="14"/>
      <c r="AW415" s="14"/>
      <c r="AX415" s="14"/>
      <c r="AY415" s="14"/>
      <c r="AZ415" s="14"/>
      <c r="BA415" s="14"/>
      <c r="BB415" s="14"/>
      <c r="BC415" s="14"/>
      <c r="BD415" s="14"/>
      <c r="BE415" s="14"/>
      <c r="BF415" s="14"/>
      <c r="BG415" s="14"/>
      <c r="BH415" s="14"/>
      <c r="BI415" s="14"/>
    </row>
    <row r="416" spans="1:6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t="e">
        <f>IF('Fund Data'!$H$2,IF(ISNUMBER(AK416),AK416,NA()),NA())</f>
        <v>#N/A</v>
      </c>
      <c r="AO416" s="14"/>
      <c r="AP416" s="14"/>
      <c r="AQ416" s="14"/>
      <c r="AR416" s="14"/>
      <c r="AS416" s="14"/>
      <c r="AT416" s="14"/>
      <c r="AU416" s="14"/>
      <c r="AV416" s="14"/>
      <c r="AW416" s="14"/>
      <c r="AX416" s="14"/>
      <c r="AY416" s="14"/>
      <c r="AZ416" s="14"/>
      <c r="BA416" s="14"/>
      <c r="BB416" s="14"/>
      <c r="BC416" s="14"/>
      <c r="BD416" s="14"/>
      <c r="BE416" s="14"/>
      <c r="BF416" s="14"/>
      <c r="BG416" s="14"/>
      <c r="BH416" s="14"/>
      <c r="BI416" s="14"/>
    </row>
    <row r="417" spans="1:6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t="e">
        <f>IF('Fund Data'!$H$2,IF(ISNUMBER(AK417),AK417,NA()),NA())</f>
        <v>#N/A</v>
      </c>
      <c r="AO417" s="14"/>
      <c r="AP417" s="14"/>
      <c r="AQ417" s="14"/>
      <c r="AR417" s="14"/>
      <c r="AS417" s="14"/>
      <c r="AT417" s="14"/>
      <c r="AU417" s="14"/>
      <c r="AV417" s="14"/>
      <c r="AW417" s="14"/>
      <c r="AX417" s="14"/>
      <c r="AY417" s="14"/>
      <c r="AZ417" s="14"/>
      <c r="BA417" s="14"/>
      <c r="BB417" s="14"/>
      <c r="BC417" s="14"/>
      <c r="BD417" s="14"/>
      <c r="BE417" s="14"/>
      <c r="BF417" s="14"/>
      <c r="BG417" s="14"/>
      <c r="BH417" s="14"/>
      <c r="BI417" s="14"/>
    </row>
    <row r="418" spans="1:6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t="e">
        <f>IF('Fund Data'!$H$2,IF(ISNUMBER(AK418),AK418,NA()),NA())</f>
        <v>#N/A</v>
      </c>
      <c r="AO418" s="14"/>
      <c r="AP418" s="14"/>
      <c r="AQ418" s="14"/>
      <c r="AR418" s="14"/>
      <c r="AS418" s="14"/>
      <c r="AT418" s="14"/>
      <c r="AU418" s="14"/>
      <c r="AV418" s="14"/>
      <c r="AW418" s="14"/>
      <c r="AX418" s="14"/>
      <c r="AY418" s="14"/>
      <c r="AZ418" s="14"/>
      <c r="BA418" s="14"/>
      <c r="BB418" s="14"/>
      <c r="BC418" s="14"/>
      <c r="BD418" s="14"/>
      <c r="BE418" s="14"/>
      <c r="BF418" s="14"/>
      <c r="BG418" s="14"/>
      <c r="BH418" s="14"/>
      <c r="BI418" s="14"/>
    </row>
    <row r="419" spans="1:6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t="e">
        <f>IF('Fund Data'!$H$2,IF(ISNUMBER(AK419),AK419,NA()),NA())</f>
        <v>#N/A</v>
      </c>
      <c r="AO419" s="14"/>
      <c r="AP419" s="14"/>
      <c r="AQ419" s="14"/>
      <c r="AR419" s="14"/>
      <c r="AS419" s="14"/>
      <c r="AT419" s="14"/>
      <c r="AU419" s="14"/>
      <c r="AV419" s="14"/>
      <c r="AW419" s="14"/>
      <c r="AX419" s="14"/>
      <c r="AY419" s="14"/>
      <c r="AZ419" s="14"/>
      <c r="BA419" s="14"/>
      <c r="BB419" s="14"/>
      <c r="BC419" s="14"/>
      <c r="BD419" s="14"/>
      <c r="BE419" s="14"/>
      <c r="BF419" s="14"/>
      <c r="BG419" s="14"/>
      <c r="BH419" s="14"/>
      <c r="BI419" s="14"/>
    </row>
    <row r="420" spans="1:6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t="e">
        <f>IF('Fund Data'!$H$2,IF(ISNUMBER(AK420),AK420,NA()),NA())</f>
        <v>#N/A</v>
      </c>
      <c r="AO420" s="14"/>
      <c r="AP420" s="14"/>
      <c r="AQ420" s="14"/>
      <c r="AR420" s="14"/>
      <c r="AS420" s="14"/>
      <c r="AT420" s="14"/>
      <c r="AU420" s="14"/>
      <c r="AV420" s="14"/>
      <c r="AW420" s="14"/>
      <c r="AX420" s="14"/>
      <c r="AY420" s="14"/>
      <c r="AZ420" s="14"/>
      <c r="BA420" s="14"/>
      <c r="BB420" s="14"/>
      <c r="BC420" s="14"/>
      <c r="BD420" s="14"/>
      <c r="BE420" s="14"/>
      <c r="BF420" s="14"/>
      <c r="BG420" s="14"/>
      <c r="BH420" s="14"/>
      <c r="BI420" s="14"/>
    </row>
    <row r="421" spans="1:6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t="e">
        <f>IF('Fund Data'!$H$2,IF(ISNUMBER(AK421),AK421,NA()),NA())</f>
        <v>#N/A</v>
      </c>
      <c r="AO421" s="14"/>
      <c r="AP421" s="14"/>
      <c r="AQ421" s="14"/>
      <c r="AR421" s="14"/>
      <c r="AS421" s="14"/>
      <c r="AT421" s="14"/>
      <c r="AU421" s="14"/>
      <c r="AV421" s="14"/>
      <c r="AW421" s="14"/>
      <c r="AX421" s="14"/>
      <c r="AY421" s="14"/>
      <c r="AZ421" s="14"/>
      <c r="BA421" s="14"/>
      <c r="BB421" s="14"/>
      <c r="BC421" s="14"/>
      <c r="BD421" s="14"/>
      <c r="BE421" s="14"/>
      <c r="BF421" s="14"/>
      <c r="BG421" s="14"/>
      <c r="BH421" s="14"/>
      <c r="BI421" s="14"/>
    </row>
    <row r="422" spans="1:6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t="e">
        <f>IF('Fund Data'!$H$2,IF(ISNUMBER(AK422),AK422,NA()),NA())</f>
        <v>#N/A</v>
      </c>
      <c r="AO422" s="14"/>
      <c r="AP422" s="14"/>
      <c r="AQ422" s="14"/>
      <c r="AR422" s="14"/>
      <c r="AS422" s="14"/>
      <c r="AT422" s="14"/>
      <c r="AU422" s="14"/>
      <c r="AV422" s="14"/>
      <c r="AW422" s="14"/>
      <c r="AX422" s="14"/>
      <c r="AY422" s="14"/>
      <c r="AZ422" s="14"/>
      <c r="BA422" s="14"/>
      <c r="BB422" s="14"/>
      <c r="BC422" s="14"/>
      <c r="BD422" s="14"/>
      <c r="BE422" s="14"/>
      <c r="BF422" s="14"/>
      <c r="BG422" s="14"/>
      <c r="BH422" s="14"/>
      <c r="BI422" s="14"/>
    </row>
    <row r="423" spans="1:6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t="e">
        <f>IF('Fund Data'!$H$2,IF(ISNUMBER(AK423),AK423,NA()),NA())</f>
        <v>#N/A</v>
      </c>
      <c r="AO423" s="14"/>
      <c r="AP423" s="14"/>
      <c r="AQ423" s="14"/>
      <c r="AR423" s="14"/>
      <c r="AS423" s="14"/>
      <c r="AT423" s="14"/>
      <c r="AU423" s="14"/>
      <c r="AV423" s="14"/>
      <c r="AW423" s="14"/>
      <c r="AX423" s="14"/>
      <c r="AY423" s="14"/>
      <c r="AZ423" s="14"/>
      <c r="BA423" s="14"/>
      <c r="BB423" s="14"/>
      <c r="BC423" s="14"/>
      <c r="BD423" s="14"/>
      <c r="BE423" s="14"/>
      <c r="BF423" s="14"/>
      <c r="BG423" s="14"/>
      <c r="BH423" s="14"/>
      <c r="BI423" s="14"/>
    </row>
    <row r="424" spans="1:6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t="e">
        <f>IF('Fund Data'!$H$2,IF(ISNUMBER(AK424),AK424,NA()),NA())</f>
        <v>#N/A</v>
      </c>
      <c r="AO424" s="14"/>
      <c r="AP424" s="14"/>
      <c r="AQ424" s="14"/>
      <c r="AR424" s="14"/>
      <c r="AS424" s="14"/>
      <c r="AT424" s="14"/>
      <c r="AU424" s="14"/>
      <c r="AV424" s="14"/>
      <c r="AW424" s="14"/>
      <c r="AX424" s="14"/>
      <c r="AY424" s="14"/>
      <c r="AZ424" s="14"/>
      <c r="BA424" s="14"/>
      <c r="BB424" s="14"/>
      <c r="BC424" s="14"/>
      <c r="BD424" s="14"/>
      <c r="BE424" s="14"/>
      <c r="BF424" s="14"/>
      <c r="BG424" s="14"/>
      <c r="BH424" s="14"/>
      <c r="BI424" s="14"/>
    </row>
    <row r="425" spans="1:6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t="e">
        <f>IF('Fund Data'!$H$2,IF(ISNUMBER(AK425),AK425,NA()),NA())</f>
        <v>#N/A</v>
      </c>
      <c r="AO425" s="14"/>
      <c r="AP425" s="14"/>
      <c r="AQ425" s="14"/>
      <c r="AR425" s="14"/>
      <c r="AS425" s="14"/>
      <c r="AT425" s="14"/>
      <c r="AU425" s="14"/>
      <c r="AV425" s="14"/>
      <c r="AW425" s="14"/>
      <c r="AX425" s="14"/>
      <c r="AY425" s="14"/>
      <c r="AZ425" s="14"/>
      <c r="BA425" s="14"/>
      <c r="BB425" s="14"/>
      <c r="BC425" s="14"/>
      <c r="BD425" s="14"/>
      <c r="BE425" s="14"/>
      <c r="BF425" s="14"/>
      <c r="BG425" s="14"/>
      <c r="BH425" s="14"/>
      <c r="BI425" s="14"/>
    </row>
    <row r="426" spans="1:6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t="e">
        <f>IF('Fund Data'!$H$2,IF(ISNUMBER(AK426),AK426,NA()),NA())</f>
        <v>#N/A</v>
      </c>
      <c r="AO426" s="14"/>
      <c r="AP426" s="14"/>
      <c r="AQ426" s="14"/>
      <c r="AR426" s="14"/>
      <c r="AS426" s="14"/>
      <c r="AT426" s="14"/>
      <c r="AU426" s="14"/>
      <c r="AV426" s="14"/>
      <c r="AW426" s="14"/>
      <c r="AX426" s="14"/>
      <c r="AY426" s="14"/>
      <c r="AZ426" s="14"/>
      <c r="BA426" s="14"/>
      <c r="BB426" s="14"/>
      <c r="BC426" s="14"/>
      <c r="BD426" s="14"/>
      <c r="BE426" s="14"/>
      <c r="BF426" s="14"/>
      <c r="BG426" s="14"/>
      <c r="BH426" s="14"/>
      <c r="BI426" s="14"/>
    </row>
    <row r="427" spans="1:6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t="e">
        <f>IF('Fund Data'!$H$2,IF(ISNUMBER(AK427),AK427,NA()),NA())</f>
        <v>#N/A</v>
      </c>
      <c r="AO427" s="14"/>
      <c r="AP427" s="14"/>
      <c r="AQ427" s="14"/>
      <c r="AR427" s="14"/>
      <c r="AS427" s="14"/>
      <c r="AT427" s="14"/>
      <c r="AU427" s="14"/>
      <c r="AV427" s="14"/>
      <c r="AW427" s="14"/>
      <c r="AX427" s="14"/>
      <c r="AY427" s="14"/>
      <c r="AZ427" s="14"/>
      <c r="BA427" s="14"/>
      <c r="BB427" s="14"/>
      <c r="BC427" s="14"/>
      <c r="BD427" s="14"/>
      <c r="BE427" s="14"/>
      <c r="BF427" s="14"/>
      <c r="BG427" s="14"/>
      <c r="BH427" s="14"/>
      <c r="BI427" s="14"/>
    </row>
    <row r="428" spans="1:6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t="e">
        <f>IF('Fund Data'!$H$2,IF(ISNUMBER(AK428),AK428,NA()),NA())</f>
        <v>#N/A</v>
      </c>
      <c r="AO428" s="14"/>
      <c r="AP428" s="14"/>
      <c r="AQ428" s="14"/>
      <c r="AR428" s="14"/>
      <c r="AS428" s="14"/>
      <c r="AT428" s="14"/>
      <c r="AU428" s="14"/>
      <c r="AV428" s="14"/>
      <c r="AW428" s="14"/>
      <c r="AX428" s="14"/>
      <c r="AY428" s="14"/>
      <c r="AZ428" s="14"/>
      <c r="BA428" s="14"/>
      <c r="BB428" s="14"/>
      <c r="BC428" s="14"/>
      <c r="BD428" s="14"/>
      <c r="BE428" s="14"/>
      <c r="BF428" s="14"/>
      <c r="BG428" s="14"/>
      <c r="BH428" s="14"/>
      <c r="BI428" s="14"/>
    </row>
    <row r="429" spans="1:6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t="e">
        <f>IF('Fund Data'!$H$2,IF(ISNUMBER(AK429),AK429,NA()),NA())</f>
        <v>#N/A</v>
      </c>
      <c r="AO429" s="14"/>
      <c r="AP429" s="14"/>
      <c r="AQ429" s="14"/>
      <c r="AR429" s="14"/>
      <c r="AS429" s="14"/>
      <c r="AT429" s="14"/>
      <c r="AU429" s="14"/>
      <c r="AV429" s="14"/>
      <c r="AW429" s="14"/>
      <c r="AX429" s="14"/>
      <c r="AY429" s="14"/>
      <c r="AZ429" s="14"/>
      <c r="BA429" s="14"/>
      <c r="BB429" s="14"/>
      <c r="BC429" s="14"/>
      <c r="BD429" s="14"/>
      <c r="BE429" s="14"/>
      <c r="BF429" s="14"/>
      <c r="BG429" s="14"/>
      <c r="BH429" s="14"/>
      <c r="BI429" s="14"/>
    </row>
    <row r="430" spans="1:6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t="e">
        <f>IF('Fund Data'!$H$2,IF(ISNUMBER(AK430),AK430,NA()),NA())</f>
        <v>#N/A</v>
      </c>
      <c r="AO430" s="14"/>
      <c r="AP430" s="14"/>
      <c r="AQ430" s="14"/>
      <c r="AR430" s="14"/>
      <c r="AS430" s="14"/>
      <c r="AT430" s="14"/>
      <c r="AU430" s="14"/>
      <c r="AV430" s="14"/>
      <c r="AW430" s="14"/>
      <c r="AX430" s="14"/>
      <c r="AY430" s="14"/>
      <c r="AZ430" s="14"/>
      <c r="BA430" s="14"/>
      <c r="BB430" s="14"/>
      <c r="BC430" s="14"/>
      <c r="BD430" s="14"/>
      <c r="BE430" s="14"/>
      <c r="BF430" s="14"/>
      <c r="BG430" s="14"/>
      <c r="BH430" s="14"/>
      <c r="BI430" s="14"/>
    </row>
    <row r="431" spans="1:6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t="e">
        <f>IF('Fund Data'!$H$2,IF(ISNUMBER(AK431),AK431,NA()),NA())</f>
        <v>#N/A</v>
      </c>
      <c r="AO431" s="14"/>
      <c r="AP431" s="14"/>
      <c r="AQ431" s="14"/>
      <c r="AR431" s="14"/>
      <c r="AS431" s="14"/>
      <c r="AT431" s="14"/>
      <c r="AU431" s="14"/>
      <c r="AV431" s="14"/>
      <c r="AW431" s="14"/>
      <c r="AX431" s="14"/>
      <c r="AY431" s="14"/>
      <c r="AZ431" s="14"/>
      <c r="BA431" s="14"/>
      <c r="BB431" s="14"/>
      <c r="BC431" s="14"/>
      <c r="BD431" s="14"/>
      <c r="BE431" s="14"/>
      <c r="BF431" s="14"/>
      <c r="BG431" s="14"/>
      <c r="BH431" s="14"/>
      <c r="BI431" s="14"/>
    </row>
    <row r="432" spans="1:6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t="e">
        <f>IF('Fund Data'!$H$2,IF(ISNUMBER(AK432),AK432,NA()),NA())</f>
        <v>#N/A</v>
      </c>
      <c r="AO432" s="14"/>
      <c r="AP432" s="14"/>
      <c r="AQ432" s="14"/>
      <c r="AR432" s="14"/>
      <c r="AS432" s="14"/>
      <c r="AT432" s="14"/>
      <c r="AU432" s="14"/>
      <c r="AV432" s="14"/>
      <c r="AW432" s="14"/>
      <c r="AX432" s="14"/>
      <c r="AY432" s="14"/>
      <c r="AZ432" s="14"/>
      <c r="BA432" s="14"/>
      <c r="BB432" s="14"/>
      <c r="BC432" s="14"/>
      <c r="BD432" s="14"/>
      <c r="BE432" s="14"/>
      <c r="BF432" s="14"/>
      <c r="BG432" s="14"/>
      <c r="BH432" s="14"/>
      <c r="BI432" s="14"/>
    </row>
    <row r="433" spans="1:6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t="e">
        <f>IF('Fund Data'!$H$2,IF(ISNUMBER(AK433),AK433,NA()),NA())</f>
        <v>#N/A</v>
      </c>
      <c r="AO433" s="14"/>
      <c r="AP433" s="14"/>
      <c r="AQ433" s="14"/>
      <c r="AR433" s="14"/>
      <c r="AS433" s="14"/>
      <c r="AT433" s="14"/>
      <c r="AU433" s="14"/>
      <c r="AV433" s="14"/>
      <c r="AW433" s="14"/>
      <c r="AX433" s="14"/>
      <c r="AY433" s="14"/>
      <c r="AZ433" s="14"/>
      <c r="BA433" s="14"/>
      <c r="BB433" s="14"/>
      <c r="BC433" s="14"/>
      <c r="BD433" s="14"/>
      <c r="BE433" s="14"/>
      <c r="BF433" s="14"/>
      <c r="BG433" s="14"/>
      <c r="BH433" s="14"/>
      <c r="BI433" s="14"/>
    </row>
    <row r="434" spans="1:6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t="e">
        <f>IF('Fund Data'!$H$2,IF(ISNUMBER(AK434),AK434,NA()),NA())</f>
        <v>#N/A</v>
      </c>
      <c r="AO434" s="14"/>
      <c r="AP434" s="14"/>
      <c r="AQ434" s="14"/>
      <c r="AR434" s="14"/>
      <c r="AS434" s="14"/>
      <c r="AT434" s="14"/>
      <c r="AU434" s="14"/>
      <c r="AV434" s="14"/>
      <c r="AW434" s="14"/>
      <c r="AX434" s="14"/>
      <c r="AY434" s="14"/>
      <c r="AZ434" s="14"/>
      <c r="BA434" s="14"/>
      <c r="BB434" s="14"/>
      <c r="BC434" s="14"/>
      <c r="BD434" s="14"/>
      <c r="BE434" s="14"/>
      <c r="BF434" s="14"/>
      <c r="BG434" s="14"/>
      <c r="BH434" s="14"/>
      <c r="BI434" s="14"/>
    </row>
    <row r="435" spans="1:6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t="e">
        <f>IF('Fund Data'!$H$2,IF(ISNUMBER(AK435),AK435,NA()),NA())</f>
        <v>#N/A</v>
      </c>
      <c r="AO435" s="14"/>
      <c r="AP435" s="14"/>
      <c r="AQ435" s="14"/>
      <c r="AR435" s="14"/>
      <c r="AS435" s="14"/>
      <c r="AT435" s="14"/>
      <c r="AU435" s="14"/>
      <c r="AV435" s="14"/>
      <c r="AW435" s="14"/>
      <c r="AX435" s="14"/>
      <c r="AY435" s="14"/>
      <c r="AZ435" s="14"/>
      <c r="BA435" s="14"/>
      <c r="BB435" s="14"/>
      <c r="BC435" s="14"/>
      <c r="BD435" s="14"/>
      <c r="BE435" s="14"/>
      <c r="BF435" s="14"/>
      <c r="BG435" s="14"/>
      <c r="BH435" s="14"/>
      <c r="BI435" s="14"/>
    </row>
    <row r="436" spans="1:6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t="e">
        <f>IF('Fund Data'!$H$2,IF(ISNUMBER(AK436),AK436,NA()),NA())</f>
        <v>#N/A</v>
      </c>
      <c r="AO436" s="14"/>
      <c r="AP436" s="14"/>
      <c r="AQ436" s="14"/>
      <c r="AR436" s="14"/>
      <c r="AS436" s="14"/>
      <c r="AT436" s="14"/>
      <c r="AU436" s="14"/>
      <c r="AV436" s="14"/>
      <c r="AW436" s="14"/>
      <c r="AX436" s="14"/>
      <c r="AY436" s="14"/>
      <c r="AZ436" s="14"/>
      <c r="BA436" s="14"/>
      <c r="BB436" s="14"/>
      <c r="BC436" s="14"/>
      <c r="BD436" s="14"/>
      <c r="BE436" s="14"/>
      <c r="BF436" s="14"/>
      <c r="BG436" s="14"/>
      <c r="BH436" s="14"/>
      <c r="BI436" s="14"/>
    </row>
    <row r="437" spans="1:6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t="e">
        <f>IF('Fund Data'!$H$2,IF(ISNUMBER(AK437),AK437,NA()),NA())</f>
        <v>#N/A</v>
      </c>
      <c r="AO437" s="14"/>
      <c r="AP437" s="14"/>
      <c r="AQ437" s="14"/>
      <c r="AR437" s="14"/>
      <c r="AS437" s="14"/>
      <c r="AT437" s="14"/>
      <c r="AU437" s="14"/>
      <c r="AV437" s="14"/>
      <c r="AW437" s="14"/>
      <c r="AX437" s="14"/>
      <c r="AY437" s="14"/>
      <c r="AZ437" s="14"/>
      <c r="BA437" s="14"/>
      <c r="BB437" s="14"/>
      <c r="BC437" s="14"/>
      <c r="BD437" s="14"/>
      <c r="BE437" s="14"/>
      <c r="BF437" s="14"/>
      <c r="BG437" s="14"/>
      <c r="BH437" s="14"/>
      <c r="BI437" s="14"/>
    </row>
    <row r="438" spans="1:6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t="e">
        <f>IF('Fund Data'!$H$2,IF(ISNUMBER(AK438),AK438,NA()),NA())</f>
        <v>#N/A</v>
      </c>
      <c r="AO438" s="14"/>
      <c r="AP438" s="14"/>
      <c r="AQ438" s="14"/>
      <c r="AR438" s="14"/>
      <c r="AS438" s="14"/>
      <c r="AT438" s="14"/>
      <c r="AU438" s="14"/>
      <c r="AV438" s="14"/>
      <c r="AW438" s="14"/>
      <c r="AX438" s="14"/>
      <c r="AY438" s="14"/>
      <c r="AZ438" s="14"/>
      <c r="BA438" s="14"/>
      <c r="BB438" s="14"/>
      <c r="BC438" s="14"/>
      <c r="BD438" s="14"/>
      <c r="BE438" s="14"/>
      <c r="BF438" s="14"/>
      <c r="BG438" s="14"/>
      <c r="BH438" s="14"/>
      <c r="BI438" s="14"/>
    </row>
    <row r="439" spans="1:6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t="e">
        <f>IF('Fund Data'!$H$2,IF(ISNUMBER(AK439),AK439,NA()),NA())</f>
        <v>#N/A</v>
      </c>
      <c r="AO439" s="14"/>
      <c r="AP439" s="14"/>
      <c r="AQ439" s="14"/>
      <c r="AR439" s="14"/>
      <c r="AS439" s="14"/>
      <c r="AT439" s="14"/>
      <c r="AU439" s="14"/>
      <c r="AV439" s="14"/>
      <c r="AW439" s="14"/>
      <c r="AX439" s="14"/>
      <c r="AY439" s="14"/>
      <c r="AZ439" s="14"/>
      <c r="BA439" s="14"/>
      <c r="BB439" s="14"/>
      <c r="BC439" s="14"/>
      <c r="BD439" s="14"/>
      <c r="BE439" s="14"/>
      <c r="BF439" s="14"/>
      <c r="BG439" s="14"/>
      <c r="BH439" s="14"/>
      <c r="BI439" s="14"/>
    </row>
    <row r="440" spans="1:6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t="e">
        <f>IF('Fund Data'!$H$2,IF(ISNUMBER(AK440),AK440,NA()),NA())</f>
        <v>#N/A</v>
      </c>
      <c r="AO440" s="14"/>
      <c r="AP440" s="14"/>
      <c r="AQ440" s="14"/>
      <c r="AR440" s="14"/>
      <c r="AS440" s="14"/>
      <c r="AT440" s="14"/>
      <c r="AU440" s="14"/>
      <c r="AV440" s="14"/>
      <c r="AW440" s="14"/>
      <c r="AX440" s="14"/>
      <c r="AY440" s="14"/>
      <c r="AZ440" s="14"/>
      <c r="BA440" s="14"/>
      <c r="BB440" s="14"/>
      <c r="BC440" s="14"/>
      <c r="BD440" s="14"/>
      <c r="BE440" s="14"/>
      <c r="BF440" s="14"/>
      <c r="BG440" s="14"/>
      <c r="BH440" s="14"/>
      <c r="BI440" s="14"/>
    </row>
    <row r="441" spans="1:6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t="e">
        <f>IF('Fund Data'!$H$2,IF(ISNUMBER(AK441),AK441,NA()),NA())</f>
        <v>#N/A</v>
      </c>
      <c r="AO441" s="14"/>
      <c r="AP441" s="14"/>
      <c r="AQ441" s="14"/>
      <c r="AR441" s="14"/>
      <c r="AS441" s="14"/>
      <c r="AT441" s="14"/>
      <c r="AU441" s="14"/>
      <c r="AV441" s="14"/>
      <c r="AW441" s="14"/>
      <c r="AX441" s="14"/>
      <c r="AY441" s="14"/>
      <c r="AZ441" s="14"/>
      <c r="BA441" s="14"/>
      <c r="BB441" s="14"/>
      <c r="BC441" s="14"/>
      <c r="BD441" s="14"/>
      <c r="BE441" s="14"/>
      <c r="BF441" s="14"/>
      <c r="BG441" s="14"/>
      <c r="BH441" s="14"/>
      <c r="BI441" s="14"/>
    </row>
    <row r="442" spans="1:6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t="e">
        <f>IF('Fund Data'!$H$2,IF(ISNUMBER(AK442),AK442,NA()),NA())</f>
        <v>#N/A</v>
      </c>
      <c r="AO442" s="14"/>
      <c r="AP442" s="14"/>
      <c r="AQ442" s="14"/>
      <c r="AR442" s="14"/>
      <c r="AS442" s="14"/>
      <c r="AT442" s="14"/>
      <c r="AU442" s="14"/>
      <c r="AV442" s="14"/>
      <c r="AW442" s="14"/>
      <c r="AX442" s="14"/>
      <c r="AY442" s="14"/>
      <c r="AZ442" s="14"/>
      <c r="BA442" s="14"/>
      <c r="BB442" s="14"/>
      <c r="BC442" s="14"/>
      <c r="BD442" s="14"/>
      <c r="BE442" s="14"/>
      <c r="BF442" s="14"/>
      <c r="BG442" s="14"/>
      <c r="BH442" s="14"/>
      <c r="BI442" s="14"/>
    </row>
    <row r="443" spans="1:6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t="e">
        <f>IF('Fund Data'!$H$2,IF(ISNUMBER(AK443),AK443,NA()),NA())</f>
        <v>#N/A</v>
      </c>
      <c r="AO443" s="14"/>
      <c r="AP443" s="14"/>
      <c r="AQ443" s="14"/>
      <c r="AR443" s="14"/>
      <c r="AS443" s="14"/>
      <c r="AT443" s="14"/>
      <c r="AU443" s="14"/>
      <c r="AV443" s="14"/>
      <c r="AW443" s="14"/>
      <c r="AX443" s="14"/>
      <c r="AY443" s="14"/>
      <c r="AZ443" s="14"/>
      <c r="BA443" s="14"/>
      <c r="BB443" s="14"/>
      <c r="BC443" s="14"/>
      <c r="BD443" s="14"/>
      <c r="BE443" s="14"/>
      <c r="BF443" s="14"/>
      <c r="BG443" s="14"/>
      <c r="BH443" s="14"/>
      <c r="BI443" s="14"/>
    </row>
    <row r="444" spans="1:6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t="e">
        <f>IF('Fund Data'!$H$2,IF(ISNUMBER(AK444),AK444,NA()),NA())</f>
        <v>#N/A</v>
      </c>
      <c r="AO444" s="14"/>
      <c r="AP444" s="14"/>
      <c r="AQ444" s="14"/>
      <c r="AR444" s="14"/>
      <c r="AS444" s="14"/>
      <c r="AT444" s="14"/>
      <c r="AU444" s="14"/>
      <c r="AV444" s="14"/>
      <c r="AW444" s="14"/>
      <c r="AX444" s="14"/>
      <c r="AY444" s="14"/>
      <c r="AZ444" s="14"/>
      <c r="BA444" s="14"/>
      <c r="BB444" s="14"/>
      <c r="BC444" s="14"/>
      <c r="BD444" s="14"/>
      <c r="BE444" s="14"/>
      <c r="BF444" s="14"/>
      <c r="BG444" s="14"/>
      <c r="BH444" s="14"/>
      <c r="BI444" s="14"/>
    </row>
    <row r="445" spans="1:6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t="e">
        <f>IF('Fund Data'!$H$2,IF(ISNUMBER(AK445),AK445,NA()),NA())</f>
        <v>#N/A</v>
      </c>
      <c r="AO445" s="14"/>
      <c r="AP445" s="14"/>
      <c r="AQ445" s="14"/>
      <c r="AR445" s="14"/>
      <c r="AS445" s="14"/>
      <c r="AT445" s="14"/>
      <c r="AU445" s="14"/>
      <c r="AV445" s="14"/>
      <c r="AW445" s="14"/>
      <c r="AX445" s="14"/>
      <c r="AY445" s="14"/>
      <c r="AZ445" s="14"/>
      <c r="BA445" s="14"/>
      <c r="BB445" s="14"/>
      <c r="BC445" s="14"/>
      <c r="BD445" s="14"/>
      <c r="BE445" s="14"/>
      <c r="BF445" s="14"/>
      <c r="BG445" s="14"/>
      <c r="BH445" s="14"/>
      <c r="BI445" s="14"/>
    </row>
    <row r="446" spans="1:6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t="e">
        <f>IF('Fund Data'!$H$2,IF(ISNUMBER(AK446),AK446,NA()),NA())</f>
        <v>#N/A</v>
      </c>
      <c r="AO446" s="14"/>
      <c r="AP446" s="14"/>
      <c r="AQ446" s="14"/>
      <c r="AR446" s="14"/>
      <c r="AS446" s="14"/>
      <c r="AT446" s="14"/>
      <c r="AU446" s="14"/>
      <c r="AV446" s="14"/>
      <c r="AW446" s="14"/>
      <c r="AX446" s="14"/>
      <c r="AY446" s="14"/>
      <c r="AZ446" s="14"/>
      <c r="BA446" s="14"/>
      <c r="BB446" s="14"/>
      <c r="BC446" s="14"/>
      <c r="BD446" s="14"/>
      <c r="BE446" s="14"/>
      <c r="BF446" s="14"/>
      <c r="BG446" s="14"/>
      <c r="BH446" s="14"/>
      <c r="BI446" s="14"/>
    </row>
    <row r="447" spans="1:6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t="e">
        <f>IF('Fund Data'!$H$2,IF(ISNUMBER(AK447),AK447,NA()),NA())</f>
        <v>#N/A</v>
      </c>
      <c r="AO447" s="14"/>
      <c r="AP447" s="14"/>
      <c r="AQ447" s="14"/>
      <c r="AR447" s="14"/>
      <c r="AS447" s="14"/>
      <c r="AT447" s="14"/>
      <c r="AU447" s="14"/>
      <c r="AV447" s="14"/>
      <c r="AW447" s="14"/>
      <c r="AX447" s="14"/>
      <c r="AY447" s="14"/>
      <c r="AZ447" s="14"/>
      <c r="BA447" s="14"/>
      <c r="BB447" s="14"/>
      <c r="BC447" s="14"/>
      <c r="BD447" s="14"/>
      <c r="BE447" s="14"/>
      <c r="BF447" s="14"/>
      <c r="BG447" s="14"/>
      <c r="BH447" s="14"/>
      <c r="BI447" s="14"/>
    </row>
    <row r="448" spans="1:6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t="e">
        <f>IF('Fund Data'!$H$2,IF(ISNUMBER(AK448),AK448,NA()),NA())</f>
        <v>#N/A</v>
      </c>
      <c r="AO448" s="14"/>
      <c r="AP448" s="14"/>
      <c r="AQ448" s="14"/>
      <c r="AR448" s="14"/>
      <c r="AS448" s="14"/>
      <c r="AT448" s="14"/>
      <c r="AU448" s="14"/>
      <c r="AV448" s="14"/>
      <c r="AW448" s="14"/>
      <c r="AX448" s="14"/>
      <c r="AY448" s="14"/>
      <c r="AZ448" s="14"/>
      <c r="BA448" s="14"/>
      <c r="BB448" s="14"/>
      <c r="BC448" s="14"/>
      <c r="BD448" s="14"/>
      <c r="BE448" s="14"/>
      <c r="BF448" s="14"/>
      <c r="BG448" s="14"/>
      <c r="BH448" s="14"/>
      <c r="BI448" s="14"/>
    </row>
    <row r="449" spans="1:6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t="e">
        <f>IF('Fund Data'!$H$2,IF(ISNUMBER(AK449),AK449,NA()),NA())</f>
        <v>#N/A</v>
      </c>
      <c r="AO449" s="14"/>
      <c r="AP449" s="14"/>
      <c r="AQ449" s="14"/>
      <c r="AR449" s="14"/>
      <c r="AS449" s="14"/>
      <c r="AT449" s="14"/>
      <c r="AU449" s="14"/>
      <c r="AV449" s="14"/>
      <c r="AW449" s="14"/>
      <c r="AX449" s="14"/>
      <c r="AY449" s="14"/>
      <c r="AZ449" s="14"/>
      <c r="BA449" s="14"/>
      <c r="BB449" s="14"/>
      <c r="BC449" s="14"/>
      <c r="BD449" s="14"/>
      <c r="BE449" s="14"/>
      <c r="BF449" s="14"/>
      <c r="BG449" s="14"/>
      <c r="BH449" s="14"/>
      <c r="BI449" s="14"/>
    </row>
    <row r="450" spans="1:6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t="e">
        <f>IF('Fund Data'!$H$2,IF(ISNUMBER(AK450),AK450,NA()),NA())</f>
        <v>#N/A</v>
      </c>
      <c r="AO450" s="14"/>
      <c r="AP450" s="14"/>
      <c r="AQ450" s="14"/>
      <c r="AR450" s="14"/>
      <c r="AS450" s="14"/>
      <c r="AT450" s="14"/>
      <c r="AU450" s="14"/>
      <c r="AV450" s="14"/>
      <c r="AW450" s="14"/>
      <c r="AX450" s="14"/>
      <c r="AY450" s="14"/>
      <c r="AZ450" s="14"/>
      <c r="BA450" s="14"/>
      <c r="BB450" s="14"/>
      <c r="BC450" s="14"/>
      <c r="BD450" s="14"/>
      <c r="BE450" s="14"/>
      <c r="BF450" s="14"/>
      <c r="BG450" s="14"/>
      <c r="BH450" s="14"/>
      <c r="BI450" s="14"/>
    </row>
    <row r="451" spans="1:6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t="e">
        <f>IF('Fund Data'!$H$2,IF(ISNUMBER(AK451),AK451,NA()),NA())</f>
        <v>#N/A</v>
      </c>
      <c r="AO451" s="14"/>
      <c r="AP451" s="14"/>
      <c r="AQ451" s="14"/>
      <c r="AR451" s="14"/>
      <c r="AS451" s="14"/>
      <c r="AT451" s="14"/>
      <c r="AU451" s="14"/>
      <c r="AV451" s="14"/>
      <c r="AW451" s="14"/>
      <c r="AX451" s="14"/>
      <c r="AY451" s="14"/>
      <c r="AZ451" s="14"/>
      <c r="BA451" s="14"/>
      <c r="BB451" s="14"/>
      <c r="BC451" s="14"/>
      <c r="BD451" s="14"/>
      <c r="BE451" s="14"/>
      <c r="BF451" s="14"/>
      <c r="BG451" s="14"/>
      <c r="BH451" s="14"/>
      <c r="BI451" s="14"/>
    </row>
    <row r="452" spans="1:6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4"/>
      <c r="AN452" s="14" t="e">
        <f>IF('Fund Data'!$H$2,IF(ISNUMBER(AK452),AK452,NA()),NA())</f>
        <v>#N/A</v>
      </c>
      <c r="AO452" s="14"/>
      <c r="AP452" s="14"/>
      <c r="AQ452" s="14"/>
      <c r="AR452" s="14"/>
      <c r="AS452" s="14"/>
      <c r="AT452" s="14"/>
      <c r="AU452" s="14"/>
      <c r="AV452" s="14"/>
      <c r="AW452" s="14"/>
      <c r="AX452" s="14"/>
      <c r="AY452" s="14"/>
      <c r="AZ452" s="14"/>
      <c r="BA452" s="14"/>
      <c r="BB452" s="14"/>
      <c r="BC452" s="14"/>
      <c r="BD452" s="14"/>
      <c r="BE452" s="14"/>
      <c r="BF452" s="14"/>
      <c r="BG452" s="14"/>
      <c r="BH452" s="14"/>
      <c r="BI452" s="14"/>
    </row>
    <row r="453" spans="1:6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t="e">
        <f>IF('Fund Data'!$H$2,IF(ISNUMBER(AK453),AK453,NA()),NA())</f>
        <v>#N/A</v>
      </c>
      <c r="AO453" s="14"/>
      <c r="AP453" s="14"/>
      <c r="AQ453" s="14"/>
      <c r="AR453" s="14"/>
      <c r="AS453" s="14"/>
      <c r="AT453" s="14"/>
      <c r="AU453" s="14"/>
      <c r="AV453" s="14"/>
      <c r="AW453" s="14"/>
      <c r="AX453" s="14"/>
      <c r="AY453" s="14"/>
      <c r="AZ453" s="14"/>
      <c r="BA453" s="14"/>
      <c r="BB453" s="14"/>
      <c r="BC453" s="14"/>
      <c r="BD453" s="14"/>
      <c r="BE453" s="14"/>
      <c r="BF453" s="14"/>
      <c r="BG453" s="14"/>
      <c r="BH453" s="14"/>
      <c r="BI453" s="14"/>
    </row>
    <row r="454" spans="1:6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t="e">
        <f>IF('Fund Data'!$H$2,IF(ISNUMBER(AK454),AK454,NA()),NA())</f>
        <v>#N/A</v>
      </c>
      <c r="AO454" s="14"/>
      <c r="AP454" s="14"/>
      <c r="AQ454" s="14"/>
      <c r="AR454" s="14"/>
      <c r="AS454" s="14"/>
      <c r="AT454" s="14"/>
      <c r="AU454" s="14"/>
      <c r="AV454" s="14"/>
      <c r="AW454" s="14"/>
      <c r="AX454" s="14"/>
      <c r="AY454" s="14"/>
      <c r="AZ454" s="14"/>
      <c r="BA454" s="14"/>
      <c r="BB454" s="14"/>
      <c r="BC454" s="14"/>
      <c r="BD454" s="14"/>
      <c r="BE454" s="14"/>
      <c r="BF454" s="14"/>
      <c r="BG454" s="14"/>
      <c r="BH454" s="14"/>
      <c r="BI454" s="14"/>
    </row>
    <row r="455" spans="1:6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t="e">
        <f>IF('Fund Data'!$H$2,IF(ISNUMBER(AK455),AK455,NA()),NA())</f>
        <v>#N/A</v>
      </c>
      <c r="AO455" s="14"/>
      <c r="AP455" s="14"/>
      <c r="AQ455" s="14"/>
      <c r="AR455" s="14"/>
      <c r="AS455" s="14"/>
      <c r="AT455" s="14"/>
      <c r="AU455" s="14"/>
      <c r="AV455" s="14"/>
      <c r="AW455" s="14"/>
      <c r="AX455" s="14"/>
      <c r="AY455" s="14"/>
      <c r="AZ455" s="14"/>
      <c r="BA455" s="14"/>
      <c r="BB455" s="14"/>
      <c r="BC455" s="14"/>
      <c r="BD455" s="14"/>
      <c r="BE455" s="14"/>
      <c r="BF455" s="14"/>
      <c r="BG455" s="14"/>
      <c r="BH455" s="14"/>
      <c r="BI455" s="14"/>
    </row>
    <row r="456" spans="1:6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t="e">
        <f>IF('Fund Data'!$H$2,IF(ISNUMBER(AK456),AK456,NA()),NA())</f>
        <v>#N/A</v>
      </c>
      <c r="AO456" s="14"/>
      <c r="AP456" s="14"/>
      <c r="AQ456" s="14"/>
      <c r="AR456" s="14"/>
      <c r="AS456" s="14"/>
      <c r="AT456" s="14"/>
      <c r="AU456" s="14"/>
      <c r="AV456" s="14"/>
      <c r="AW456" s="14"/>
      <c r="AX456" s="14"/>
      <c r="AY456" s="14"/>
      <c r="AZ456" s="14"/>
      <c r="BA456" s="14"/>
      <c r="BB456" s="14"/>
      <c r="BC456" s="14"/>
      <c r="BD456" s="14"/>
      <c r="BE456" s="14"/>
      <c r="BF456" s="14"/>
      <c r="BG456" s="14"/>
      <c r="BH456" s="14"/>
      <c r="BI456" s="14"/>
    </row>
    <row r="457" spans="1:6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t="e">
        <f>IF('Fund Data'!$H$2,IF(ISNUMBER(AK457),AK457,NA()),NA())</f>
        <v>#N/A</v>
      </c>
      <c r="AO457" s="14"/>
      <c r="AP457" s="14"/>
      <c r="AQ457" s="14"/>
      <c r="AR457" s="14"/>
      <c r="AS457" s="14"/>
      <c r="AT457" s="14"/>
      <c r="AU457" s="14"/>
      <c r="AV457" s="14"/>
      <c r="AW457" s="14"/>
      <c r="AX457" s="14"/>
      <c r="AY457" s="14"/>
      <c r="AZ457" s="14"/>
      <c r="BA457" s="14"/>
      <c r="BB457" s="14"/>
      <c r="BC457" s="14"/>
      <c r="BD457" s="14"/>
      <c r="BE457" s="14"/>
      <c r="BF457" s="14"/>
      <c r="BG457" s="14"/>
      <c r="BH457" s="14"/>
      <c r="BI457" s="14"/>
    </row>
    <row r="458" spans="1:6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t="e">
        <f>IF('Fund Data'!$H$2,IF(ISNUMBER(AK458),AK458,NA()),NA())</f>
        <v>#N/A</v>
      </c>
      <c r="AO458" s="14"/>
      <c r="AP458" s="14"/>
      <c r="AQ458" s="14"/>
      <c r="AR458" s="14"/>
      <c r="AS458" s="14"/>
      <c r="AT458" s="14"/>
      <c r="AU458" s="14"/>
      <c r="AV458" s="14"/>
      <c r="AW458" s="14"/>
      <c r="AX458" s="14"/>
      <c r="AY458" s="14"/>
      <c r="AZ458" s="14"/>
      <c r="BA458" s="14"/>
      <c r="BB458" s="14"/>
      <c r="BC458" s="14"/>
      <c r="BD458" s="14"/>
      <c r="BE458" s="14"/>
      <c r="BF458" s="14"/>
      <c r="BG458" s="14"/>
      <c r="BH458" s="14"/>
      <c r="BI458" s="14"/>
    </row>
    <row r="459" spans="1:6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t="e">
        <f>IF('Fund Data'!$H$2,IF(ISNUMBER(AK459),AK459,NA()),NA())</f>
        <v>#N/A</v>
      </c>
      <c r="AO459" s="14"/>
      <c r="AP459" s="14"/>
      <c r="AQ459" s="14"/>
      <c r="AR459" s="14"/>
      <c r="AS459" s="14"/>
      <c r="AT459" s="14"/>
      <c r="AU459" s="14"/>
      <c r="AV459" s="14"/>
      <c r="AW459" s="14"/>
      <c r="AX459" s="14"/>
      <c r="AY459" s="14"/>
      <c r="AZ459" s="14"/>
      <c r="BA459" s="14"/>
      <c r="BB459" s="14"/>
      <c r="BC459" s="14"/>
      <c r="BD459" s="14"/>
      <c r="BE459" s="14"/>
      <c r="BF459" s="14"/>
      <c r="BG459" s="14"/>
      <c r="BH459" s="14"/>
      <c r="BI459" s="14"/>
    </row>
    <row r="460" spans="1:6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t="e">
        <f>IF('Fund Data'!$H$2,IF(ISNUMBER(AK460),AK460,NA()),NA())</f>
        <v>#N/A</v>
      </c>
      <c r="AO460" s="14"/>
      <c r="AP460" s="14"/>
      <c r="AQ460" s="14"/>
      <c r="AR460" s="14"/>
      <c r="AS460" s="14"/>
      <c r="AT460" s="14"/>
      <c r="AU460" s="14"/>
      <c r="AV460" s="14"/>
      <c r="AW460" s="14"/>
      <c r="AX460" s="14"/>
      <c r="AY460" s="14"/>
      <c r="AZ460" s="14"/>
      <c r="BA460" s="14"/>
      <c r="BB460" s="14"/>
      <c r="BC460" s="14"/>
      <c r="BD460" s="14"/>
      <c r="BE460" s="14"/>
      <c r="BF460" s="14"/>
      <c r="BG460" s="14"/>
      <c r="BH460" s="14"/>
      <c r="BI460" s="14"/>
    </row>
    <row r="461" spans="1:6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t="e">
        <f>IF('Fund Data'!$H$2,IF(ISNUMBER(AK461),AK461,NA()),NA())</f>
        <v>#N/A</v>
      </c>
      <c r="AO461" s="14"/>
      <c r="AP461" s="14"/>
      <c r="AQ461" s="14"/>
      <c r="AR461" s="14"/>
      <c r="AS461" s="14"/>
      <c r="AT461" s="14"/>
      <c r="AU461" s="14"/>
      <c r="AV461" s="14"/>
      <c r="AW461" s="14"/>
      <c r="AX461" s="14"/>
      <c r="AY461" s="14"/>
      <c r="AZ461" s="14"/>
      <c r="BA461" s="14"/>
      <c r="BB461" s="14"/>
      <c r="BC461" s="14"/>
      <c r="BD461" s="14"/>
      <c r="BE461" s="14"/>
      <c r="BF461" s="14"/>
      <c r="BG461" s="14"/>
      <c r="BH461" s="14"/>
      <c r="BI461" s="14"/>
    </row>
    <row r="462" spans="1:6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t="e">
        <f>IF('Fund Data'!$H$2,IF(ISNUMBER(AK462),AK462,NA()),NA())</f>
        <v>#N/A</v>
      </c>
      <c r="AO462" s="14"/>
      <c r="AP462" s="14"/>
      <c r="AQ462" s="14"/>
      <c r="AR462" s="14"/>
      <c r="AS462" s="14"/>
      <c r="AT462" s="14"/>
      <c r="AU462" s="14"/>
      <c r="AV462" s="14"/>
      <c r="AW462" s="14"/>
      <c r="AX462" s="14"/>
      <c r="AY462" s="14"/>
      <c r="AZ462" s="14"/>
      <c r="BA462" s="14"/>
      <c r="BB462" s="14"/>
      <c r="BC462" s="14"/>
      <c r="BD462" s="14"/>
      <c r="BE462" s="14"/>
      <c r="BF462" s="14"/>
      <c r="BG462" s="14"/>
      <c r="BH462" s="14"/>
      <c r="BI462" s="14"/>
    </row>
    <row r="463" spans="1:6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t="e">
        <f>IF('Fund Data'!$H$2,IF(ISNUMBER(AK463),AK463,NA()),NA())</f>
        <v>#N/A</v>
      </c>
      <c r="AO463" s="14"/>
      <c r="AP463" s="14"/>
      <c r="AQ463" s="14"/>
      <c r="AR463" s="14"/>
      <c r="AS463" s="14"/>
      <c r="AT463" s="14"/>
      <c r="AU463" s="14"/>
      <c r="AV463" s="14"/>
      <c r="AW463" s="14"/>
      <c r="AX463" s="14"/>
      <c r="AY463" s="14"/>
      <c r="AZ463" s="14"/>
      <c r="BA463" s="14"/>
      <c r="BB463" s="14"/>
      <c r="BC463" s="14"/>
      <c r="BD463" s="14"/>
      <c r="BE463" s="14"/>
      <c r="BF463" s="14"/>
      <c r="BG463" s="14"/>
      <c r="BH463" s="14"/>
      <c r="BI463" s="14"/>
    </row>
    <row r="464" spans="1:6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t="e">
        <f>IF('Fund Data'!$H$2,IF(ISNUMBER(AK464),AK464,NA()),NA())</f>
        <v>#N/A</v>
      </c>
      <c r="AO464" s="14"/>
      <c r="AP464" s="14"/>
      <c r="AQ464" s="14"/>
      <c r="AR464" s="14"/>
      <c r="AS464" s="14"/>
      <c r="AT464" s="14"/>
      <c r="AU464" s="14"/>
      <c r="AV464" s="14"/>
      <c r="AW464" s="14"/>
      <c r="AX464" s="14"/>
      <c r="AY464" s="14"/>
      <c r="AZ464" s="14"/>
      <c r="BA464" s="14"/>
      <c r="BB464" s="14"/>
      <c r="BC464" s="14"/>
      <c r="BD464" s="14"/>
      <c r="BE464" s="14"/>
      <c r="BF464" s="14"/>
      <c r="BG464" s="14"/>
      <c r="BH464" s="14"/>
      <c r="BI464" s="14"/>
    </row>
    <row r="465" spans="1:6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t="e">
        <f>IF('Fund Data'!$H$2,IF(ISNUMBER(AK465),AK465,NA()),NA())</f>
        <v>#N/A</v>
      </c>
      <c r="AO465" s="14"/>
      <c r="AP465" s="14"/>
      <c r="AQ465" s="14"/>
      <c r="AR465" s="14"/>
      <c r="AS465" s="14"/>
      <c r="AT465" s="14"/>
      <c r="AU465" s="14"/>
      <c r="AV465" s="14"/>
      <c r="AW465" s="14"/>
      <c r="AX465" s="14"/>
      <c r="AY465" s="14"/>
      <c r="AZ465" s="14"/>
      <c r="BA465" s="14"/>
      <c r="BB465" s="14"/>
      <c r="BC465" s="14"/>
      <c r="BD465" s="14"/>
      <c r="BE465" s="14"/>
      <c r="BF465" s="14"/>
      <c r="BG465" s="14"/>
      <c r="BH465" s="14"/>
      <c r="BI465" s="14"/>
    </row>
    <row r="466" spans="1:6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t="e">
        <f>IF('Fund Data'!$H$2,IF(ISNUMBER(AK466),AK466,NA()),NA())</f>
        <v>#N/A</v>
      </c>
      <c r="AO466" s="14"/>
      <c r="AP466" s="14"/>
      <c r="AQ466" s="14"/>
      <c r="AR466" s="14"/>
      <c r="AS466" s="14"/>
      <c r="AT466" s="14"/>
      <c r="AU466" s="14"/>
      <c r="AV466" s="14"/>
      <c r="AW466" s="14"/>
      <c r="AX466" s="14"/>
      <c r="AY466" s="14"/>
      <c r="AZ466" s="14"/>
      <c r="BA466" s="14"/>
      <c r="BB466" s="14"/>
      <c r="BC466" s="14"/>
      <c r="BD466" s="14"/>
      <c r="BE466" s="14"/>
      <c r="BF466" s="14"/>
      <c r="BG466" s="14"/>
      <c r="BH466" s="14"/>
      <c r="BI466" s="14"/>
    </row>
    <row r="467" spans="1:6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t="e">
        <f>IF('Fund Data'!$H$2,IF(ISNUMBER(AK467),AK467,NA()),NA())</f>
        <v>#N/A</v>
      </c>
      <c r="AO467" s="14"/>
      <c r="AP467" s="14"/>
      <c r="AQ467" s="14"/>
      <c r="AR467" s="14"/>
      <c r="AS467" s="14"/>
      <c r="AT467" s="14"/>
      <c r="AU467" s="14"/>
      <c r="AV467" s="14"/>
      <c r="AW467" s="14"/>
      <c r="AX467" s="14"/>
      <c r="AY467" s="14"/>
      <c r="AZ467" s="14"/>
      <c r="BA467" s="14"/>
      <c r="BB467" s="14"/>
      <c r="BC467" s="14"/>
      <c r="BD467" s="14"/>
      <c r="BE467" s="14"/>
      <c r="BF467" s="14"/>
      <c r="BG467" s="14"/>
      <c r="BH467" s="14"/>
      <c r="BI467" s="14"/>
    </row>
    <row r="468" spans="1:6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t="e">
        <f>IF('Fund Data'!$H$2,IF(ISNUMBER(AK468),AK468,NA()),NA())</f>
        <v>#N/A</v>
      </c>
      <c r="AO468" s="14"/>
      <c r="AP468" s="14"/>
      <c r="AQ468" s="14"/>
      <c r="AR468" s="14"/>
      <c r="AS468" s="14"/>
      <c r="AT468" s="14"/>
      <c r="AU468" s="14"/>
      <c r="AV468" s="14"/>
      <c r="AW468" s="14"/>
      <c r="AX468" s="14"/>
      <c r="AY468" s="14"/>
      <c r="AZ468" s="14"/>
      <c r="BA468" s="14"/>
      <c r="BB468" s="14"/>
      <c r="BC468" s="14"/>
      <c r="BD468" s="14"/>
      <c r="BE468" s="14"/>
      <c r="BF468" s="14"/>
      <c r="BG468" s="14"/>
      <c r="BH468" s="14"/>
      <c r="BI468" s="14"/>
    </row>
    <row r="469" spans="1:6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t="e">
        <f>IF('Fund Data'!$H$2,IF(ISNUMBER(AK469),AK469,NA()),NA())</f>
        <v>#N/A</v>
      </c>
      <c r="AO469" s="14"/>
      <c r="AP469" s="14"/>
      <c r="AQ469" s="14"/>
      <c r="AR469" s="14"/>
      <c r="AS469" s="14"/>
      <c r="AT469" s="14"/>
      <c r="AU469" s="14"/>
      <c r="AV469" s="14"/>
      <c r="AW469" s="14"/>
      <c r="AX469" s="14"/>
      <c r="AY469" s="14"/>
      <c r="AZ469" s="14"/>
      <c r="BA469" s="14"/>
      <c r="BB469" s="14"/>
      <c r="BC469" s="14"/>
      <c r="BD469" s="14"/>
      <c r="BE469" s="14"/>
      <c r="BF469" s="14"/>
      <c r="BG469" s="14"/>
      <c r="BH469" s="14"/>
      <c r="BI469" s="14"/>
    </row>
    <row r="470" spans="1:6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t="e">
        <f>IF('Fund Data'!$H$2,IF(ISNUMBER(AK470),AK470,NA()),NA())</f>
        <v>#N/A</v>
      </c>
      <c r="AO470" s="14"/>
      <c r="AP470" s="14"/>
      <c r="AQ470" s="14"/>
      <c r="AR470" s="14"/>
      <c r="AS470" s="14"/>
      <c r="AT470" s="14"/>
      <c r="AU470" s="14"/>
      <c r="AV470" s="14"/>
      <c r="AW470" s="14"/>
      <c r="AX470" s="14"/>
      <c r="AY470" s="14"/>
      <c r="AZ470" s="14"/>
      <c r="BA470" s="14"/>
      <c r="BB470" s="14"/>
      <c r="BC470" s="14"/>
      <c r="BD470" s="14"/>
      <c r="BE470" s="14"/>
      <c r="BF470" s="14"/>
      <c r="BG470" s="14"/>
      <c r="BH470" s="14"/>
      <c r="BI470" s="14"/>
    </row>
    <row r="471" spans="1:6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t="e">
        <f>IF('Fund Data'!$H$2,IF(ISNUMBER(AK471),AK471,NA()),NA())</f>
        <v>#N/A</v>
      </c>
      <c r="AO471" s="14"/>
      <c r="AP471" s="14"/>
      <c r="AQ471" s="14"/>
      <c r="AR471" s="14"/>
      <c r="AS471" s="14"/>
      <c r="AT471" s="14"/>
      <c r="AU471" s="14"/>
      <c r="AV471" s="14"/>
      <c r="AW471" s="14"/>
      <c r="AX471" s="14"/>
      <c r="AY471" s="14"/>
      <c r="AZ471" s="14"/>
      <c r="BA471" s="14"/>
      <c r="BB471" s="14"/>
      <c r="BC471" s="14"/>
      <c r="BD471" s="14"/>
      <c r="BE471" s="14"/>
      <c r="BF471" s="14"/>
      <c r="BG471" s="14"/>
      <c r="BH471" s="14"/>
      <c r="BI471" s="14"/>
    </row>
    <row r="472" spans="1:6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t="e">
        <f>IF('Fund Data'!$H$2,IF(ISNUMBER(AK472),AK472,NA()),NA())</f>
        <v>#N/A</v>
      </c>
      <c r="AO472" s="14"/>
      <c r="AP472" s="14"/>
      <c r="AQ472" s="14"/>
      <c r="AR472" s="14"/>
      <c r="AS472" s="14"/>
      <c r="AT472" s="14"/>
      <c r="AU472" s="14"/>
      <c r="AV472" s="14"/>
      <c r="AW472" s="14"/>
      <c r="AX472" s="14"/>
      <c r="AY472" s="14"/>
      <c r="AZ472" s="14"/>
      <c r="BA472" s="14"/>
      <c r="BB472" s="14"/>
      <c r="BC472" s="14"/>
      <c r="BD472" s="14"/>
      <c r="BE472" s="14"/>
      <c r="BF472" s="14"/>
      <c r="BG472" s="14"/>
      <c r="BH472" s="14"/>
      <c r="BI472" s="14"/>
    </row>
    <row r="473" spans="1:6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t="e">
        <f>IF('Fund Data'!$H$2,IF(ISNUMBER(AK473),AK473,NA()),NA())</f>
        <v>#N/A</v>
      </c>
      <c r="AO473" s="14"/>
      <c r="AP473" s="14"/>
      <c r="AQ473" s="14"/>
      <c r="AR473" s="14"/>
      <c r="AS473" s="14"/>
      <c r="AT473" s="14"/>
      <c r="AU473" s="14"/>
      <c r="AV473" s="14"/>
      <c r="AW473" s="14"/>
      <c r="AX473" s="14"/>
      <c r="AY473" s="14"/>
      <c r="AZ473" s="14"/>
      <c r="BA473" s="14"/>
      <c r="BB473" s="14"/>
      <c r="BC473" s="14"/>
      <c r="BD473" s="14"/>
      <c r="BE473" s="14"/>
      <c r="BF473" s="14"/>
      <c r="BG473" s="14"/>
      <c r="BH473" s="14"/>
      <c r="BI473" s="14"/>
    </row>
    <row r="474" spans="1:6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t="e">
        <f>IF('Fund Data'!$H$2,IF(ISNUMBER(AK474),AK474,NA()),NA())</f>
        <v>#N/A</v>
      </c>
      <c r="AO474" s="14"/>
      <c r="AP474" s="14"/>
      <c r="AQ474" s="14"/>
      <c r="AR474" s="14"/>
      <c r="AS474" s="14"/>
      <c r="AT474" s="14"/>
      <c r="AU474" s="14"/>
      <c r="AV474" s="14"/>
      <c r="AW474" s="14"/>
      <c r="AX474" s="14"/>
      <c r="AY474" s="14"/>
      <c r="AZ474" s="14"/>
      <c r="BA474" s="14"/>
      <c r="BB474" s="14"/>
      <c r="BC474" s="14"/>
      <c r="BD474" s="14"/>
      <c r="BE474" s="14"/>
      <c r="BF474" s="14"/>
      <c r="BG474" s="14"/>
      <c r="BH474" s="14"/>
      <c r="BI474" s="14"/>
    </row>
    <row r="475" spans="1:6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t="e">
        <f>IF('Fund Data'!$H$2,IF(ISNUMBER(AK475),AK475,NA()),NA())</f>
        <v>#N/A</v>
      </c>
      <c r="AO475" s="14"/>
      <c r="AP475" s="14"/>
      <c r="AQ475" s="14"/>
      <c r="AR475" s="14"/>
      <c r="AS475" s="14"/>
      <c r="AT475" s="14"/>
      <c r="AU475" s="14"/>
      <c r="AV475" s="14"/>
      <c r="AW475" s="14"/>
      <c r="AX475" s="14"/>
      <c r="AY475" s="14"/>
      <c r="AZ475" s="14"/>
      <c r="BA475" s="14"/>
      <c r="BB475" s="14"/>
      <c r="BC475" s="14"/>
      <c r="BD475" s="14"/>
      <c r="BE475" s="14"/>
      <c r="BF475" s="14"/>
      <c r="BG475" s="14"/>
      <c r="BH475" s="14"/>
      <c r="BI475" s="14"/>
    </row>
    <row r="476" spans="1:6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4"/>
      <c r="AN476" s="14" t="e">
        <f>IF('Fund Data'!$H$2,IF(ISNUMBER(AK476),AK476,NA()),NA())</f>
        <v>#N/A</v>
      </c>
      <c r="AO476" s="14"/>
      <c r="AP476" s="14"/>
      <c r="AQ476" s="14"/>
      <c r="AR476" s="14"/>
      <c r="AS476" s="14"/>
      <c r="AT476" s="14"/>
      <c r="AU476" s="14"/>
      <c r="AV476" s="14"/>
      <c r="AW476" s="14"/>
      <c r="AX476" s="14"/>
      <c r="AY476" s="14"/>
      <c r="AZ476" s="14"/>
      <c r="BA476" s="14"/>
      <c r="BB476" s="14"/>
      <c r="BC476" s="14"/>
      <c r="BD476" s="14"/>
      <c r="BE476" s="14"/>
      <c r="BF476" s="14"/>
      <c r="BG476" s="14"/>
      <c r="BH476" s="14"/>
      <c r="BI476" s="14"/>
    </row>
    <row r="477" spans="1:6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t="e">
        <f>IF('Fund Data'!$H$2,IF(ISNUMBER(AK477),AK477,NA()),NA())</f>
        <v>#N/A</v>
      </c>
      <c r="AO477" s="14"/>
      <c r="AP477" s="14"/>
      <c r="AQ477" s="14"/>
      <c r="AR477" s="14"/>
      <c r="AS477" s="14"/>
      <c r="AT477" s="14"/>
      <c r="AU477" s="14"/>
      <c r="AV477" s="14"/>
      <c r="AW477" s="14"/>
      <c r="AX477" s="14"/>
      <c r="AY477" s="14"/>
      <c r="AZ477" s="14"/>
      <c r="BA477" s="14"/>
      <c r="BB477" s="14"/>
      <c r="BC477" s="14"/>
      <c r="BD477" s="14"/>
      <c r="BE477" s="14"/>
      <c r="BF477" s="14"/>
      <c r="BG477" s="14"/>
      <c r="BH477" s="14"/>
      <c r="BI477" s="14"/>
    </row>
    <row r="478" spans="1:6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t="e">
        <f>IF('Fund Data'!$H$2,IF(ISNUMBER(AK478),AK478,NA()),NA())</f>
        <v>#N/A</v>
      </c>
      <c r="AO478" s="14"/>
      <c r="AP478" s="14"/>
      <c r="AQ478" s="14"/>
      <c r="AR478" s="14"/>
      <c r="AS478" s="14"/>
      <c r="AT478" s="14"/>
      <c r="AU478" s="14"/>
      <c r="AV478" s="14"/>
      <c r="AW478" s="14"/>
      <c r="AX478" s="14"/>
      <c r="AY478" s="14"/>
      <c r="AZ478" s="14"/>
      <c r="BA478" s="14"/>
      <c r="BB478" s="14"/>
      <c r="BC478" s="14"/>
      <c r="BD478" s="14"/>
      <c r="BE478" s="14"/>
      <c r="BF478" s="14"/>
      <c r="BG478" s="14"/>
      <c r="BH478" s="14"/>
      <c r="BI478" s="14"/>
    </row>
    <row r="479" spans="1:6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t="e">
        <f>IF('Fund Data'!$H$2,IF(ISNUMBER(AK479),AK479,NA()),NA())</f>
        <v>#N/A</v>
      </c>
      <c r="AO479" s="14"/>
      <c r="AP479" s="14"/>
      <c r="AQ479" s="14"/>
      <c r="AR479" s="14"/>
      <c r="AS479" s="14"/>
      <c r="AT479" s="14"/>
      <c r="AU479" s="14"/>
      <c r="AV479" s="14"/>
      <c r="AW479" s="14"/>
      <c r="AX479" s="14"/>
      <c r="AY479" s="14"/>
      <c r="AZ479" s="14"/>
      <c r="BA479" s="14"/>
      <c r="BB479" s="14"/>
      <c r="BC479" s="14"/>
      <c r="BD479" s="14"/>
      <c r="BE479" s="14"/>
      <c r="BF479" s="14"/>
      <c r="BG479" s="14"/>
      <c r="BH479" s="14"/>
      <c r="BI479" s="14"/>
    </row>
    <row r="480" spans="1:6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t="e">
        <f>IF('Fund Data'!$H$2,IF(ISNUMBER(AK480),AK480,NA()),NA())</f>
        <v>#N/A</v>
      </c>
      <c r="AO480" s="14"/>
      <c r="AP480" s="14"/>
      <c r="AQ480" s="14"/>
      <c r="AR480" s="14"/>
      <c r="AS480" s="14"/>
      <c r="AT480" s="14"/>
      <c r="AU480" s="14"/>
      <c r="AV480" s="14"/>
      <c r="AW480" s="14"/>
      <c r="AX480" s="14"/>
      <c r="AY480" s="14"/>
      <c r="AZ480" s="14"/>
      <c r="BA480" s="14"/>
      <c r="BB480" s="14"/>
      <c r="BC480" s="14"/>
      <c r="BD480" s="14"/>
      <c r="BE480" s="14"/>
      <c r="BF480" s="14"/>
      <c r="BG480" s="14"/>
      <c r="BH480" s="14"/>
      <c r="BI480" s="14"/>
    </row>
    <row r="481" spans="1:6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t="e">
        <f>IF('Fund Data'!$H$2,IF(ISNUMBER(AK481),AK481,NA()),NA())</f>
        <v>#N/A</v>
      </c>
      <c r="AO481" s="14"/>
      <c r="AP481" s="14"/>
      <c r="AQ481" s="14"/>
      <c r="AR481" s="14"/>
      <c r="AS481" s="14"/>
      <c r="AT481" s="14"/>
      <c r="AU481" s="14"/>
      <c r="AV481" s="14"/>
      <c r="AW481" s="14"/>
      <c r="AX481" s="14"/>
      <c r="AY481" s="14"/>
      <c r="AZ481" s="14"/>
      <c r="BA481" s="14"/>
      <c r="BB481" s="14"/>
      <c r="BC481" s="14"/>
      <c r="BD481" s="14"/>
      <c r="BE481" s="14"/>
      <c r="BF481" s="14"/>
      <c r="BG481" s="14"/>
      <c r="BH481" s="14"/>
      <c r="BI481" s="14"/>
    </row>
    <row r="482" spans="1:6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t="e">
        <f>IF('Fund Data'!$H$2,IF(ISNUMBER(AK482),AK482,NA()),NA())</f>
        <v>#N/A</v>
      </c>
      <c r="AO482" s="14"/>
      <c r="AP482" s="14"/>
      <c r="AQ482" s="14"/>
      <c r="AR482" s="14"/>
      <c r="AS482" s="14"/>
      <c r="AT482" s="14"/>
      <c r="AU482" s="14"/>
      <c r="AV482" s="14"/>
      <c r="AW482" s="14"/>
      <c r="AX482" s="14"/>
      <c r="AY482" s="14"/>
      <c r="AZ482" s="14"/>
      <c r="BA482" s="14"/>
      <c r="BB482" s="14"/>
      <c r="BC482" s="14"/>
      <c r="BD482" s="14"/>
      <c r="BE482" s="14"/>
      <c r="BF482" s="14"/>
      <c r="BG482" s="14"/>
      <c r="BH482" s="14"/>
      <c r="BI482" s="14"/>
    </row>
    <row r="483" spans="1:6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t="e">
        <f>IF('Fund Data'!$H$2,IF(ISNUMBER(AK483),AK483,NA()),NA())</f>
        <v>#N/A</v>
      </c>
      <c r="AO483" s="14"/>
      <c r="AP483" s="14"/>
      <c r="AQ483" s="14"/>
      <c r="AR483" s="14"/>
      <c r="AS483" s="14"/>
      <c r="AT483" s="14"/>
      <c r="AU483" s="14"/>
      <c r="AV483" s="14"/>
      <c r="AW483" s="14"/>
      <c r="AX483" s="14"/>
      <c r="AY483" s="14"/>
      <c r="AZ483" s="14"/>
      <c r="BA483" s="14"/>
      <c r="BB483" s="14"/>
      <c r="BC483" s="14"/>
      <c r="BD483" s="14"/>
      <c r="BE483" s="14"/>
      <c r="BF483" s="14"/>
      <c r="BG483" s="14"/>
      <c r="BH483" s="14"/>
      <c r="BI483" s="14"/>
    </row>
    <row r="484" spans="1:6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t="e">
        <f>IF('Fund Data'!$H$2,IF(ISNUMBER(AK484),AK484,NA()),NA())</f>
        <v>#N/A</v>
      </c>
      <c r="AO484" s="14"/>
      <c r="AP484" s="14"/>
      <c r="AQ484" s="14"/>
      <c r="AR484" s="14"/>
      <c r="AS484" s="14"/>
      <c r="AT484" s="14"/>
      <c r="AU484" s="14"/>
      <c r="AV484" s="14"/>
      <c r="AW484" s="14"/>
      <c r="AX484" s="14"/>
      <c r="AY484" s="14"/>
      <c r="AZ484" s="14"/>
      <c r="BA484" s="14"/>
      <c r="BB484" s="14"/>
      <c r="BC484" s="14"/>
      <c r="BD484" s="14"/>
      <c r="BE484" s="14"/>
      <c r="BF484" s="14"/>
      <c r="BG484" s="14"/>
      <c r="BH484" s="14"/>
      <c r="BI484" s="14"/>
    </row>
    <row r="485" spans="1:6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t="e">
        <f>IF('Fund Data'!$H$2,IF(ISNUMBER(AK485),AK485,NA()),NA())</f>
        <v>#N/A</v>
      </c>
      <c r="AO485" s="14"/>
      <c r="AP485" s="14"/>
      <c r="AQ485" s="14"/>
      <c r="AR485" s="14"/>
      <c r="AS485" s="14"/>
      <c r="AT485" s="14"/>
      <c r="AU485" s="14"/>
      <c r="AV485" s="14"/>
      <c r="AW485" s="14"/>
      <c r="AX485" s="14"/>
      <c r="AY485" s="14"/>
      <c r="AZ485" s="14"/>
      <c r="BA485" s="14"/>
      <c r="BB485" s="14"/>
      <c r="BC485" s="14"/>
      <c r="BD485" s="14"/>
      <c r="BE485" s="14"/>
      <c r="BF485" s="14"/>
      <c r="BG485" s="14"/>
      <c r="BH485" s="14"/>
      <c r="BI485" s="14"/>
    </row>
    <row r="486" spans="1:6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t="e">
        <f>IF('Fund Data'!$H$2,IF(ISNUMBER(AK486),AK486,NA()),NA())</f>
        <v>#N/A</v>
      </c>
      <c r="AO486" s="14"/>
      <c r="AP486" s="14"/>
      <c r="AQ486" s="14"/>
      <c r="AR486" s="14"/>
      <c r="AS486" s="14"/>
      <c r="AT486" s="14"/>
      <c r="AU486" s="14"/>
      <c r="AV486" s="14"/>
      <c r="AW486" s="14"/>
      <c r="AX486" s="14"/>
      <c r="AY486" s="14"/>
      <c r="AZ486" s="14"/>
      <c r="BA486" s="14"/>
      <c r="BB486" s="14"/>
      <c r="BC486" s="14"/>
      <c r="BD486" s="14"/>
      <c r="BE486" s="14"/>
      <c r="BF486" s="14"/>
      <c r="BG486" s="14"/>
      <c r="BH486" s="14"/>
      <c r="BI486" s="14"/>
    </row>
    <row r="487" spans="1:6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t="e">
        <f>IF('Fund Data'!$H$2,IF(ISNUMBER(AK487),AK487,NA()),NA())</f>
        <v>#N/A</v>
      </c>
      <c r="AO487" s="14"/>
      <c r="AP487" s="14"/>
      <c r="AQ487" s="14"/>
      <c r="AR487" s="14"/>
      <c r="AS487" s="14"/>
      <c r="AT487" s="14"/>
      <c r="AU487" s="14"/>
      <c r="AV487" s="14"/>
      <c r="AW487" s="14"/>
      <c r="AX487" s="14"/>
      <c r="AY487" s="14"/>
      <c r="AZ487" s="14"/>
      <c r="BA487" s="14"/>
      <c r="BB487" s="14"/>
      <c r="BC487" s="14"/>
      <c r="BD487" s="14"/>
      <c r="BE487" s="14"/>
      <c r="BF487" s="14"/>
      <c r="BG487" s="14"/>
      <c r="BH487" s="14"/>
      <c r="BI487" s="14"/>
    </row>
    <row r="488" spans="1:6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t="e">
        <f>IF('Fund Data'!$H$2,IF(ISNUMBER(AK488),AK488,NA()),NA())</f>
        <v>#N/A</v>
      </c>
      <c r="AO488" s="14"/>
      <c r="AP488" s="14"/>
      <c r="AQ488" s="14"/>
      <c r="AR488" s="14"/>
      <c r="AS488" s="14"/>
      <c r="AT488" s="14"/>
      <c r="AU488" s="14"/>
      <c r="AV488" s="14"/>
      <c r="AW488" s="14"/>
      <c r="AX488" s="14"/>
      <c r="AY488" s="14"/>
      <c r="AZ488" s="14"/>
      <c r="BA488" s="14"/>
      <c r="BB488" s="14"/>
      <c r="BC488" s="14"/>
      <c r="BD488" s="14"/>
      <c r="BE488" s="14"/>
      <c r="BF488" s="14"/>
      <c r="BG488" s="14"/>
      <c r="BH488" s="14"/>
      <c r="BI488" s="14"/>
    </row>
    <row r="489" spans="1:6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t="e">
        <f>IF('Fund Data'!$H$2,IF(ISNUMBER(AK489),AK489,NA()),NA())</f>
        <v>#N/A</v>
      </c>
      <c r="AO489" s="14"/>
      <c r="AP489" s="14"/>
      <c r="AQ489" s="14"/>
      <c r="AR489" s="14"/>
      <c r="AS489" s="14"/>
      <c r="AT489" s="14"/>
      <c r="AU489" s="14"/>
      <c r="AV489" s="14"/>
      <c r="AW489" s="14"/>
      <c r="AX489" s="14"/>
      <c r="AY489" s="14"/>
      <c r="AZ489" s="14"/>
      <c r="BA489" s="14"/>
      <c r="BB489" s="14"/>
      <c r="BC489" s="14"/>
      <c r="BD489" s="14"/>
      <c r="BE489" s="14"/>
      <c r="BF489" s="14"/>
      <c r="BG489" s="14"/>
      <c r="BH489" s="14"/>
      <c r="BI489" s="14"/>
    </row>
    <row r="490" spans="1:6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t="e">
        <f>IF('Fund Data'!$H$2,IF(ISNUMBER(AK490),AK490,NA()),NA())</f>
        <v>#N/A</v>
      </c>
      <c r="AO490" s="14"/>
      <c r="AP490" s="14"/>
      <c r="AQ490" s="14"/>
      <c r="AR490" s="14"/>
      <c r="AS490" s="14"/>
      <c r="AT490" s="14"/>
      <c r="AU490" s="14"/>
      <c r="AV490" s="14"/>
      <c r="AW490" s="14"/>
      <c r="AX490" s="14"/>
      <c r="AY490" s="14"/>
      <c r="AZ490" s="14"/>
      <c r="BA490" s="14"/>
      <c r="BB490" s="14"/>
      <c r="BC490" s="14"/>
      <c r="BD490" s="14"/>
      <c r="BE490" s="14"/>
      <c r="BF490" s="14"/>
      <c r="BG490" s="14"/>
      <c r="BH490" s="14"/>
      <c r="BI490" s="14"/>
    </row>
    <row r="491" spans="1:6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t="e">
        <f>IF('Fund Data'!$H$2,IF(ISNUMBER(AK491),AK491,NA()),NA())</f>
        <v>#N/A</v>
      </c>
      <c r="AO491" s="14"/>
      <c r="AP491" s="14"/>
      <c r="AQ491" s="14"/>
      <c r="AR491" s="14"/>
      <c r="AS491" s="14"/>
      <c r="AT491" s="14"/>
      <c r="AU491" s="14"/>
      <c r="AV491" s="14"/>
      <c r="AW491" s="14"/>
      <c r="AX491" s="14"/>
      <c r="AY491" s="14"/>
      <c r="AZ491" s="14"/>
      <c r="BA491" s="14"/>
      <c r="BB491" s="14"/>
      <c r="BC491" s="14"/>
      <c r="BD491" s="14"/>
      <c r="BE491" s="14"/>
      <c r="BF491" s="14"/>
      <c r="BG491" s="14"/>
      <c r="BH491" s="14"/>
      <c r="BI491" s="14"/>
    </row>
    <row r="492" spans="1:6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t="e">
        <f>IF('Fund Data'!$H$2,IF(ISNUMBER(AK492),AK492,NA()),NA())</f>
        <v>#N/A</v>
      </c>
      <c r="AO492" s="14"/>
      <c r="AP492" s="14"/>
      <c r="AQ492" s="14"/>
      <c r="AR492" s="14"/>
      <c r="AS492" s="14"/>
      <c r="AT492" s="14"/>
      <c r="AU492" s="14"/>
      <c r="AV492" s="14"/>
      <c r="AW492" s="14"/>
      <c r="AX492" s="14"/>
      <c r="AY492" s="14"/>
      <c r="AZ492" s="14"/>
      <c r="BA492" s="14"/>
      <c r="BB492" s="14"/>
      <c r="BC492" s="14"/>
      <c r="BD492" s="14"/>
      <c r="BE492" s="14"/>
      <c r="BF492" s="14"/>
      <c r="BG492" s="14"/>
      <c r="BH492" s="14"/>
      <c r="BI492" s="14"/>
    </row>
    <row r="493" spans="1:6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t="e">
        <f>IF('Fund Data'!$H$2,IF(ISNUMBER(AK493),AK493,NA()),NA())</f>
        <v>#N/A</v>
      </c>
      <c r="AO493" s="14"/>
      <c r="AP493" s="14"/>
      <c r="AQ493" s="14"/>
      <c r="AR493" s="14"/>
      <c r="AS493" s="14"/>
      <c r="AT493" s="14"/>
      <c r="AU493" s="14"/>
      <c r="AV493" s="14"/>
      <c r="AW493" s="14"/>
      <c r="AX493" s="14"/>
      <c r="AY493" s="14"/>
      <c r="AZ493" s="14"/>
      <c r="BA493" s="14"/>
      <c r="BB493" s="14"/>
      <c r="BC493" s="14"/>
      <c r="BD493" s="14"/>
      <c r="BE493" s="14"/>
      <c r="BF493" s="14"/>
      <c r="BG493" s="14"/>
      <c r="BH493" s="14"/>
      <c r="BI493" s="14"/>
    </row>
    <row r="494" spans="1:6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t="e">
        <f>IF('Fund Data'!$H$2,IF(ISNUMBER(AK494),AK494,NA()),NA())</f>
        <v>#N/A</v>
      </c>
      <c r="AO494" s="14"/>
      <c r="AP494" s="14"/>
      <c r="AQ494" s="14"/>
      <c r="AR494" s="14"/>
      <c r="AS494" s="14"/>
      <c r="AT494" s="14"/>
      <c r="AU494" s="14"/>
      <c r="AV494" s="14"/>
      <c r="AW494" s="14"/>
      <c r="AX494" s="14"/>
      <c r="AY494" s="14"/>
      <c r="AZ494" s="14"/>
      <c r="BA494" s="14"/>
      <c r="BB494" s="14"/>
      <c r="BC494" s="14"/>
      <c r="BD494" s="14"/>
      <c r="BE494" s="14"/>
      <c r="BF494" s="14"/>
      <c r="BG494" s="14"/>
      <c r="BH494" s="14"/>
      <c r="BI494" s="14"/>
    </row>
    <row r="495" spans="1:6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t="e">
        <f>IF('Fund Data'!$H$2,IF(ISNUMBER(AK495),AK495,NA()),NA())</f>
        <v>#N/A</v>
      </c>
      <c r="AO495" s="14"/>
      <c r="AP495" s="14"/>
      <c r="AQ495" s="14"/>
      <c r="AR495" s="14"/>
      <c r="AS495" s="14"/>
      <c r="AT495" s="14"/>
      <c r="AU495" s="14"/>
      <c r="AV495" s="14"/>
      <c r="AW495" s="14"/>
      <c r="AX495" s="14"/>
      <c r="AY495" s="14"/>
      <c r="AZ495" s="14"/>
      <c r="BA495" s="14"/>
      <c r="BB495" s="14"/>
      <c r="BC495" s="14"/>
      <c r="BD495" s="14"/>
      <c r="BE495" s="14"/>
      <c r="BF495" s="14"/>
      <c r="BG495" s="14"/>
      <c r="BH495" s="14"/>
      <c r="BI495" s="14"/>
    </row>
    <row r="496" spans="1:6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t="e">
        <f>IF('Fund Data'!$H$2,IF(ISNUMBER(AK496),AK496,NA()),NA())</f>
        <v>#N/A</v>
      </c>
      <c r="AO496" s="14"/>
      <c r="AP496" s="14"/>
      <c r="AQ496" s="14"/>
      <c r="AR496" s="14"/>
      <c r="AS496" s="14"/>
      <c r="AT496" s="14"/>
      <c r="AU496" s="14"/>
      <c r="AV496" s="14"/>
      <c r="AW496" s="14"/>
      <c r="AX496" s="14"/>
      <c r="AY496" s="14"/>
      <c r="AZ496" s="14"/>
      <c r="BA496" s="14"/>
      <c r="BB496" s="14"/>
      <c r="BC496" s="14"/>
      <c r="BD496" s="14"/>
      <c r="BE496" s="14"/>
      <c r="BF496" s="14"/>
      <c r="BG496" s="14"/>
      <c r="BH496" s="14"/>
      <c r="BI496" s="14"/>
    </row>
    <row r="497" spans="1:6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t="e">
        <f>IF('Fund Data'!$H$2,IF(ISNUMBER(AK497),AK497,NA()),NA())</f>
        <v>#N/A</v>
      </c>
      <c r="AO497" s="14"/>
      <c r="AP497" s="14"/>
      <c r="AQ497" s="14"/>
      <c r="AR497" s="14"/>
      <c r="AS497" s="14"/>
      <c r="AT497" s="14"/>
      <c r="AU497" s="14"/>
      <c r="AV497" s="14"/>
      <c r="AW497" s="14"/>
      <c r="AX497" s="14"/>
      <c r="AY497" s="14"/>
      <c r="AZ497" s="14"/>
      <c r="BA497" s="14"/>
      <c r="BB497" s="14"/>
      <c r="BC497" s="14"/>
      <c r="BD497" s="14"/>
      <c r="BE497" s="14"/>
      <c r="BF497" s="14"/>
      <c r="BG497" s="14"/>
      <c r="BH497" s="14"/>
      <c r="BI497" s="14"/>
    </row>
    <row r="498" spans="1:6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t="e">
        <f>IF('Fund Data'!$H$2,IF(ISNUMBER(AK498),AK498,NA()),NA())</f>
        <v>#N/A</v>
      </c>
      <c r="AO498" s="14"/>
      <c r="AP498" s="14"/>
      <c r="AQ498" s="14"/>
      <c r="AR498" s="14"/>
      <c r="AS498" s="14"/>
      <c r="AT498" s="14"/>
      <c r="AU498" s="14"/>
      <c r="AV498" s="14"/>
      <c r="AW498" s="14"/>
      <c r="AX498" s="14"/>
      <c r="AY498" s="14"/>
      <c r="AZ498" s="14"/>
      <c r="BA498" s="14"/>
      <c r="BB498" s="14"/>
      <c r="BC498" s="14"/>
      <c r="BD498" s="14"/>
      <c r="BE498" s="14"/>
      <c r="BF498" s="14"/>
      <c r="BG498" s="14"/>
      <c r="BH498" s="14"/>
      <c r="BI498" s="14"/>
    </row>
    <row r="499" spans="1:6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t="e">
        <f>IF('Fund Data'!$H$2,IF(ISNUMBER(AK499),AK499,NA()),NA())</f>
        <v>#N/A</v>
      </c>
      <c r="AO499" s="14"/>
      <c r="AP499" s="14"/>
      <c r="AQ499" s="14"/>
      <c r="AR499" s="14"/>
      <c r="AS499" s="14"/>
      <c r="AT499" s="14"/>
      <c r="AU499" s="14"/>
      <c r="AV499" s="14"/>
      <c r="AW499" s="14"/>
      <c r="AX499" s="14"/>
      <c r="AY499" s="14"/>
      <c r="AZ499" s="14"/>
      <c r="BA499" s="14"/>
      <c r="BB499" s="14"/>
      <c r="BC499" s="14"/>
      <c r="BD499" s="14"/>
      <c r="BE499" s="14"/>
      <c r="BF499" s="14"/>
      <c r="BG499" s="14"/>
      <c r="BH499" s="14"/>
      <c r="BI499" s="14"/>
    </row>
    <row r="500" spans="1:6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t="e">
        <f>IF('Fund Data'!$H$2,IF(ISNUMBER(AK500),AK500,NA()),NA())</f>
        <v>#N/A</v>
      </c>
      <c r="AO500" s="14"/>
      <c r="AP500" s="14"/>
      <c r="AQ500" s="14"/>
      <c r="AR500" s="14"/>
      <c r="AS500" s="14"/>
      <c r="AT500" s="14"/>
      <c r="AU500" s="14"/>
      <c r="AV500" s="14"/>
      <c r="AW500" s="14"/>
      <c r="AX500" s="14"/>
      <c r="AY500" s="14"/>
      <c r="AZ500" s="14"/>
      <c r="BA500" s="14"/>
      <c r="BB500" s="14"/>
      <c r="BC500" s="14"/>
      <c r="BD500" s="14"/>
      <c r="BE500" s="14"/>
      <c r="BF500" s="14"/>
      <c r="BG500" s="14"/>
      <c r="BH500" s="14"/>
      <c r="BI500" s="14"/>
    </row>
    <row r="501" spans="1:6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t="e">
        <f>IF('Fund Data'!$H$2,IF(ISNUMBER(AK501),AK501,NA()),NA())</f>
        <v>#N/A</v>
      </c>
      <c r="AO501" s="14"/>
      <c r="AP501" s="14"/>
      <c r="AQ501" s="14"/>
      <c r="AR501" s="14"/>
      <c r="AS501" s="14"/>
      <c r="AT501" s="14"/>
      <c r="AU501" s="14"/>
      <c r="AV501" s="14"/>
      <c r="AW501" s="14"/>
      <c r="AX501" s="14"/>
      <c r="AY501" s="14"/>
      <c r="AZ501" s="14"/>
      <c r="BA501" s="14"/>
      <c r="BB501" s="14"/>
      <c r="BC501" s="14"/>
      <c r="BD501" s="14"/>
      <c r="BE501" s="14"/>
      <c r="BF501" s="14"/>
      <c r="BG501" s="14"/>
      <c r="BH501" s="14"/>
      <c r="BI501" s="14"/>
    </row>
    <row r="502" spans="1:6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t="e">
        <f>IF('Fund Data'!$H$2,IF(ISNUMBER(AK502),AK502,NA()),NA())</f>
        <v>#N/A</v>
      </c>
      <c r="AO502" s="14"/>
      <c r="AP502" s="14"/>
      <c r="AQ502" s="14"/>
      <c r="AR502" s="14"/>
      <c r="AS502" s="14"/>
      <c r="AT502" s="14"/>
      <c r="AU502" s="14"/>
      <c r="AV502" s="14"/>
      <c r="AW502" s="14"/>
      <c r="AX502" s="14"/>
      <c r="AY502" s="14"/>
      <c r="AZ502" s="14"/>
      <c r="BA502" s="14"/>
      <c r="BB502" s="14"/>
      <c r="BC502" s="14"/>
      <c r="BD502" s="14"/>
      <c r="BE502" s="14"/>
      <c r="BF502" s="14"/>
      <c r="BG502" s="14"/>
      <c r="BH502" s="14"/>
      <c r="BI502" s="14"/>
    </row>
    <row r="503" spans="1:6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t="e">
        <f>IF('Fund Data'!$H$2,IF(ISNUMBER(AK503),AK503,NA()),NA())</f>
        <v>#N/A</v>
      </c>
      <c r="AO503" s="14"/>
      <c r="AP503" s="14"/>
      <c r="AQ503" s="14"/>
      <c r="AR503" s="14"/>
      <c r="AS503" s="14"/>
      <c r="AT503" s="14"/>
      <c r="AU503" s="14"/>
      <c r="AV503" s="14"/>
      <c r="AW503" s="14"/>
      <c r="AX503" s="14"/>
      <c r="AY503" s="14"/>
      <c r="AZ503" s="14"/>
      <c r="BA503" s="14"/>
      <c r="BB503" s="14"/>
      <c r="BC503" s="14"/>
      <c r="BD503" s="14"/>
      <c r="BE503" s="14"/>
      <c r="BF503" s="14"/>
      <c r="BG503" s="14"/>
      <c r="BH503" s="14"/>
      <c r="BI503" s="14"/>
    </row>
    <row r="504" spans="1:6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t="e">
        <f>IF('Fund Data'!$H$2,IF(ISNUMBER(AK504),AK504,NA()),NA())</f>
        <v>#N/A</v>
      </c>
      <c r="AO504" s="14"/>
      <c r="AP504" s="14"/>
      <c r="AQ504" s="14"/>
      <c r="AR504" s="14"/>
      <c r="AS504" s="14"/>
      <c r="AT504" s="14"/>
      <c r="AU504" s="14"/>
      <c r="AV504" s="14"/>
      <c r="AW504" s="14"/>
      <c r="AX504" s="14"/>
      <c r="AY504" s="14"/>
      <c r="AZ504" s="14"/>
      <c r="BA504" s="14"/>
      <c r="BB504" s="14"/>
      <c r="BC504" s="14"/>
      <c r="BD504" s="14"/>
      <c r="BE504" s="14"/>
      <c r="BF504" s="14"/>
      <c r="BG504" s="14"/>
      <c r="BH504" s="14"/>
      <c r="BI504" s="14"/>
    </row>
    <row r="505" spans="1:6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t="e">
        <f>IF('Fund Data'!$H$2,IF(ISNUMBER(AK505),AK505,NA()),NA())</f>
        <v>#N/A</v>
      </c>
      <c r="AO505" s="14"/>
      <c r="AP505" s="14"/>
      <c r="AQ505" s="14"/>
      <c r="AR505" s="14"/>
      <c r="AS505" s="14"/>
      <c r="AT505" s="14"/>
      <c r="AU505" s="14"/>
      <c r="AV505" s="14"/>
      <c r="AW505" s="14"/>
      <c r="AX505" s="14"/>
      <c r="AY505" s="14"/>
      <c r="AZ505" s="14"/>
      <c r="BA505" s="14"/>
      <c r="BB505" s="14"/>
      <c r="BC505" s="14"/>
      <c r="BD505" s="14"/>
      <c r="BE505" s="14"/>
      <c r="BF505" s="14"/>
      <c r="BG505" s="14"/>
      <c r="BH505" s="14"/>
      <c r="BI505" s="14"/>
    </row>
    <row r="506" spans="1:6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t="e">
        <f>IF('Fund Data'!$H$2,IF(ISNUMBER(AK506),AK506,NA()),NA())</f>
        <v>#N/A</v>
      </c>
      <c r="AO506" s="14"/>
      <c r="AP506" s="14"/>
      <c r="AQ506" s="14"/>
      <c r="AR506" s="14"/>
      <c r="AS506" s="14"/>
      <c r="AT506" s="14"/>
      <c r="AU506" s="14"/>
      <c r="AV506" s="14"/>
      <c r="AW506" s="14"/>
      <c r="AX506" s="14"/>
      <c r="AY506" s="14"/>
      <c r="AZ506" s="14"/>
      <c r="BA506" s="14"/>
      <c r="BB506" s="14"/>
      <c r="BC506" s="14"/>
      <c r="BD506" s="14"/>
      <c r="BE506" s="14"/>
      <c r="BF506" s="14"/>
      <c r="BG506" s="14"/>
      <c r="BH506" s="14"/>
      <c r="BI506" s="14"/>
    </row>
    <row r="507" spans="1:6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t="e">
        <f>IF('Fund Data'!$H$2,IF(ISNUMBER(AK507),AK507,NA()),NA())</f>
        <v>#N/A</v>
      </c>
      <c r="AO507" s="14"/>
      <c r="AP507" s="14"/>
      <c r="AQ507" s="14"/>
      <c r="AR507" s="14"/>
      <c r="AS507" s="14"/>
      <c r="AT507" s="14"/>
      <c r="AU507" s="14"/>
      <c r="AV507" s="14"/>
      <c r="AW507" s="14"/>
      <c r="AX507" s="14"/>
      <c r="AY507" s="14"/>
      <c r="AZ507" s="14"/>
      <c r="BA507" s="14"/>
      <c r="BB507" s="14"/>
      <c r="BC507" s="14"/>
      <c r="BD507" s="14"/>
      <c r="BE507" s="14"/>
      <c r="BF507" s="14"/>
      <c r="BG507" s="14"/>
      <c r="BH507" s="14"/>
      <c r="BI507" s="14"/>
    </row>
    <row r="508" spans="1:6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t="e">
        <f>IF('Fund Data'!$H$2,IF(ISNUMBER(AK508),AK508,NA()),NA())</f>
        <v>#N/A</v>
      </c>
      <c r="AO508" s="14"/>
      <c r="AP508" s="14"/>
      <c r="AQ508" s="14"/>
      <c r="AR508" s="14"/>
      <c r="AS508" s="14"/>
      <c r="AT508" s="14"/>
      <c r="AU508" s="14"/>
      <c r="AV508" s="14"/>
      <c r="AW508" s="14"/>
      <c r="AX508" s="14"/>
      <c r="AY508" s="14"/>
      <c r="AZ508" s="14"/>
      <c r="BA508" s="14"/>
      <c r="BB508" s="14"/>
      <c r="BC508" s="14"/>
      <c r="BD508" s="14"/>
      <c r="BE508" s="14"/>
      <c r="BF508" s="14"/>
      <c r="BG508" s="14"/>
      <c r="BH508" s="14"/>
      <c r="BI508" s="14"/>
    </row>
    <row r="509" spans="1:6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t="e">
        <f>IF('Fund Data'!$H$2,IF(ISNUMBER(AK509),AK509,NA()),NA())</f>
        <v>#N/A</v>
      </c>
      <c r="AO509" s="14"/>
      <c r="AP509" s="14"/>
      <c r="AQ509" s="14"/>
      <c r="AR509" s="14"/>
      <c r="AS509" s="14"/>
      <c r="AT509" s="14"/>
      <c r="AU509" s="14"/>
      <c r="AV509" s="14"/>
      <c r="AW509" s="14"/>
      <c r="AX509" s="14"/>
      <c r="AY509" s="14"/>
      <c r="AZ509" s="14"/>
      <c r="BA509" s="14"/>
      <c r="BB509" s="14"/>
      <c r="BC509" s="14"/>
      <c r="BD509" s="14"/>
      <c r="BE509" s="14"/>
      <c r="BF509" s="14"/>
      <c r="BG509" s="14"/>
      <c r="BH509" s="14"/>
      <c r="BI509" s="14"/>
    </row>
    <row r="510" spans="1:6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t="e">
        <f>IF('Fund Data'!$H$2,IF(ISNUMBER(AK510),AK510,NA()),NA())</f>
        <v>#N/A</v>
      </c>
      <c r="AO510" s="14"/>
      <c r="AP510" s="14"/>
      <c r="AQ510" s="14"/>
      <c r="AR510" s="14"/>
      <c r="AS510" s="14"/>
      <c r="AT510" s="14"/>
      <c r="AU510" s="14"/>
      <c r="AV510" s="14"/>
      <c r="AW510" s="14"/>
      <c r="AX510" s="14"/>
      <c r="AY510" s="14"/>
      <c r="AZ510" s="14"/>
      <c r="BA510" s="14"/>
      <c r="BB510" s="14"/>
      <c r="BC510" s="14"/>
      <c r="BD510" s="14"/>
      <c r="BE510" s="14"/>
      <c r="BF510" s="14"/>
      <c r="BG510" s="14"/>
      <c r="BH510" s="14"/>
      <c r="BI510" s="14"/>
    </row>
    <row r="511" spans="1:6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t="e">
        <f>IF('Fund Data'!$H$2,IF(ISNUMBER(AK511),AK511,NA()),NA())</f>
        <v>#N/A</v>
      </c>
      <c r="AO511" s="14"/>
      <c r="AP511" s="14"/>
      <c r="AQ511" s="14"/>
      <c r="AR511" s="14"/>
      <c r="AS511" s="14"/>
      <c r="AT511" s="14"/>
      <c r="AU511" s="14"/>
      <c r="AV511" s="14"/>
      <c r="AW511" s="14"/>
      <c r="AX511" s="14"/>
      <c r="AY511" s="14"/>
      <c r="AZ511" s="14"/>
      <c r="BA511" s="14"/>
      <c r="BB511" s="14"/>
      <c r="BC511" s="14"/>
      <c r="BD511" s="14"/>
      <c r="BE511" s="14"/>
      <c r="BF511" s="14"/>
      <c r="BG511" s="14"/>
      <c r="BH511" s="14"/>
      <c r="BI511" s="14"/>
    </row>
    <row r="512" spans="1:6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t="e">
        <f>IF('Fund Data'!$H$2,IF(ISNUMBER(AK512),AK512,NA()),NA())</f>
        <v>#N/A</v>
      </c>
      <c r="AO512" s="14"/>
      <c r="AP512" s="14"/>
      <c r="AQ512" s="14"/>
      <c r="AR512" s="14"/>
      <c r="AS512" s="14"/>
      <c r="AT512" s="14"/>
      <c r="AU512" s="14"/>
      <c r="AV512" s="14"/>
      <c r="AW512" s="14"/>
      <c r="AX512" s="14"/>
      <c r="AY512" s="14"/>
      <c r="AZ512" s="14"/>
      <c r="BA512" s="14"/>
      <c r="BB512" s="14"/>
      <c r="BC512" s="14"/>
      <c r="BD512" s="14"/>
      <c r="BE512" s="14"/>
      <c r="BF512" s="14"/>
      <c r="BG512" s="14"/>
      <c r="BH512" s="14"/>
      <c r="BI512" s="14"/>
    </row>
    <row r="513" spans="1:6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t="e">
        <f>IF('Fund Data'!$H$2,IF(ISNUMBER(AK513),AK513,NA()),NA())</f>
        <v>#N/A</v>
      </c>
      <c r="AO513" s="14"/>
      <c r="AP513" s="14"/>
      <c r="AQ513" s="14"/>
      <c r="AR513" s="14"/>
      <c r="AS513" s="14"/>
      <c r="AT513" s="14"/>
      <c r="AU513" s="14"/>
      <c r="AV513" s="14"/>
      <c r="AW513" s="14"/>
      <c r="AX513" s="14"/>
      <c r="AY513" s="14"/>
      <c r="AZ513" s="14"/>
      <c r="BA513" s="14"/>
      <c r="BB513" s="14"/>
      <c r="BC513" s="14"/>
      <c r="BD513" s="14"/>
      <c r="BE513" s="14"/>
      <c r="BF513" s="14"/>
      <c r="BG513" s="14"/>
      <c r="BH513" s="14"/>
      <c r="BI513" s="14"/>
    </row>
    <row r="514" spans="1:6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t="e">
        <f>IF('Fund Data'!$H$2,IF(ISNUMBER(AK514),AK514,NA()),NA())</f>
        <v>#N/A</v>
      </c>
      <c r="AO514" s="14"/>
      <c r="AP514" s="14"/>
      <c r="AQ514" s="14"/>
      <c r="AR514" s="14"/>
      <c r="AS514" s="14"/>
      <c r="AT514" s="14"/>
      <c r="AU514" s="14"/>
      <c r="AV514" s="14"/>
      <c r="AW514" s="14"/>
      <c r="AX514" s="14"/>
      <c r="AY514" s="14"/>
      <c r="AZ514" s="14"/>
      <c r="BA514" s="14"/>
      <c r="BB514" s="14"/>
      <c r="BC514" s="14"/>
      <c r="BD514" s="14"/>
      <c r="BE514" s="14"/>
      <c r="BF514" s="14"/>
      <c r="BG514" s="14"/>
      <c r="BH514" s="14"/>
      <c r="BI514" s="14"/>
    </row>
    <row r="515" spans="1:6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t="e">
        <f>IF('Fund Data'!$H$2,IF(ISNUMBER(AK515),AK515,NA()),NA())</f>
        <v>#N/A</v>
      </c>
      <c r="AO515" s="14"/>
      <c r="AP515" s="14"/>
      <c r="AQ515" s="14"/>
      <c r="AR515" s="14"/>
      <c r="AS515" s="14"/>
      <c r="AT515" s="14"/>
      <c r="AU515" s="14"/>
      <c r="AV515" s="14"/>
      <c r="AW515" s="14"/>
      <c r="AX515" s="14"/>
      <c r="AY515" s="14"/>
      <c r="AZ515" s="14"/>
      <c r="BA515" s="14"/>
      <c r="BB515" s="14"/>
      <c r="BC515" s="14"/>
      <c r="BD515" s="14"/>
      <c r="BE515" s="14"/>
      <c r="BF515" s="14"/>
      <c r="BG515" s="14"/>
      <c r="BH515" s="14"/>
      <c r="BI515" s="14"/>
    </row>
    <row r="516" spans="1:6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t="e">
        <f>IF('Fund Data'!$H$2,IF(ISNUMBER(AK516),AK516,NA()),NA())</f>
        <v>#N/A</v>
      </c>
      <c r="AO516" s="14"/>
      <c r="AP516" s="14"/>
      <c r="AQ516" s="14"/>
      <c r="AR516" s="14"/>
      <c r="AS516" s="14"/>
      <c r="AT516" s="14"/>
      <c r="AU516" s="14"/>
      <c r="AV516" s="14"/>
      <c r="AW516" s="14"/>
      <c r="AX516" s="14"/>
      <c r="AY516" s="14"/>
      <c r="AZ516" s="14"/>
      <c r="BA516" s="14"/>
      <c r="BB516" s="14"/>
      <c r="BC516" s="14"/>
      <c r="BD516" s="14"/>
      <c r="BE516" s="14"/>
      <c r="BF516" s="14"/>
      <c r="BG516" s="14"/>
      <c r="BH516" s="14"/>
      <c r="BI516" s="14"/>
    </row>
    <row r="517" spans="1:6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t="e">
        <f>IF('Fund Data'!$H$2,IF(ISNUMBER(AK517),AK517,NA()),NA())</f>
        <v>#N/A</v>
      </c>
      <c r="AO517" s="14"/>
      <c r="AP517" s="14"/>
      <c r="AQ517" s="14"/>
      <c r="AR517" s="14"/>
      <c r="AS517" s="14"/>
      <c r="AT517" s="14"/>
      <c r="AU517" s="14"/>
      <c r="AV517" s="14"/>
      <c r="AW517" s="14"/>
      <c r="AX517" s="14"/>
      <c r="AY517" s="14"/>
      <c r="AZ517" s="14"/>
      <c r="BA517" s="14"/>
      <c r="BB517" s="14"/>
      <c r="BC517" s="14"/>
      <c r="BD517" s="14"/>
      <c r="BE517" s="14"/>
      <c r="BF517" s="14"/>
      <c r="BG517" s="14"/>
      <c r="BH517" s="14"/>
      <c r="BI517" s="14"/>
    </row>
    <row r="518" spans="1:6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t="e">
        <f>IF('Fund Data'!$H$2,IF(ISNUMBER(AK518),AK518,NA()),NA())</f>
        <v>#N/A</v>
      </c>
      <c r="AO518" s="14"/>
      <c r="AP518" s="14"/>
      <c r="AQ518" s="14"/>
      <c r="AR518" s="14"/>
      <c r="AS518" s="14"/>
      <c r="AT518" s="14"/>
      <c r="AU518" s="14"/>
      <c r="AV518" s="14"/>
      <c r="AW518" s="14"/>
      <c r="AX518" s="14"/>
      <c r="AY518" s="14"/>
      <c r="AZ518" s="14"/>
      <c r="BA518" s="14"/>
      <c r="BB518" s="14"/>
      <c r="BC518" s="14"/>
      <c r="BD518" s="14"/>
      <c r="BE518" s="14"/>
      <c r="BF518" s="14"/>
      <c r="BG518" s="14"/>
      <c r="BH518" s="14"/>
      <c r="BI518" s="14"/>
    </row>
    <row r="519" spans="1:6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t="e">
        <f>IF('Fund Data'!$H$2,IF(ISNUMBER(AK519),AK519,NA()),NA())</f>
        <v>#N/A</v>
      </c>
      <c r="AO519" s="14"/>
      <c r="AP519" s="14"/>
      <c r="AQ519" s="14"/>
      <c r="AR519" s="14"/>
      <c r="AS519" s="14"/>
      <c r="AT519" s="14"/>
      <c r="AU519" s="14"/>
      <c r="AV519" s="14"/>
      <c r="AW519" s="14"/>
      <c r="AX519" s="14"/>
      <c r="AY519" s="14"/>
      <c r="AZ519" s="14"/>
      <c r="BA519" s="14"/>
      <c r="BB519" s="14"/>
      <c r="BC519" s="14"/>
      <c r="BD519" s="14"/>
      <c r="BE519" s="14"/>
      <c r="BF519" s="14"/>
      <c r="BG519" s="14"/>
      <c r="BH519" s="14"/>
      <c r="BI519" s="14"/>
    </row>
    <row r="520" spans="1:6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t="e">
        <f>IF('Fund Data'!$H$2,IF(ISNUMBER(AK520),AK520,NA()),NA())</f>
        <v>#N/A</v>
      </c>
      <c r="AO520" s="14"/>
      <c r="AP520" s="14"/>
      <c r="AQ520" s="14"/>
      <c r="AR520" s="14"/>
      <c r="AS520" s="14"/>
      <c r="AT520" s="14"/>
      <c r="AU520" s="14"/>
      <c r="AV520" s="14"/>
      <c r="AW520" s="14"/>
      <c r="AX520" s="14"/>
      <c r="AY520" s="14"/>
      <c r="AZ520" s="14"/>
      <c r="BA520" s="14"/>
      <c r="BB520" s="14"/>
      <c r="BC520" s="14"/>
      <c r="BD520" s="14"/>
      <c r="BE520" s="14"/>
      <c r="BF520" s="14"/>
      <c r="BG520" s="14"/>
      <c r="BH520" s="14"/>
      <c r="BI520" s="14"/>
    </row>
    <row r="521" spans="1:6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t="e">
        <f>IF('Fund Data'!$H$2,IF(ISNUMBER(AK521),AK521,NA()),NA())</f>
        <v>#N/A</v>
      </c>
      <c r="AO521" s="14"/>
      <c r="AP521" s="14"/>
      <c r="AQ521" s="14"/>
      <c r="AR521" s="14"/>
      <c r="AS521" s="14"/>
      <c r="AT521" s="14"/>
      <c r="AU521" s="14"/>
      <c r="AV521" s="14"/>
      <c r="AW521" s="14"/>
      <c r="AX521" s="14"/>
      <c r="AY521" s="14"/>
      <c r="AZ521" s="14"/>
      <c r="BA521" s="14"/>
      <c r="BB521" s="14"/>
      <c r="BC521" s="14"/>
      <c r="BD521" s="14"/>
      <c r="BE521" s="14"/>
      <c r="BF521" s="14"/>
      <c r="BG521" s="14"/>
      <c r="BH521" s="14"/>
      <c r="BI521" s="14"/>
    </row>
    <row r="522" spans="1:6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t="e">
        <f>IF('Fund Data'!$H$2,IF(ISNUMBER(AK522),AK522,NA()),NA())</f>
        <v>#N/A</v>
      </c>
      <c r="AO522" s="14"/>
      <c r="AP522" s="14"/>
      <c r="AQ522" s="14"/>
      <c r="AR522" s="14"/>
      <c r="AS522" s="14"/>
      <c r="AT522" s="14"/>
      <c r="AU522" s="14"/>
      <c r="AV522" s="14"/>
      <c r="AW522" s="14"/>
      <c r="AX522" s="14"/>
      <c r="AY522" s="14"/>
      <c r="AZ522" s="14"/>
      <c r="BA522" s="14"/>
      <c r="BB522" s="14"/>
      <c r="BC522" s="14"/>
      <c r="BD522" s="14"/>
      <c r="BE522" s="14"/>
      <c r="BF522" s="14"/>
      <c r="BG522" s="14"/>
      <c r="BH522" s="14"/>
      <c r="BI522" s="14"/>
    </row>
    <row r="523" spans="1:6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t="e">
        <f>IF('Fund Data'!$H$2,IF(ISNUMBER(AK523),AK523,NA()),NA())</f>
        <v>#N/A</v>
      </c>
      <c r="AO523" s="14"/>
      <c r="AP523" s="14"/>
      <c r="AQ523" s="14"/>
      <c r="AR523" s="14"/>
      <c r="AS523" s="14"/>
      <c r="AT523" s="14"/>
      <c r="AU523" s="14"/>
      <c r="AV523" s="14"/>
      <c r="AW523" s="14"/>
      <c r="AX523" s="14"/>
      <c r="AY523" s="14"/>
      <c r="AZ523" s="14"/>
      <c r="BA523" s="14"/>
      <c r="BB523" s="14"/>
      <c r="BC523" s="14"/>
      <c r="BD523" s="14"/>
      <c r="BE523" s="14"/>
      <c r="BF523" s="14"/>
      <c r="BG523" s="14"/>
      <c r="BH523" s="14"/>
      <c r="BI523" s="14"/>
    </row>
    <row r="524" spans="1:6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t="e">
        <f>IF('Fund Data'!$H$2,IF(ISNUMBER(AK524),AK524,NA()),NA())</f>
        <v>#N/A</v>
      </c>
      <c r="AO524" s="14"/>
      <c r="AP524" s="14"/>
      <c r="AQ524" s="14"/>
      <c r="AR524" s="14"/>
      <c r="AS524" s="14"/>
      <c r="AT524" s="14"/>
      <c r="AU524" s="14"/>
      <c r="AV524" s="14"/>
      <c r="AW524" s="14"/>
      <c r="AX524" s="14"/>
      <c r="AY524" s="14"/>
      <c r="AZ524" s="14"/>
      <c r="BA524" s="14"/>
      <c r="BB524" s="14"/>
      <c r="BC524" s="14"/>
      <c r="BD524" s="14"/>
      <c r="BE524" s="14"/>
      <c r="BF524" s="14"/>
      <c r="BG524" s="14"/>
      <c r="BH524" s="14"/>
      <c r="BI524" s="14"/>
    </row>
    <row r="525" spans="1:6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t="e">
        <f>IF('Fund Data'!$H$2,IF(ISNUMBER(AK525),AK525,NA()),NA())</f>
        <v>#N/A</v>
      </c>
      <c r="AO525" s="14"/>
      <c r="AP525" s="14"/>
      <c r="AQ525" s="14"/>
      <c r="AR525" s="14"/>
      <c r="AS525" s="14"/>
      <c r="AT525" s="14"/>
      <c r="AU525" s="14"/>
      <c r="AV525" s="14"/>
      <c r="AW525" s="14"/>
      <c r="AX525" s="14"/>
      <c r="AY525" s="14"/>
      <c r="AZ525" s="14"/>
      <c r="BA525" s="14"/>
      <c r="BB525" s="14"/>
      <c r="BC525" s="14"/>
      <c r="BD525" s="14"/>
      <c r="BE525" s="14"/>
      <c r="BF525" s="14"/>
      <c r="BG525" s="14"/>
      <c r="BH525" s="14"/>
      <c r="BI525" s="14"/>
    </row>
    <row r="526" spans="1:6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t="e">
        <f>IF('Fund Data'!$H$2,IF(ISNUMBER(AK526),AK526,NA()),NA())</f>
        <v>#N/A</v>
      </c>
      <c r="AO526" s="14"/>
      <c r="AP526" s="14"/>
      <c r="AQ526" s="14"/>
      <c r="AR526" s="14"/>
      <c r="AS526" s="14"/>
      <c r="AT526" s="14"/>
      <c r="AU526" s="14"/>
      <c r="AV526" s="14"/>
      <c r="AW526" s="14"/>
      <c r="AX526" s="14"/>
      <c r="AY526" s="14"/>
      <c r="AZ526" s="14"/>
      <c r="BA526" s="14"/>
      <c r="BB526" s="14"/>
      <c r="BC526" s="14"/>
      <c r="BD526" s="14"/>
      <c r="BE526" s="14"/>
      <c r="BF526" s="14"/>
      <c r="BG526" s="14"/>
      <c r="BH526" s="14"/>
      <c r="BI526" s="14"/>
    </row>
    <row r="527" spans="1:6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t="e">
        <f>IF('Fund Data'!$H$2,IF(ISNUMBER(AK527),AK527,NA()),NA())</f>
        <v>#N/A</v>
      </c>
      <c r="AO527" s="14"/>
      <c r="AP527" s="14"/>
      <c r="AQ527" s="14"/>
      <c r="AR527" s="14"/>
      <c r="AS527" s="14"/>
      <c r="AT527" s="14"/>
      <c r="AU527" s="14"/>
      <c r="AV527" s="14"/>
      <c r="AW527" s="14"/>
      <c r="AX527" s="14"/>
      <c r="AY527" s="14"/>
      <c r="AZ527" s="14"/>
      <c r="BA527" s="14"/>
      <c r="BB527" s="14"/>
      <c r="BC527" s="14"/>
      <c r="BD527" s="14"/>
      <c r="BE527" s="14"/>
      <c r="BF527" s="14"/>
      <c r="BG527" s="14"/>
      <c r="BH527" s="14"/>
      <c r="BI527" s="14"/>
    </row>
    <row r="528" spans="1:6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t="e">
        <f>IF('Fund Data'!$H$2,IF(ISNUMBER(AK528),AK528,NA()),NA())</f>
        <v>#N/A</v>
      </c>
      <c r="AO528" s="14"/>
      <c r="AP528" s="14"/>
      <c r="AQ528" s="14"/>
      <c r="AR528" s="14"/>
      <c r="AS528" s="14"/>
      <c r="AT528" s="14"/>
      <c r="AU528" s="14"/>
      <c r="AV528" s="14"/>
      <c r="AW528" s="14"/>
      <c r="AX528" s="14"/>
      <c r="AY528" s="14"/>
      <c r="AZ528" s="14"/>
      <c r="BA528" s="14"/>
      <c r="BB528" s="14"/>
      <c r="BC528" s="14"/>
      <c r="BD528" s="14"/>
      <c r="BE528" s="14"/>
      <c r="BF528" s="14"/>
      <c r="BG528" s="14"/>
      <c r="BH528" s="14"/>
      <c r="BI528" s="14"/>
    </row>
    <row r="529" spans="1:6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t="e">
        <f>IF('Fund Data'!$H$2,IF(ISNUMBER(AK529),AK529,NA()),NA())</f>
        <v>#N/A</v>
      </c>
      <c r="AO529" s="14"/>
      <c r="AP529" s="14"/>
      <c r="AQ529" s="14"/>
      <c r="AR529" s="14"/>
      <c r="AS529" s="14"/>
      <c r="AT529" s="14"/>
      <c r="AU529" s="14"/>
      <c r="AV529" s="14"/>
      <c r="AW529" s="14"/>
      <c r="AX529" s="14"/>
      <c r="AY529" s="14"/>
      <c r="AZ529" s="14"/>
      <c r="BA529" s="14"/>
      <c r="BB529" s="14"/>
      <c r="BC529" s="14"/>
      <c r="BD529" s="14"/>
      <c r="BE529" s="14"/>
      <c r="BF529" s="14"/>
      <c r="BG529" s="14"/>
      <c r="BH529" s="14"/>
      <c r="BI529" s="14"/>
    </row>
    <row r="530" spans="1:6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t="e">
        <f>IF('Fund Data'!$H$2,IF(ISNUMBER(AK530),AK530,NA()),NA())</f>
        <v>#N/A</v>
      </c>
      <c r="AO530" s="14"/>
      <c r="AP530" s="14"/>
      <c r="AQ530" s="14"/>
      <c r="AR530" s="14"/>
      <c r="AS530" s="14"/>
      <c r="AT530" s="14"/>
      <c r="AU530" s="14"/>
      <c r="AV530" s="14"/>
      <c r="AW530" s="14"/>
      <c r="AX530" s="14"/>
      <c r="AY530" s="14"/>
      <c r="AZ530" s="14"/>
      <c r="BA530" s="14"/>
      <c r="BB530" s="14"/>
      <c r="BC530" s="14"/>
      <c r="BD530" s="14"/>
      <c r="BE530" s="14"/>
      <c r="BF530" s="14"/>
      <c r="BG530" s="14"/>
      <c r="BH530" s="14"/>
      <c r="BI530" s="14"/>
    </row>
    <row r="531" spans="1:6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t="e">
        <f>IF('Fund Data'!$H$2,IF(ISNUMBER(AK531),AK531,NA()),NA())</f>
        <v>#N/A</v>
      </c>
      <c r="AO531" s="14"/>
      <c r="AP531" s="14"/>
      <c r="AQ531" s="14"/>
      <c r="AR531" s="14"/>
      <c r="AS531" s="14"/>
      <c r="AT531" s="14"/>
      <c r="AU531" s="14"/>
      <c r="AV531" s="14"/>
      <c r="AW531" s="14"/>
      <c r="AX531" s="14"/>
      <c r="AY531" s="14"/>
      <c r="AZ531" s="14"/>
      <c r="BA531" s="14"/>
      <c r="BB531" s="14"/>
      <c r="BC531" s="14"/>
      <c r="BD531" s="14"/>
      <c r="BE531" s="14"/>
      <c r="BF531" s="14"/>
      <c r="BG531" s="14"/>
      <c r="BH531" s="14"/>
      <c r="BI531" s="14"/>
    </row>
    <row r="532" spans="1:6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t="e">
        <f>IF('Fund Data'!$H$2,IF(ISNUMBER(AK532),AK532,NA()),NA())</f>
        <v>#N/A</v>
      </c>
      <c r="AO532" s="14"/>
      <c r="AP532" s="14"/>
      <c r="AQ532" s="14"/>
      <c r="AR532" s="14"/>
      <c r="AS532" s="14"/>
      <c r="AT532" s="14"/>
      <c r="AU532" s="14"/>
      <c r="AV532" s="14"/>
      <c r="AW532" s="14"/>
      <c r="AX532" s="14"/>
      <c r="AY532" s="14"/>
      <c r="AZ532" s="14"/>
      <c r="BA532" s="14"/>
      <c r="BB532" s="14"/>
      <c r="BC532" s="14"/>
      <c r="BD532" s="14"/>
      <c r="BE532" s="14"/>
      <c r="BF532" s="14"/>
      <c r="BG532" s="14"/>
      <c r="BH532" s="14"/>
      <c r="BI532" s="14"/>
    </row>
    <row r="533" spans="1:6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t="e">
        <f>IF('Fund Data'!$H$2,IF(ISNUMBER(AK533),AK533,NA()),NA())</f>
        <v>#N/A</v>
      </c>
      <c r="AO533" s="14"/>
      <c r="AP533" s="14"/>
      <c r="AQ533" s="14"/>
      <c r="AR533" s="14"/>
      <c r="AS533" s="14"/>
      <c r="AT533" s="14"/>
      <c r="AU533" s="14"/>
      <c r="AV533" s="14"/>
      <c r="AW533" s="14"/>
      <c r="AX533" s="14"/>
      <c r="AY533" s="14"/>
      <c r="AZ533" s="14"/>
      <c r="BA533" s="14"/>
      <c r="BB533" s="14"/>
      <c r="BC533" s="14"/>
      <c r="BD533" s="14"/>
      <c r="BE533" s="14"/>
      <c r="BF533" s="14"/>
      <c r="BG533" s="14"/>
      <c r="BH533" s="14"/>
      <c r="BI533" s="14"/>
    </row>
    <row r="534" spans="1:6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t="e">
        <f>IF('Fund Data'!$H$2,IF(ISNUMBER(AK534),AK534,NA()),NA())</f>
        <v>#N/A</v>
      </c>
      <c r="AO534" s="14"/>
      <c r="AP534" s="14"/>
      <c r="AQ534" s="14"/>
      <c r="AR534" s="14"/>
      <c r="AS534" s="14"/>
      <c r="AT534" s="14"/>
      <c r="AU534" s="14"/>
      <c r="AV534" s="14"/>
      <c r="AW534" s="14"/>
      <c r="AX534" s="14"/>
      <c r="AY534" s="14"/>
      <c r="AZ534" s="14"/>
      <c r="BA534" s="14"/>
      <c r="BB534" s="14"/>
      <c r="BC534" s="14"/>
      <c r="BD534" s="14"/>
      <c r="BE534" s="14"/>
      <c r="BF534" s="14"/>
      <c r="BG534" s="14"/>
      <c r="BH534" s="14"/>
      <c r="BI534" s="14"/>
    </row>
    <row r="535" spans="1:6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t="e">
        <f>IF('Fund Data'!$H$2,IF(ISNUMBER(AK535),AK535,NA()),NA())</f>
        <v>#N/A</v>
      </c>
      <c r="AO535" s="14"/>
      <c r="AP535" s="14"/>
      <c r="AQ535" s="14"/>
      <c r="AR535" s="14"/>
      <c r="AS535" s="14"/>
      <c r="AT535" s="14"/>
      <c r="AU535" s="14"/>
      <c r="AV535" s="14"/>
      <c r="AW535" s="14"/>
      <c r="AX535" s="14"/>
      <c r="AY535" s="14"/>
      <c r="AZ535" s="14"/>
      <c r="BA535" s="14"/>
      <c r="BB535" s="14"/>
      <c r="BC535" s="14"/>
      <c r="BD535" s="14"/>
      <c r="BE535" s="14"/>
      <c r="BF535" s="14"/>
      <c r="BG535" s="14"/>
      <c r="BH535" s="14"/>
      <c r="BI535" s="14"/>
    </row>
    <row r="536" spans="1:6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t="e">
        <f>IF('Fund Data'!$H$2,IF(ISNUMBER(AK536),AK536,NA()),NA())</f>
        <v>#N/A</v>
      </c>
      <c r="AO536" s="14"/>
      <c r="AP536" s="14"/>
      <c r="AQ536" s="14"/>
      <c r="AR536" s="14"/>
      <c r="AS536" s="14"/>
      <c r="AT536" s="14"/>
      <c r="AU536" s="14"/>
      <c r="AV536" s="14"/>
      <c r="AW536" s="14"/>
      <c r="AX536" s="14"/>
      <c r="AY536" s="14"/>
      <c r="AZ536" s="14"/>
      <c r="BA536" s="14"/>
      <c r="BB536" s="14"/>
      <c r="BC536" s="14"/>
      <c r="BD536" s="14"/>
      <c r="BE536" s="14"/>
      <c r="BF536" s="14"/>
      <c r="BG536" s="14"/>
      <c r="BH536" s="14"/>
      <c r="BI536" s="14"/>
    </row>
    <row r="537" spans="1:6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t="e">
        <f>IF('Fund Data'!$H$2,IF(ISNUMBER(AK537),AK537,NA()),NA())</f>
        <v>#N/A</v>
      </c>
      <c r="AO537" s="14"/>
      <c r="AP537" s="14"/>
      <c r="AQ537" s="14"/>
      <c r="AR537" s="14"/>
      <c r="AS537" s="14"/>
      <c r="AT537" s="14"/>
      <c r="AU537" s="14"/>
      <c r="AV537" s="14"/>
      <c r="AW537" s="14"/>
      <c r="AX537" s="14"/>
      <c r="AY537" s="14"/>
      <c r="AZ537" s="14"/>
      <c r="BA537" s="14"/>
      <c r="BB537" s="14"/>
      <c r="BC537" s="14"/>
      <c r="BD537" s="14"/>
      <c r="BE537" s="14"/>
      <c r="BF537" s="14"/>
      <c r="BG537" s="14"/>
      <c r="BH537" s="14"/>
      <c r="BI537" s="14"/>
    </row>
    <row r="538" spans="1:6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t="e">
        <f>IF('Fund Data'!$H$2,IF(ISNUMBER(AK538),AK538,NA()),NA())</f>
        <v>#N/A</v>
      </c>
      <c r="AO538" s="14"/>
      <c r="AP538" s="14"/>
      <c r="AQ538" s="14"/>
      <c r="AR538" s="14"/>
      <c r="AS538" s="14"/>
      <c r="AT538" s="14"/>
      <c r="AU538" s="14"/>
      <c r="AV538" s="14"/>
      <c r="AW538" s="14"/>
      <c r="AX538" s="14"/>
      <c r="AY538" s="14"/>
      <c r="AZ538" s="14"/>
      <c r="BA538" s="14"/>
      <c r="BB538" s="14"/>
      <c r="BC538" s="14"/>
      <c r="BD538" s="14"/>
      <c r="BE538" s="14"/>
      <c r="BF538" s="14"/>
      <c r="BG538" s="14"/>
      <c r="BH538" s="14"/>
      <c r="BI538" s="14"/>
    </row>
    <row r="539" spans="1:6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t="e">
        <f>IF('Fund Data'!$H$2,IF(ISNUMBER(AK539),AK539,NA()),NA())</f>
        <v>#N/A</v>
      </c>
      <c r="AO539" s="14"/>
      <c r="AP539" s="14"/>
      <c r="AQ539" s="14"/>
      <c r="AR539" s="14"/>
      <c r="AS539" s="14"/>
      <c r="AT539" s="14"/>
      <c r="AU539" s="14"/>
      <c r="AV539" s="14"/>
      <c r="AW539" s="14"/>
      <c r="AX539" s="14"/>
      <c r="AY539" s="14"/>
      <c r="AZ539" s="14"/>
      <c r="BA539" s="14"/>
      <c r="BB539" s="14"/>
      <c r="BC539" s="14"/>
      <c r="BD539" s="14"/>
      <c r="BE539" s="14"/>
      <c r="BF539" s="14"/>
      <c r="BG539" s="14"/>
      <c r="BH539" s="14"/>
      <c r="BI539" s="14"/>
    </row>
    <row r="540" spans="1:6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t="e">
        <f>IF('Fund Data'!$H$2,IF(ISNUMBER(AK540),AK540,NA()),NA())</f>
        <v>#N/A</v>
      </c>
      <c r="AO540" s="14"/>
      <c r="AP540" s="14"/>
      <c r="AQ540" s="14"/>
      <c r="AR540" s="14"/>
      <c r="AS540" s="14"/>
      <c r="AT540" s="14"/>
      <c r="AU540" s="14"/>
      <c r="AV540" s="14"/>
      <c r="AW540" s="14"/>
      <c r="AX540" s="14"/>
      <c r="AY540" s="14"/>
      <c r="AZ540" s="14"/>
      <c r="BA540" s="14"/>
      <c r="BB540" s="14"/>
      <c r="BC540" s="14"/>
      <c r="BD540" s="14"/>
      <c r="BE540" s="14"/>
      <c r="BF540" s="14"/>
      <c r="BG540" s="14"/>
      <c r="BH540" s="14"/>
      <c r="BI540" s="14"/>
    </row>
    <row r="541" spans="1:6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t="e">
        <f>IF('Fund Data'!$H$2,IF(ISNUMBER(AK541),AK541,NA()),NA())</f>
        <v>#N/A</v>
      </c>
      <c r="AO541" s="14"/>
      <c r="AP541" s="14"/>
      <c r="AQ541" s="14"/>
      <c r="AR541" s="14"/>
      <c r="AS541" s="14"/>
      <c r="AT541" s="14"/>
      <c r="AU541" s="14"/>
      <c r="AV541" s="14"/>
      <c r="AW541" s="14"/>
      <c r="AX541" s="14"/>
      <c r="AY541" s="14"/>
      <c r="AZ541" s="14"/>
      <c r="BA541" s="14"/>
      <c r="BB541" s="14"/>
      <c r="BC541" s="14"/>
      <c r="BD541" s="14"/>
      <c r="BE541" s="14"/>
      <c r="BF541" s="14"/>
      <c r="BG541" s="14"/>
      <c r="BH541" s="14"/>
      <c r="BI541" s="14"/>
    </row>
    <row r="542" spans="1:6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t="e">
        <f>IF('Fund Data'!$H$2,IF(ISNUMBER(AK542),AK542,NA()),NA())</f>
        <v>#N/A</v>
      </c>
      <c r="AO542" s="14"/>
      <c r="AP542" s="14"/>
      <c r="AQ542" s="14"/>
      <c r="AR542" s="14"/>
      <c r="AS542" s="14"/>
      <c r="AT542" s="14"/>
      <c r="AU542" s="14"/>
      <c r="AV542" s="14"/>
      <c r="AW542" s="14"/>
      <c r="AX542" s="14"/>
      <c r="AY542" s="14"/>
      <c r="AZ542" s="14"/>
      <c r="BA542" s="14"/>
      <c r="BB542" s="14"/>
      <c r="BC542" s="14"/>
      <c r="BD542" s="14"/>
      <c r="BE542" s="14"/>
      <c r="BF542" s="14"/>
      <c r="BG542" s="14"/>
      <c r="BH542" s="14"/>
      <c r="BI542" s="14"/>
    </row>
    <row r="543" spans="1:6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t="e">
        <f>IF('Fund Data'!$H$2,IF(ISNUMBER(AK543),AK543,NA()),NA())</f>
        <v>#N/A</v>
      </c>
      <c r="AO543" s="14"/>
      <c r="AP543" s="14"/>
      <c r="AQ543" s="14"/>
      <c r="AR543" s="14"/>
      <c r="AS543" s="14"/>
      <c r="AT543" s="14"/>
      <c r="AU543" s="14"/>
      <c r="AV543" s="14"/>
      <c r="AW543" s="14"/>
      <c r="AX543" s="14"/>
      <c r="AY543" s="14"/>
      <c r="AZ543" s="14"/>
      <c r="BA543" s="14"/>
      <c r="BB543" s="14"/>
      <c r="BC543" s="14"/>
      <c r="BD543" s="14"/>
      <c r="BE543" s="14"/>
      <c r="BF543" s="14"/>
      <c r="BG543" s="14"/>
      <c r="BH543" s="14"/>
      <c r="BI543" s="14"/>
    </row>
    <row r="544" spans="1:6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t="e">
        <f>IF('Fund Data'!$H$2,IF(ISNUMBER(AK544),AK544,NA()),NA())</f>
        <v>#N/A</v>
      </c>
      <c r="AO544" s="14"/>
      <c r="AP544" s="14"/>
      <c r="AQ544" s="14"/>
      <c r="AR544" s="14"/>
      <c r="AS544" s="14"/>
      <c r="AT544" s="14"/>
      <c r="AU544" s="14"/>
      <c r="AV544" s="14"/>
      <c r="AW544" s="14"/>
      <c r="AX544" s="14"/>
      <c r="AY544" s="14"/>
      <c r="AZ544" s="14"/>
      <c r="BA544" s="14"/>
      <c r="BB544" s="14"/>
      <c r="BC544" s="14"/>
      <c r="BD544" s="14"/>
      <c r="BE544" s="14"/>
      <c r="BF544" s="14"/>
      <c r="BG544" s="14"/>
      <c r="BH544" s="14"/>
      <c r="BI544" s="14"/>
    </row>
    <row r="545" spans="1:6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t="e">
        <f>IF('Fund Data'!$H$2,IF(ISNUMBER(AK545),AK545,NA()),NA())</f>
        <v>#N/A</v>
      </c>
      <c r="AO545" s="14"/>
      <c r="AP545" s="14"/>
      <c r="AQ545" s="14"/>
      <c r="AR545" s="14"/>
      <c r="AS545" s="14"/>
      <c r="AT545" s="14"/>
      <c r="AU545" s="14"/>
      <c r="AV545" s="14"/>
      <c r="AW545" s="14"/>
      <c r="AX545" s="14"/>
      <c r="AY545" s="14"/>
      <c r="AZ545" s="14"/>
      <c r="BA545" s="14"/>
      <c r="BB545" s="14"/>
      <c r="BC545" s="14"/>
      <c r="BD545" s="14"/>
      <c r="BE545" s="14"/>
      <c r="BF545" s="14"/>
      <c r="BG545" s="14"/>
      <c r="BH545" s="14"/>
      <c r="BI545" s="14"/>
    </row>
    <row r="546" spans="1:6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t="e">
        <f>IF('Fund Data'!$H$2,IF(ISNUMBER(AK546),AK546,NA()),NA())</f>
        <v>#N/A</v>
      </c>
      <c r="AO546" s="14"/>
      <c r="AP546" s="14"/>
      <c r="AQ546" s="14"/>
      <c r="AR546" s="14"/>
      <c r="AS546" s="14"/>
      <c r="AT546" s="14"/>
      <c r="AU546" s="14"/>
      <c r="AV546" s="14"/>
      <c r="AW546" s="14"/>
      <c r="AX546" s="14"/>
      <c r="AY546" s="14"/>
      <c r="AZ546" s="14"/>
      <c r="BA546" s="14"/>
      <c r="BB546" s="14"/>
      <c r="BC546" s="14"/>
      <c r="BD546" s="14"/>
      <c r="BE546" s="14"/>
      <c r="BF546" s="14"/>
      <c r="BG546" s="14"/>
      <c r="BH546" s="14"/>
      <c r="BI546" s="14"/>
    </row>
    <row r="547" spans="1:6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t="e">
        <f>IF('Fund Data'!$H$2,IF(ISNUMBER(AK547),AK547,NA()),NA())</f>
        <v>#N/A</v>
      </c>
      <c r="AO547" s="14"/>
      <c r="AP547" s="14"/>
      <c r="AQ547" s="14"/>
      <c r="AR547" s="14"/>
      <c r="AS547" s="14"/>
      <c r="AT547" s="14"/>
      <c r="AU547" s="14"/>
      <c r="AV547" s="14"/>
      <c r="AW547" s="14"/>
      <c r="AX547" s="14"/>
      <c r="AY547" s="14"/>
      <c r="AZ547" s="14"/>
      <c r="BA547" s="14"/>
      <c r="BB547" s="14"/>
      <c r="BC547" s="14"/>
      <c r="BD547" s="14"/>
      <c r="BE547" s="14"/>
      <c r="BF547" s="14"/>
      <c r="BG547" s="14"/>
      <c r="BH547" s="14"/>
      <c r="BI547" s="14"/>
    </row>
    <row r="548" spans="1:6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t="e">
        <f>IF('Fund Data'!$H$2,IF(ISNUMBER(AK548),AK548,NA()),NA())</f>
        <v>#N/A</v>
      </c>
      <c r="AO548" s="14"/>
      <c r="AP548" s="14"/>
      <c r="AQ548" s="14"/>
      <c r="AR548" s="14"/>
      <c r="AS548" s="14"/>
      <c r="AT548" s="14"/>
      <c r="AU548" s="14"/>
      <c r="AV548" s="14"/>
      <c r="AW548" s="14"/>
      <c r="AX548" s="14"/>
      <c r="AY548" s="14"/>
      <c r="AZ548" s="14"/>
      <c r="BA548" s="14"/>
      <c r="BB548" s="14"/>
      <c r="BC548" s="14"/>
      <c r="BD548" s="14"/>
      <c r="BE548" s="14"/>
      <c r="BF548" s="14"/>
      <c r="BG548" s="14"/>
      <c r="BH548" s="14"/>
      <c r="BI548" s="14"/>
    </row>
    <row r="549" spans="1:6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t="e">
        <f>IF('Fund Data'!$H$2,IF(ISNUMBER(AK549),AK549,NA()),NA())</f>
        <v>#N/A</v>
      </c>
      <c r="AO549" s="14"/>
      <c r="AP549" s="14"/>
      <c r="AQ549" s="14"/>
      <c r="AR549" s="14"/>
      <c r="AS549" s="14"/>
      <c r="AT549" s="14"/>
      <c r="AU549" s="14"/>
      <c r="AV549" s="14"/>
      <c r="AW549" s="14"/>
      <c r="AX549" s="14"/>
      <c r="AY549" s="14"/>
      <c r="AZ549" s="14"/>
      <c r="BA549" s="14"/>
      <c r="BB549" s="14"/>
      <c r="BC549" s="14"/>
      <c r="BD549" s="14"/>
      <c r="BE549" s="14"/>
      <c r="BF549" s="14"/>
      <c r="BG549" s="14"/>
      <c r="BH549" s="14"/>
      <c r="BI549" s="14"/>
    </row>
    <row r="550" spans="1:6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t="e">
        <f>IF('Fund Data'!$H$2,IF(ISNUMBER(AK550),AK550,NA()),NA())</f>
        <v>#N/A</v>
      </c>
      <c r="AO550" s="14"/>
      <c r="AP550" s="14"/>
      <c r="AQ550" s="14"/>
      <c r="AR550" s="14"/>
      <c r="AS550" s="14"/>
      <c r="AT550" s="14"/>
      <c r="AU550" s="14"/>
      <c r="AV550" s="14"/>
      <c r="AW550" s="14"/>
      <c r="AX550" s="14"/>
      <c r="AY550" s="14"/>
      <c r="AZ550" s="14"/>
      <c r="BA550" s="14"/>
      <c r="BB550" s="14"/>
      <c r="BC550" s="14"/>
      <c r="BD550" s="14"/>
      <c r="BE550" s="14"/>
      <c r="BF550" s="14"/>
      <c r="BG550" s="14"/>
      <c r="BH550" s="14"/>
      <c r="BI550" s="14"/>
    </row>
    <row r="551" spans="1:6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t="e">
        <f>IF('Fund Data'!$H$2,IF(ISNUMBER(AK551),AK551,NA()),NA())</f>
        <v>#N/A</v>
      </c>
      <c r="AO551" s="14"/>
      <c r="AP551" s="14"/>
      <c r="AQ551" s="14"/>
      <c r="AR551" s="14"/>
      <c r="AS551" s="14"/>
      <c r="AT551" s="14"/>
      <c r="AU551" s="14"/>
      <c r="AV551" s="14"/>
      <c r="AW551" s="14"/>
      <c r="AX551" s="14"/>
      <c r="AY551" s="14"/>
      <c r="AZ551" s="14"/>
      <c r="BA551" s="14"/>
      <c r="BB551" s="14"/>
      <c r="BC551" s="14"/>
      <c r="BD551" s="14"/>
      <c r="BE551" s="14"/>
      <c r="BF551" s="14"/>
      <c r="BG551" s="14"/>
      <c r="BH551" s="14"/>
      <c r="BI551" s="14"/>
    </row>
    <row r="552" spans="1:6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t="e">
        <f>IF('Fund Data'!$H$2,IF(ISNUMBER(AK552),AK552,NA()),NA())</f>
        <v>#N/A</v>
      </c>
      <c r="AO552" s="14"/>
      <c r="AP552" s="14"/>
      <c r="AQ552" s="14"/>
      <c r="AR552" s="14"/>
      <c r="AS552" s="14"/>
      <c r="AT552" s="14"/>
      <c r="AU552" s="14"/>
      <c r="AV552" s="14"/>
      <c r="AW552" s="14"/>
      <c r="AX552" s="14"/>
      <c r="AY552" s="14"/>
      <c r="AZ552" s="14"/>
      <c r="BA552" s="14"/>
      <c r="BB552" s="14"/>
      <c r="BC552" s="14"/>
      <c r="BD552" s="14"/>
      <c r="BE552" s="14"/>
      <c r="BF552" s="14"/>
      <c r="BG552" s="14"/>
      <c r="BH552" s="14"/>
      <c r="BI552" s="14"/>
    </row>
    <row r="553" spans="1:6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t="e">
        <f>IF('Fund Data'!$H$2,IF(ISNUMBER(AK553),AK553,NA()),NA())</f>
        <v>#N/A</v>
      </c>
      <c r="AO553" s="14"/>
      <c r="AP553" s="14"/>
      <c r="AQ553" s="14"/>
      <c r="AR553" s="14"/>
      <c r="AS553" s="14"/>
      <c r="AT553" s="14"/>
      <c r="AU553" s="14"/>
      <c r="AV553" s="14"/>
      <c r="AW553" s="14"/>
      <c r="AX553" s="14"/>
      <c r="AY553" s="14"/>
      <c r="AZ553" s="14"/>
      <c r="BA553" s="14"/>
      <c r="BB553" s="14"/>
      <c r="BC553" s="14"/>
      <c r="BD553" s="14"/>
      <c r="BE553" s="14"/>
      <c r="BF553" s="14"/>
      <c r="BG553" s="14"/>
      <c r="BH553" s="14"/>
      <c r="BI553" s="14"/>
    </row>
    <row r="554" spans="1:6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t="e">
        <f>IF('Fund Data'!$H$2,IF(ISNUMBER(AK554),AK554,NA()),NA())</f>
        <v>#N/A</v>
      </c>
      <c r="AO554" s="14"/>
      <c r="AP554" s="14"/>
      <c r="AQ554" s="14"/>
      <c r="AR554" s="14"/>
      <c r="AS554" s="14"/>
      <c r="AT554" s="14"/>
      <c r="AU554" s="14"/>
      <c r="AV554" s="14"/>
      <c r="AW554" s="14"/>
      <c r="AX554" s="14"/>
      <c r="AY554" s="14"/>
      <c r="AZ554" s="14"/>
      <c r="BA554" s="14"/>
      <c r="BB554" s="14"/>
      <c r="BC554" s="14"/>
      <c r="BD554" s="14"/>
      <c r="BE554" s="14"/>
      <c r="BF554" s="14"/>
      <c r="BG554" s="14"/>
      <c r="BH554" s="14"/>
      <c r="BI554" s="14"/>
    </row>
    <row r="555" spans="1:6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t="e">
        <f>IF('Fund Data'!$H$2,IF(ISNUMBER(AK555),AK555,NA()),NA())</f>
        <v>#N/A</v>
      </c>
      <c r="AO555" s="14"/>
      <c r="AP555" s="14"/>
      <c r="AQ555" s="14"/>
      <c r="AR555" s="14"/>
      <c r="AS555" s="14"/>
      <c r="AT555" s="14"/>
      <c r="AU555" s="14"/>
      <c r="AV555" s="14"/>
      <c r="AW555" s="14"/>
      <c r="AX555" s="14"/>
      <c r="AY555" s="14"/>
      <c r="AZ555" s="14"/>
      <c r="BA555" s="14"/>
      <c r="BB555" s="14"/>
      <c r="BC555" s="14"/>
      <c r="BD555" s="14"/>
      <c r="BE555" s="14"/>
      <c r="BF555" s="14"/>
      <c r="BG555" s="14"/>
      <c r="BH555" s="14"/>
      <c r="BI555" s="14"/>
    </row>
    <row r="556" spans="1:6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t="e">
        <f>IF('Fund Data'!$H$2,IF(ISNUMBER(AK556),AK556,NA()),NA())</f>
        <v>#N/A</v>
      </c>
      <c r="AO556" s="14"/>
      <c r="AP556" s="14"/>
      <c r="AQ556" s="14"/>
      <c r="AR556" s="14"/>
      <c r="AS556" s="14"/>
      <c r="AT556" s="14"/>
      <c r="AU556" s="14"/>
      <c r="AV556" s="14"/>
      <c r="AW556" s="14"/>
      <c r="AX556" s="14"/>
      <c r="AY556" s="14"/>
      <c r="AZ556" s="14"/>
      <c r="BA556" s="14"/>
      <c r="BB556" s="14"/>
      <c r="BC556" s="14"/>
      <c r="BD556" s="14"/>
      <c r="BE556" s="14"/>
      <c r="BF556" s="14"/>
      <c r="BG556" s="14"/>
      <c r="BH556" s="14"/>
      <c r="BI556" s="14"/>
    </row>
    <row r="557" spans="1:6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t="e">
        <f>IF('Fund Data'!$H$2,IF(ISNUMBER(AK557),AK557,NA()),NA())</f>
        <v>#N/A</v>
      </c>
      <c r="AO557" s="14"/>
      <c r="AP557" s="14"/>
      <c r="AQ557" s="14"/>
      <c r="AR557" s="14"/>
      <c r="AS557" s="14"/>
      <c r="AT557" s="14"/>
      <c r="AU557" s="14"/>
      <c r="AV557" s="14"/>
      <c r="AW557" s="14"/>
      <c r="AX557" s="14"/>
      <c r="AY557" s="14"/>
      <c r="AZ557" s="14"/>
      <c r="BA557" s="14"/>
      <c r="BB557" s="14"/>
      <c r="BC557" s="14"/>
      <c r="BD557" s="14"/>
      <c r="BE557" s="14"/>
      <c r="BF557" s="14"/>
      <c r="BG557" s="14"/>
      <c r="BH557" s="14"/>
      <c r="BI557" s="14"/>
    </row>
    <row r="558" spans="1:6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t="e">
        <f>IF('Fund Data'!$H$2,IF(ISNUMBER(AK558),AK558,NA()),NA())</f>
        <v>#N/A</v>
      </c>
      <c r="AO558" s="14"/>
      <c r="AP558" s="14"/>
      <c r="AQ558" s="14"/>
      <c r="AR558" s="14"/>
      <c r="AS558" s="14"/>
      <c r="AT558" s="14"/>
      <c r="AU558" s="14"/>
      <c r="AV558" s="14"/>
      <c r="AW558" s="14"/>
      <c r="AX558" s="14"/>
      <c r="AY558" s="14"/>
      <c r="AZ558" s="14"/>
      <c r="BA558" s="14"/>
      <c r="BB558" s="14"/>
      <c r="BC558" s="14"/>
      <c r="BD558" s="14"/>
      <c r="BE558" s="14"/>
      <c r="BF558" s="14"/>
      <c r="BG558" s="14"/>
      <c r="BH558" s="14"/>
      <c r="BI558" s="14"/>
    </row>
    <row r="559" spans="1:6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t="e">
        <f>IF('Fund Data'!$H$2,IF(ISNUMBER(AK559),AK559,NA()),NA())</f>
        <v>#N/A</v>
      </c>
      <c r="AO559" s="14"/>
      <c r="AP559" s="14"/>
      <c r="AQ559" s="14"/>
      <c r="AR559" s="14"/>
      <c r="AS559" s="14"/>
      <c r="AT559" s="14"/>
      <c r="AU559" s="14"/>
      <c r="AV559" s="14"/>
      <c r="AW559" s="14"/>
      <c r="AX559" s="14"/>
      <c r="AY559" s="14"/>
      <c r="AZ559" s="14"/>
      <c r="BA559" s="14"/>
      <c r="BB559" s="14"/>
      <c r="BC559" s="14"/>
      <c r="BD559" s="14"/>
      <c r="BE559" s="14"/>
      <c r="BF559" s="14"/>
      <c r="BG559" s="14"/>
      <c r="BH559" s="14"/>
      <c r="BI559" s="14"/>
    </row>
    <row r="560" spans="1:6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t="e">
        <f>IF('Fund Data'!$H$2,IF(ISNUMBER(AK560),AK560,NA()),NA())</f>
        <v>#N/A</v>
      </c>
      <c r="AO560" s="14"/>
      <c r="AP560" s="14"/>
      <c r="AQ560" s="14"/>
      <c r="AR560" s="14"/>
      <c r="AS560" s="14"/>
      <c r="AT560" s="14"/>
      <c r="AU560" s="14"/>
      <c r="AV560" s="14"/>
      <c r="AW560" s="14"/>
      <c r="AX560" s="14"/>
      <c r="AY560" s="14"/>
      <c r="AZ560" s="14"/>
      <c r="BA560" s="14"/>
      <c r="BB560" s="14"/>
      <c r="BC560" s="14"/>
      <c r="BD560" s="14"/>
      <c r="BE560" s="14"/>
      <c r="BF560" s="14"/>
      <c r="BG560" s="14"/>
      <c r="BH560" s="14"/>
      <c r="BI560" s="14"/>
    </row>
    <row r="561" spans="1:6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t="e">
        <f>IF('Fund Data'!$H$2,IF(ISNUMBER(AK561),AK561,NA()),NA())</f>
        <v>#N/A</v>
      </c>
      <c r="AO561" s="14"/>
      <c r="AP561" s="14"/>
      <c r="AQ561" s="14"/>
      <c r="AR561" s="14"/>
      <c r="AS561" s="14"/>
      <c r="AT561" s="14"/>
      <c r="AU561" s="14"/>
      <c r="AV561" s="14"/>
      <c r="AW561" s="14"/>
      <c r="AX561" s="14"/>
      <c r="AY561" s="14"/>
      <c r="AZ561" s="14"/>
      <c r="BA561" s="14"/>
      <c r="BB561" s="14"/>
      <c r="BC561" s="14"/>
      <c r="BD561" s="14"/>
      <c r="BE561" s="14"/>
      <c r="BF561" s="14"/>
      <c r="BG561" s="14"/>
      <c r="BH561" s="14"/>
      <c r="BI561" s="14"/>
    </row>
    <row r="562" spans="1:6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t="e">
        <f>IF('Fund Data'!$H$2,IF(ISNUMBER(AK562),AK562,NA()),NA())</f>
        <v>#N/A</v>
      </c>
      <c r="AO562" s="14"/>
      <c r="AP562" s="14"/>
      <c r="AQ562" s="14"/>
      <c r="AR562" s="14"/>
      <c r="AS562" s="14"/>
      <c r="AT562" s="14"/>
      <c r="AU562" s="14"/>
      <c r="AV562" s="14"/>
      <c r="AW562" s="14"/>
      <c r="AX562" s="14"/>
      <c r="AY562" s="14"/>
      <c r="AZ562" s="14"/>
      <c r="BA562" s="14"/>
      <c r="BB562" s="14"/>
      <c r="BC562" s="14"/>
      <c r="BD562" s="14"/>
      <c r="BE562" s="14"/>
      <c r="BF562" s="14"/>
      <c r="BG562" s="14"/>
      <c r="BH562" s="14"/>
      <c r="BI562" s="14"/>
    </row>
    <row r="563" spans="1:6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t="e">
        <f>IF('Fund Data'!$H$2,IF(ISNUMBER(AK563),AK563,NA()),NA())</f>
        <v>#N/A</v>
      </c>
      <c r="AO563" s="14"/>
      <c r="AP563" s="14"/>
      <c r="AQ563" s="14"/>
      <c r="AR563" s="14"/>
      <c r="AS563" s="14"/>
      <c r="AT563" s="14"/>
      <c r="AU563" s="14"/>
      <c r="AV563" s="14"/>
      <c r="AW563" s="14"/>
      <c r="AX563" s="14"/>
      <c r="AY563" s="14"/>
      <c r="AZ563" s="14"/>
      <c r="BA563" s="14"/>
      <c r="BB563" s="14"/>
      <c r="BC563" s="14"/>
      <c r="BD563" s="14"/>
      <c r="BE563" s="14"/>
      <c r="BF563" s="14"/>
      <c r="BG563" s="14"/>
      <c r="BH563" s="14"/>
      <c r="BI563" s="14"/>
    </row>
    <row r="564" spans="1:6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t="e">
        <f>IF('Fund Data'!$H$2,IF(ISNUMBER(AK564),AK564,NA()),NA())</f>
        <v>#N/A</v>
      </c>
      <c r="AO564" s="14"/>
      <c r="AP564" s="14"/>
      <c r="AQ564" s="14"/>
      <c r="AR564" s="14"/>
      <c r="AS564" s="14"/>
      <c r="AT564" s="14"/>
      <c r="AU564" s="14"/>
      <c r="AV564" s="14"/>
      <c r="AW564" s="14"/>
      <c r="AX564" s="14"/>
      <c r="AY564" s="14"/>
      <c r="AZ564" s="14"/>
      <c r="BA564" s="14"/>
      <c r="BB564" s="14"/>
      <c r="BC564" s="14"/>
      <c r="BD564" s="14"/>
      <c r="BE564" s="14"/>
      <c r="BF564" s="14"/>
      <c r="BG564" s="14"/>
      <c r="BH564" s="14"/>
      <c r="BI564" s="14"/>
    </row>
    <row r="565" spans="1:6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t="e">
        <f>IF('Fund Data'!$H$2,IF(ISNUMBER(AK565),AK565,NA()),NA())</f>
        <v>#N/A</v>
      </c>
      <c r="AO565" s="14"/>
      <c r="AP565" s="14"/>
      <c r="AQ565" s="14"/>
      <c r="AR565" s="14"/>
      <c r="AS565" s="14"/>
      <c r="AT565" s="14"/>
      <c r="AU565" s="14"/>
      <c r="AV565" s="14"/>
      <c r="AW565" s="14"/>
      <c r="AX565" s="14"/>
      <c r="AY565" s="14"/>
      <c r="AZ565" s="14"/>
      <c r="BA565" s="14"/>
      <c r="BB565" s="14"/>
      <c r="BC565" s="14"/>
      <c r="BD565" s="14"/>
      <c r="BE565" s="14"/>
      <c r="BF565" s="14"/>
      <c r="BG565" s="14"/>
      <c r="BH565" s="14"/>
      <c r="BI565" s="14"/>
    </row>
    <row r="566" spans="1:6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t="e">
        <f>IF('Fund Data'!$H$2,IF(ISNUMBER(AK566),AK566,NA()),NA())</f>
        <v>#N/A</v>
      </c>
      <c r="AO566" s="14"/>
      <c r="AP566" s="14"/>
      <c r="AQ566" s="14"/>
      <c r="AR566" s="14"/>
      <c r="AS566" s="14"/>
      <c r="AT566" s="14"/>
      <c r="AU566" s="14"/>
      <c r="AV566" s="14"/>
      <c r="AW566" s="14"/>
      <c r="AX566" s="14"/>
      <c r="AY566" s="14"/>
      <c r="AZ566" s="14"/>
      <c r="BA566" s="14"/>
      <c r="BB566" s="14"/>
      <c r="BC566" s="14"/>
      <c r="BD566" s="14"/>
      <c r="BE566" s="14"/>
      <c r="BF566" s="14"/>
      <c r="BG566" s="14"/>
      <c r="BH566" s="14"/>
      <c r="BI566" s="14"/>
    </row>
    <row r="567" spans="1:6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t="e">
        <f>IF('Fund Data'!$H$2,IF(ISNUMBER(AK567),AK567,NA()),NA())</f>
        <v>#N/A</v>
      </c>
      <c r="AO567" s="14"/>
      <c r="AP567" s="14"/>
      <c r="AQ567" s="14"/>
      <c r="AR567" s="14"/>
      <c r="AS567" s="14"/>
      <c r="AT567" s="14"/>
      <c r="AU567" s="14"/>
      <c r="AV567" s="14"/>
      <c r="AW567" s="14"/>
      <c r="AX567" s="14"/>
      <c r="AY567" s="14"/>
      <c r="AZ567" s="14"/>
      <c r="BA567" s="14"/>
      <c r="BB567" s="14"/>
      <c r="BC567" s="14"/>
      <c r="BD567" s="14"/>
      <c r="BE567" s="14"/>
      <c r="BF567" s="14"/>
      <c r="BG567" s="14"/>
      <c r="BH567" s="14"/>
      <c r="BI567" s="14"/>
    </row>
    <row r="568" spans="1:6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t="e">
        <f>IF('Fund Data'!$H$2,IF(ISNUMBER(AK568),AK568,NA()),NA())</f>
        <v>#N/A</v>
      </c>
      <c r="AO568" s="14"/>
      <c r="AP568" s="14"/>
      <c r="AQ568" s="14"/>
      <c r="AR568" s="14"/>
      <c r="AS568" s="14"/>
      <c r="AT568" s="14"/>
      <c r="AU568" s="14"/>
      <c r="AV568" s="14"/>
      <c r="AW568" s="14"/>
      <c r="AX568" s="14"/>
      <c r="AY568" s="14"/>
      <c r="AZ568" s="14"/>
      <c r="BA568" s="14"/>
      <c r="BB568" s="14"/>
      <c r="BC568" s="14"/>
      <c r="BD568" s="14"/>
      <c r="BE568" s="14"/>
      <c r="BF568" s="14"/>
      <c r="BG568" s="14"/>
      <c r="BH568" s="14"/>
      <c r="BI568" s="14"/>
    </row>
    <row r="569" spans="1:6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t="e">
        <f>IF('Fund Data'!$H$2,IF(ISNUMBER(AK569),AK569,NA()),NA())</f>
        <v>#N/A</v>
      </c>
      <c r="AO569" s="14"/>
      <c r="AP569" s="14"/>
      <c r="AQ569" s="14"/>
      <c r="AR569" s="14"/>
      <c r="AS569" s="14"/>
      <c r="AT569" s="14"/>
      <c r="AU569" s="14"/>
      <c r="AV569" s="14"/>
      <c r="AW569" s="14"/>
      <c r="AX569" s="14"/>
      <c r="AY569" s="14"/>
      <c r="AZ569" s="14"/>
      <c r="BA569" s="14"/>
      <c r="BB569" s="14"/>
      <c r="BC569" s="14"/>
      <c r="BD569" s="14"/>
      <c r="BE569" s="14"/>
      <c r="BF569" s="14"/>
      <c r="BG569" s="14"/>
      <c r="BH569" s="14"/>
      <c r="BI569" s="14"/>
    </row>
    <row r="570" spans="1:6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t="e">
        <f>IF('Fund Data'!$H$2,IF(ISNUMBER(AK570),AK570,NA()),NA())</f>
        <v>#N/A</v>
      </c>
      <c r="AO570" s="14"/>
      <c r="AP570" s="14"/>
      <c r="AQ570" s="14"/>
      <c r="AR570" s="14"/>
      <c r="AS570" s="14"/>
      <c r="AT570" s="14"/>
      <c r="AU570" s="14"/>
      <c r="AV570" s="14"/>
      <c r="AW570" s="14"/>
      <c r="AX570" s="14"/>
      <c r="AY570" s="14"/>
      <c r="AZ570" s="14"/>
      <c r="BA570" s="14"/>
      <c r="BB570" s="14"/>
      <c r="BC570" s="14"/>
      <c r="BD570" s="14"/>
      <c r="BE570" s="14"/>
      <c r="BF570" s="14"/>
      <c r="BG570" s="14"/>
      <c r="BH570" s="14"/>
      <c r="BI570" s="14"/>
    </row>
    <row r="571" spans="1:6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t="e">
        <f>IF('Fund Data'!$H$2,IF(ISNUMBER(AK571),AK571,NA()),NA())</f>
        <v>#N/A</v>
      </c>
      <c r="AO571" s="14"/>
      <c r="AP571" s="14"/>
      <c r="AQ571" s="14"/>
      <c r="AR571" s="14"/>
      <c r="AS571" s="14"/>
      <c r="AT571" s="14"/>
      <c r="AU571" s="14"/>
      <c r="AV571" s="14"/>
      <c r="AW571" s="14"/>
      <c r="AX571" s="14"/>
      <c r="AY571" s="14"/>
      <c r="AZ571" s="14"/>
      <c r="BA571" s="14"/>
      <c r="BB571" s="14"/>
      <c r="BC571" s="14"/>
      <c r="BD571" s="14"/>
      <c r="BE571" s="14"/>
      <c r="BF571" s="14"/>
      <c r="BG571" s="14"/>
      <c r="BH571" s="14"/>
      <c r="BI571" s="14"/>
    </row>
    <row r="572" spans="1:6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t="e">
        <f>IF('Fund Data'!$H$2,IF(ISNUMBER(AK572),AK572,NA()),NA())</f>
        <v>#N/A</v>
      </c>
      <c r="AO572" s="14"/>
      <c r="AP572" s="14"/>
      <c r="AQ572" s="14"/>
      <c r="AR572" s="14"/>
      <c r="AS572" s="14"/>
      <c r="AT572" s="14"/>
      <c r="AU572" s="14"/>
      <c r="AV572" s="14"/>
      <c r="AW572" s="14"/>
      <c r="AX572" s="14"/>
      <c r="AY572" s="14"/>
      <c r="AZ572" s="14"/>
      <c r="BA572" s="14"/>
      <c r="BB572" s="14"/>
      <c r="BC572" s="14"/>
      <c r="BD572" s="14"/>
      <c r="BE572" s="14"/>
      <c r="BF572" s="14"/>
      <c r="BG572" s="14"/>
      <c r="BH572" s="14"/>
      <c r="BI572" s="14"/>
    </row>
    <row r="573" spans="1:6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t="e">
        <f>IF('Fund Data'!$H$2,IF(ISNUMBER(AK573),AK573,NA()),NA())</f>
        <v>#N/A</v>
      </c>
      <c r="AO573" s="14"/>
      <c r="AP573" s="14"/>
      <c r="AQ573" s="14"/>
      <c r="AR573" s="14"/>
      <c r="AS573" s="14"/>
      <c r="AT573" s="14"/>
      <c r="AU573" s="14"/>
      <c r="AV573" s="14"/>
      <c r="AW573" s="14"/>
      <c r="AX573" s="14"/>
      <c r="AY573" s="14"/>
      <c r="AZ573" s="14"/>
      <c r="BA573" s="14"/>
      <c r="BB573" s="14"/>
      <c r="BC573" s="14"/>
      <c r="BD573" s="14"/>
      <c r="BE573" s="14"/>
      <c r="BF573" s="14"/>
      <c r="BG573" s="14"/>
      <c r="BH573" s="14"/>
      <c r="BI573" s="14"/>
    </row>
    <row r="574" spans="1:6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t="e">
        <f>IF('Fund Data'!$H$2,IF(ISNUMBER(AK574),AK574,NA()),NA())</f>
        <v>#N/A</v>
      </c>
      <c r="AO574" s="14"/>
      <c r="AP574" s="14"/>
      <c r="AQ574" s="14"/>
      <c r="AR574" s="14"/>
      <c r="AS574" s="14"/>
      <c r="AT574" s="14"/>
      <c r="AU574" s="14"/>
      <c r="AV574" s="14"/>
      <c r="AW574" s="14"/>
      <c r="AX574" s="14"/>
      <c r="AY574" s="14"/>
      <c r="AZ574" s="14"/>
      <c r="BA574" s="14"/>
      <c r="BB574" s="14"/>
      <c r="BC574" s="14"/>
      <c r="BD574" s="14"/>
      <c r="BE574" s="14"/>
      <c r="BF574" s="14"/>
      <c r="BG574" s="14"/>
      <c r="BH574" s="14"/>
      <c r="BI574" s="14"/>
    </row>
    <row r="575" spans="1:6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t="e">
        <f>IF('Fund Data'!$H$2,IF(ISNUMBER(AK575),AK575,NA()),NA())</f>
        <v>#N/A</v>
      </c>
      <c r="AO575" s="14"/>
      <c r="AP575" s="14"/>
      <c r="AQ575" s="14"/>
      <c r="AR575" s="14"/>
      <c r="AS575" s="14"/>
      <c r="AT575" s="14"/>
      <c r="AU575" s="14"/>
      <c r="AV575" s="14"/>
      <c r="AW575" s="14"/>
      <c r="AX575" s="14"/>
      <c r="AY575" s="14"/>
      <c r="AZ575" s="14"/>
      <c r="BA575" s="14"/>
      <c r="BB575" s="14"/>
      <c r="BC575" s="14"/>
      <c r="BD575" s="14"/>
      <c r="BE575" s="14"/>
      <c r="BF575" s="14"/>
      <c r="BG575" s="14"/>
      <c r="BH575" s="14"/>
      <c r="BI575" s="14"/>
    </row>
    <row r="576" spans="1:6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t="e">
        <f>IF('Fund Data'!$H$2,IF(ISNUMBER(AK576),AK576,NA()),NA())</f>
        <v>#N/A</v>
      </c>
      <c r="AO576" s="14"/>
      <c r="AP576" s="14"/>
      <c r="AQ576" s="14"/>
      <c r="AR576" s="14"/>
      <c r="AS576" s="14"/>
      <c r="AT576" s="14"/>
      <c r="AU576" s="14"/>
      <c r="AV576" s="14"/>
      <c r="AW576" s="14"/>
      <c r="AX576" s="14"/>
      <c r="AY576" s="14"/>
      <c r="AZ576" s="14"/>
      <c r="BA576" s="14"/>
      <c r="BB576" s="14"/>
      <c r="BC576" s="14"/>
      <c r="BD576" s="14"/>
      <c r="BE576" s="14"/>
      <c r="BF576" s="14"/>
      <c r="BG576" s="14"/>
      <c r="BH576" s="14"/>
      <c r="BI576" s="14"/>
    </row>
    <row r="577" spans="1:6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t="e">
        <f>IF('Fund Data'!$H$2,IF(ISNUMBER(AK577),AK577,NA()),NA())</f>
        <v>#N/A</v>
      </c>
      <c r="AO577" s="14"/>
      <c r="AP577" s="14"/>
      <c r="AQ577" s="14"/>
      <c r="AR577" s="14"/>
      <c r="AS577" s="14"/>
      <c r="AT577" s="14"/>
      <c r="AU577" s="14"/>
      <c r="AV577" s="14"/>
      <c r="AW577" s="14"/>
      <c r="AX577" s="14"/>
      <c r="AY577" s="14"/>
      <c r="AZ577" s="14"/>
      <c r="BA577" s="14"/>
      <c r="BB577" s="14"/>
      <c r="BC577" s="14"/>
      <c r="BD577" s="14"/>
      <c r="BE577" s="14"/>
      <c r="BF577" s="14"/>
      <c r="BG577" s="14"/>
      <c r="BH577" s="14"/>
      <c r="BI577" s="14"/>
    </row>
    <row r="578" spans="1:6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t="e">
        <f>IF('Fund Data'!$H$2,IF(ISNUMBER(AK578),AK578,NA()),NA())</f>
        <v>#N/A</v>
      </c>
      <c r="AO578" s="14"/>
      <c r="AP578" s="14"/>
      <c r="AQ578" s="14"/>
      <c r="AR578" s="14"/>
      <c r="AS578" s="14"/>
      <c r="AT578" s="14"/>
      <c r="AU578" s="14"/>
      <c r="AV578" s="14"/>
      <c r="AW578" s="14"/>
      <c r="AX578" s="14"/>
      <c r="AY578" s="14"/>
      <c r="AZ578" s="14"/>
      <c r="BA578" s="14"/>
      <c r="BB578" s="14"/>
      <c r="BC578" s="14"/>
      <c r="BD578" s="14"/>
      <c r="BE578" s="14"/>
      <c r="BF578" s="14"/>
      <c r="BG578" s="14"/>
      <c r="BH578" s="14"/>
      <c r="BI578" s="14"/>
    </row>
    <row r="579" spans="1:6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4"/>
      <c r="AN579" s="14" t="e">
        <f>IF('Fund Data'!$H$2,IF(ISNUMBER(AK579),AK579,NA()),NA())</f>
        <v>#N/A</v>
      </c>
      <c r="AO579" s="14"/>
      <c r="AP579" s="14"/>
      <c r="AQ579" s="14"/>
      <c r="AR579" s="14"/>
      <c r="AS579" s="14"/>
      <c r="AT579" s="14"/>
      <c r="AU579" s="14"/>
      <c r="AV579" s="14"/>
      <c r="AW579" s="14"/>
      <c r="AX579" s="14"/>
      <c r="AY579" s="14"/>
      <c r="AZ579" s="14"/>
      <c r="BA579" s="14"/>
      <c r="BB579" s="14"/>
      <c r="BC579" s="14"/>
      <c r="BD579" s="14"/>
      <c r="BE579" s="14"/>
      <c r="BF579" s="14"/>
      <c r="BG579" s="14"/>
      <c r="BH579" s="14"/>
      <c r="BI579" s="14"/>
    </row>
    <row r="580" spans="1:6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t="e">
        <f>IF('Fund Data'!$H$2,IF(ISNUMBER(AK580),AK580,NA()),NA())</f>
        <v>#N/A</v>
      </c>
      <c r="AO580" s="14"/>
      <c r="AP580" s="14"/>
      <c r="AQ580" s="14"/>
      <c r="AR580" s="14"/>
      <c r="AS580" s="14"/>
      <c r="AT580" s="14"/>
      <c r="AU580" s="14"/>
      <c r="AV580" s="14"/>
      <c r="AW580" s="14"/>
      <c r="AX580" s="14"/>
      <c r="AY580" s="14"/>
      <c r="AZ580" s="14"/>
      <c r="BA580" s="14"/>
      <c r="BB580" s="14"/>
      <c r="BC580" s="14"/>
      <c r="BD580" s="14"/>
      <c r="BE580" s="14"/>
      <c r="BF580" s="14"/>
      <c r="BG580" s="14"/>
      <c r="BH580" s="14"/>
      <c r="BI580" s="14"/>
    </row>
    <row r="581" spans="1:6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t="e">
        <f>IF('Fund Data'!$H$2,IF(ISNUMBER(AK581),AK581,NA()),NA())</f>
        <v>#N/A</v>
      </c>
      <c r="AO581" s="14"/>
      <c r="AP581" s="14"/>
      <c r="AQ581" s="14"/>
      <c r="AR581" s="14"/>
      <c r="AS581" s="14"/>
      <c r="AT581" s="14"/>
      <c r="AU581" s="14"/>
      <c r="AV581" s="14"/>
      <c r="AW581" s="14"/>
      <c r="AX581" s="14"/>
      <c r="AY581" s="14"/>
      <c r="AZ581" s="14"/>
      <c r="BA581" s="14"/>
      <c r="BB581" s="14"/>
      <c r="BC581" s="14"/>
      <c r="BD581" s="14"/>
      <c r="BE581" s="14"/>
      <c r="BF581" s="14"/>
      <c r="BG581" s="14"/>
      <c r="BH581" s="14"/>
      <c r="BI581" s="14"/>
    </row>
    <row r="582" spans="1:6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t="e">
        <f>IF('Fund Data'!$H$2,IF(ISNUMBER(AK582),AK582,NA()),NA())</f>
        <v>#N/A</v>
      </c>
      <c r="AO582" s="14"/>
      <c r="AP582" s="14"/>
      <c r="AQ582" s="14"/>
      <c r="AR582" s="14"/>
      <c r="AS582" s="14"/>
      <c r="AT582" s="14"/>
      <c r="AU582" s="14"/>
      <c r="AV582" s="14"/>
      <c r="AW582" s="14"/>
      <c r="AX582" s="14"/>
      <c r="AY582" s="14"/>
      <c r="AZ582" s="14"/>
      <c r="BA582" s="14"/>
      <c r="BB582" s="14"/>
      <c r="BC582" s="14"/>
      <c r="BD582" s="14"/>
      <c r="BE582" s="14"/>
      <c r="BF582" s="14"/>
      <c r="BG582" s="14"/>
      <c r="BH582" s="14"/>
      <c r="BI582" s="14"/>
    </row>
    <row r="583" spans="1:6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t="e">
        <f>IF('Fund Data'!$H$2,IF(ISNUMBER(AK583),AK583,NA()),NA())</f>
        <v>#N/A</v>
      </c>
      <c r="AO583" s="14"/>
      <c r="AP583" s="14"/>
      <c r="AQ583" s="14"/>
      <c r="AR583" s="14"/>
      <c r="AS583" s="14"/>
      <c r="AT583" s="14"/>
      <c r="AU583" s="14"/>
      <c r="AV583" s="14"/>
      <c r="AW583" s="14"/>
      <c r="AX583" s="14"/>
      <c r="AY583" s="14"/>
      <c r="AZ583" s="14"/>
      <c r="BA583" s="14"/>
      <c r="BB583" s="14"/>
      <c r="BC583" s="14"/>
      <c r="BD583" s="14"/>
      <c r="BE583" s="14"/>
      <c r="BF583" s="14"/>
      <c r="BG583" s="14"/>
      <c r="BH583" s="14"/>
      <c r="BI583" s="14"/>
    </row>
    <row r="584" spans="1:6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t="e">
        <f>IF('Fund Data'!$H$2,IF(ISNUMBER(AK584),AK584,NA()),NA())</f>
        <v>#N/A</v>
      </c>
      <c r="AO584" s="14"/>
      <c r="AP584" s="14"/>
      <c r="AQ584" s="14"/>
      <c r="AR584" s="14"/>
      <c r="AS584" s="14"/>
      <c r="AT584" s="14"/>
      <c r="AU584" s="14"/>
      <c r="AV584" s="14"/>
      <c r="AW584" s="14"/>
      <c r="AX584" s="14"/>
      <c r="AY584" s="14"/>
      <c r="AZ584" s="14"/>
      <c r="BA584" s="14"/>
      <c r="BB584" s="14"/>
      <c r="BC584" s="14"/>
      <c r="BD584" s="14"/>
      <c r="BE584" s="14"/>
      <c r="BF584" s="14"/>
      <c r="BG584" s="14"/>
      <c r="BH584" s="14"/>
      <c r="BI584" s="14"/>
    </row>
    <row r="585" spans="1:6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t="e">
        <f>IF('Fund Data'!$H$2,IF(ISNUMBER(AK585),AK585,NA()),NA())</f>
        <v>#N/A</v>
      </c>
      <c r="AO585" s="14"/>
      <c r="AP585" s="14"/>
      <c r="AQ585" s="14"/>
      <c r="AR585" s="14"/>
      <c r="AS585" s="14"/>
      <c r="AT585" s="14"/>
      <c r="AU585" s="14"/>
      <c r="AV585" s="14"/>
      <c r="AW585" s="14"/>
      <c r="AX585" s="14"/>
      <c r="AY585" s="14"/>
      <c r="AZ585" s="14"/>
      <c r="BA585" s="14"/>
      <c r="BB585" s="14"/>
      <c r="BC585" s="14"/>
      <c r="BD585" s="14"/>
      <c r="BE585" s="14"/>
      <c r="BF585" s="14"/>
      <c r="BG585" s="14"/>
      <c r="BH585" s="14"/>
      <c r="BI585" s="14"/>
    </row>
    <row r="586" spans="1:6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t="e">
        <f>IF('Fund Data'!$H$2,IF(ISNUMBER(AK586),AK586,NA()),NA())</f>
        <v>#N/A</v>
      </c>
      <c r="AO586" s="14"/>
      <c r="AP586" s="14"/>
      <c r="AQ586" s="14"/>
      <c r="AR586" s="14"/>
      <c r="AS586" s="14"/>
      <c r="AT586" s="14"/>
      <c r="AU586" s="14"/>
      <c r="AV586" s="14"/>
      <c r="AW586" s="14"/>
      <c r="AX586" s="14"/>
      <c r="AY586" s="14"/>
      <c r="AZ586" s="14"/>
      <c r="BA586" s="14"/>
      <c r="BB586" s="14"/>
      <c r="BC586" s="14"/>
      <c r="BD586" s="14"/>
      <c r="BE586" s="14"/>
      <c r="BF586" s="14"/>
      <c r="BG586" s="14"/>
      <c r="BH586" s="14"/>
      <c r="BI586" s="14"/>
    </row>
    <row r="587" spans="1:6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t="e">
        <f>IF('Fund Data'!$H$2,IF(ISNUMBER(AK587),AK587,NA()),NA())</f>
        <v>#N/A</v>
      </c>
      <c r="AO587" s="14"/>
      <c r="AP587" s="14"/>
      <c r="AQ587" s="14"/>
      <c r="AR587" s="14"/>
      <c r="AS587" s="14"/>
      <c r="AT587" s="14"/>
      <c r="AU587" s="14"/>
      <c r="AV587" s="14"/>
      <c r="AW587" s="14"/>
      <c r="AX587" s="14"/>
      <c r="AY587" s="14"/>
      <c r="AZ587" s="14"/>
      <c r="BA587" s="14"/>
      <c r="BB587" s="14"/>
      <c r="BC587" s="14"/>
      <c r="BD587" s="14"/>
      <c r="BE587" s="14"/>
      <c r="BF587" s="14"/>
      <c r="BG587" s="14"/>
      <c r="BH587" s="14"/>
      <c r="BI587" s="14"/>
    </row>
    <row r="588" spans="1:6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t="e">
        <f>IF('Fund Data'!$H$2,IF(ISNUMBER(AK588),AK588,NA()),NA())</f>
        <v>#N/A</v>
      </c>
      <c r="AO588" s="14"/>
      <c r="AP588" s="14"/>
      <c r="AQ588" s="14"/>
      <c r="AR588" s="14"/>
      <c r="AS588" s="14"/>
      <c r="AT588" s="14"/>
      <c r="AU588" s="14"/>
      <c r="AV588" s="14"/>
      <c r="AW588" s="14"/>
      <c r="AX588" s="14"/>
      <c r="AY588" s="14"/>
      <c r="AZ588" s="14"/>
      <c r="BA588" s="14"/>
      <c r="BB588" s="14"/>
      <c r="BC588" s="14"/>
      <c r="BD588" s="14"/>
      <c r="BE588" s="14"/>
      <c r="BF588" s="14"/>
      <c r="BG588" s="14"/>
      <c r="BH588" s="14"/>
      <c r="BI588" s="14"/>
    </row>
    <row r="589" spans="1:6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t="e">
        <f>IF('Fund Data'!$H$2,IF(ISNUMBER(AK589),AK589,NA()),NA())</f>
        <v>#N/A</v>
      </c>
      <c r="AO589" s="14"/>
      <c r="AP589" s="14"/>
      <c r="AQ589" s="14"/>
      <c r="AR589" s="14"/>
      <c r="AS589" s="14"/>
      <c r="AT589" s="14"/>
      <c r="AU589" s="14"/>
      <c r="AV589" s="14"/>
      <c r="AW589" s="14"/>
      <c r="AX589" s="14"/>
      <c r="AY589" s="14"/>
      <c r="AZ589" s="14"/>
      <c r="BA589" s="14"/>
      <c r="BB589" s="14"/>
      <c r="BC589" s="14"/>
      <c r="BD589" s="14"/>
      <c r="BE589" s="14"/>
      <c r="BF589" s="14"/>
      <c r="BG589" s="14"/>
      <c r="BH589" s="14"/>
      <c r="BI589" s="14"/>
    </row>
    <row r="590" spans="1:6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t="e">
        <f>IF('Fund Data'!$H$2,IF(ISNUMBER(AK590),AK590,NA()),NA())</f>
        <v>#N/A</v>
      </c>
      <c r="AO590" s="14"/>
      <c r="AP590" s="14"/>
      <c r="AQ590" s="14"/>
      <c r="AR590" s="14"/>
      <c r="AS590" s="14"/>
      <c r="AT590" s="14"/>
      <c r="AU590" s="14"/>
      <c r="AV590" s="14"/>
      <c r="AW590" s="14"/>
      <c r="AX590" s="14"/>
      <c r="AY590" s="14"/>
      <c r="AZ590" s="14"/>
      <c r="BA590" s="14"/>
      <c r="BB590" s="14"/>
      <c r="BC590" s="14"/>
      <c r="BD590" s="14"/>
      <c r="BE590" s="14"/>
      <c r="BF590" s="14"/>
      <c r="BG590" s="14"/>
      <c r="BH590" s="14"/>
      <c r="BI590" s="14"/>
    </row>
    <row r="591" spans="1:6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t="e">
        <f>IF('Fund Data'!$H$2,IF(ISNUMBER(AK591),AK591,NA()),NA())</f>
        <v>#N/A</v>
      </c>
      <c r="AO591" s="14"/>
      <c r="AP591" s="14"/>
      <c r="AQ591" s="14"/>
      <c r="AR591" s="14"/>
      <c r="AS591" s="14"/>
      <c r="AT591" s="14"/>
      <c r="AU591" s="14"/>
      <c r="AV591" s="14"/>
      <c r="AW591" s="14"/>
      <c r="AX591" s="14"/>
      <c r="AY591" s="14"/>
      <c r="AZ591" s="14"/>
      <c r="BA591" s="14"/>
      <c r="BB591" s="14"/>
      <c r="BC591" s="14"/>
      <c r="BD591" s="14"/>
      <c r="BE591" s="14"/>
      <c r="BF591" s="14"/>
      <c r="BG591" s="14"/>
      <c r="BH591" s="14"/>
      <c r="BI591" s="14"/>
    </row>
    <row r="592" spans="1:6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t="e">
        <f>IF('Fund Data'!$H$2,IF(ISNUMBER(AK592),AK592,NA()),NA())</f>
        <v>#N/A</v>
      </c>
      <c r="AO592" s="14"/>
      <c r="AP592" s="14"/>
      <c r="AQ592" s="14"/>
      <c r="AR592" s="14"/>
      <c r="AS592" s="14"/>
      <c r="AT592" s="14"/>
      <c r="AU592" s="14"/>
      <c r="AV592" s="14"/>
      <c r="AW592" s="14"/>
      <c r="AX592" s="14"/>
      <c r="AY592" s="14"/>
      <c r="AZ592" s="14"/>
      <c r="BA592" s="14"/>
      <c r="BB592" s="14"/>
      <c r="BC592" s="14"/>
      <c r="BD592" s="14"/>
      <c r="BE592" s="14"/>
      <c r="BF592" s="14"/>
      <c r="BG592" s="14"/>
      <c r="BH592" s="14"/>
      <c r="BI592" s="14"/>
    </row>
    <row r="593" spans="1:6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t="e">
        <f>IF('Fund Data'!$H$2,IF(ISNUMBER(AK593),AK593,NA()),NA())</f>
        <v>#N/A</v>
      </c>
      <c r="AO593" s="14"/>
      <c r="AP593" s="14"/>
      <c r="AQ593" s="14"/>
      <c r="AR593" s="14"/>
      <c r="AS593" s="14"/>
      <c r="AT593" s="14"/>
      <c r="AU593" s="14"/>
      <c r="AV593" s="14"/>
      <c r="AW593" s="14"/>
      <c r="AX593" s="14"/>
      <c r="AY593" s="14"/>
      <c r="AZ593" s="14"/>
      <c r="BA593" s="14"/>
      <c r="BB593" s="14"/>
      <c r="BC593" s="14"/>
      <c r="BD593" s="14"/>
      <c r="BE593" s="14"/>
      <c r="BF593" s="14"/>
      <c r="BG593" s="14"/>
      <c r="BH593" s="14"/>
      <c r="BI593" s="14"/>
    </row>
    <row r="594" spans="1:6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t="e">
        <f>IF('Fund Data'!$H$2,IF(ISNUMBER(AK594),AK594,NA()),NA())</f>
        <v>#N/A</v>
      </c>
      <c r="AO594" s="14"/>
      <c r="AP594" s="14"/>
      <c r="AQ594" s="14"/>
      <c r="AR594" s="14"/>
      <c r="AS594" s="14"/>
      <c r="AT594" s="14"/>
      <c r="AU594" s="14"/>
      <c r="AV594" s="14"/>
      <c r="AW594" s="14"/>
      <c r="AX594" s="14"/>
      <c r="AY594" s="14"/>
      <c r="AZ594" s="14"/>
      <c r="BA594" s="14"/>
      <c r="BB594" s="14"/>
      <c r="BC594" s="14"/>
      <c r="BD594" s="14"/>
      <c r="BE594" s="14"/>
      <c r="BF594" s="14"/>
      <c r="BG594" s="14"/>
      <c r="BH594" s="14"/>
      <c r="BI594" s="14"/>
    </row>
    <row r="595" spans="1:6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t="e">
        <f>IF('Fund Data'!$H$2,IF(ISNUMBER(AK595),AK595,NA()),NA())</f>
        <v>#N/A</v>
      </c>
      <c r="AO595" s="14"/>
      <c r="AP595" s="14"/>
      <c r="AQ595" s="14"/>
      <c r="AR595" s="14"/>
      <c r="AS595" s="14"/>
      <c r="AT595" s="14"/>
      <c r="AU595" s="14"/>
      <c r="AV595" s="14"/>
      <c r="AW595" s="14"/>
      <c r="AX595" s="14"/>
      <c r="AY595" s="14"/>
      <c r="AZ595" s="14"/>
      <c r="BA595" s="14"/>
      <c r="BB595" s="14"/>
      <c r="BC595" s="14"/>
      <c r="BD595" s="14"/>
      <c r="BE595" s="14"/>
      <c r="BF595" s="14"/>
      <c r="BG595" s="14"/>
      <c r="BH595" s="14"/>
      <c r="BI595" s="14"/>
    </row>
    <row r="596" spans="1:6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t="e">
        <f>IF('Fund Data'!$H$2,IF(ISNUMBER(AK596),AK596,NA()),NA())</f>
        <v>#N/A</v>
      </c>
      <c r="AO596" s="14"/>
      <c r="AP596" s="14"/>
      <c r="AQ596" s="14"/>
      <c r="AR596" s="14"/>
      <c r="AS596" s="14"/>
      <c r="AT596" s="14"/>
      <c r="AU596" s="14"/>
      <c r="AV596" s="14"/>
      <c r="AW596" s="14"/>
      <c r="AX596" s="14"/>
      <c r="AY596" s="14"/>
      <c r="AZ596" s="14"/>
      <c r="BA596" s="14"/>
      <c r="BB596" s="14"/>
      <c r="BC596" s="14"/>
      <c r="BD596" s="14"/>
      <c r="BE596" s="14"/>
      <c r="BF596" s="14"/>
      <c r="BG596" s="14"/>
      <c r="BH596" s="14"/>
      <c r="BI596" s="14"/>
    </row>
    <row r="597" spans="1:6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t="e">
        <f>IF('Fund Data'!$H$2,IF(ISNUMBER(AK597),AK597,NA()),NA())</f>
        <v>#N/A</v>
      </c>
      <c r="AO597" s="14"/>
      <c r="AP597" s="14"/>
      <c r="AQ597" s="14"/>
      <c r="AR597" s="14"/>
      <c r="AS597" s="14"/>
      <c r="AT597" s="14"/>
      <c r="AU597" s="14"/>
      <c r="AV597" s="14"/>
      <c r="AW597" s="14"/>
      <c r="AX597" s="14"/>
      <c r="AY597" s="14"/>
      <c r="AZ597" s="14"/>
      <c r="BA597" s="14"/>
      <c r="BB597" s="14"/>
      <c r="BC597" s="14"/>
      <c r="BD597" s="14"/>
      <c r="BE597" s="14"/>
      <c r="BF597" s="14"/>
      <c r="BG597" s="14"/>
      <c r="BH597" s="14"/>
      <c r="BI597" s="14"/>
    </row>
    <row r="598" spans="1:6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t="e">
        <f>IF('Fund Data'!$H$2,IF(ISNUMBER(AK598),AK598,NA()),NA())</f>
        <v>#N/A</v>
      </c>
      <c r="AO598" s="14"/>
      <c r="AP598" s="14"/>
      <c r="AQ598" s="14"/>
      <c r="AR598" s="14"/>
      <c r="AS598" s="14"/>
      <c r="AT598" s="14"/>
      <c r="AU598" s="14"/>
      <c r="AV598" s="14"/>
      <c r="AW598" s="14"/>
      <c r="AX598" s="14"/>
      <c r="AY598" s="14"/>
      <c r="AZ598" s="14"/>
      <c r="BA598" s="14"/>
      <c r="BB598" s="14"/>
      <c r="BC598" s="14"/>
      <c r="BD598" s="14"/>
      <c r="BE598" s="14"/>
      <c r="BF598" s="14"/>
      <c r="BG598" s="14"/>
      <c r="BH598" s="14"/>
      <c r="BI598" s="14"/>
    </row>
    <row r="599" spans="1:6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t="e">
        <f>IF('Fund Data'!$H$2,IF(ISNUMBER(AK599),AK599,NA()),NA())</f>
        <v>#N/A</v>
      </c>
      <c r="AO599" s="14"/>
      <c r="AP599" s="14"/>
      <c r="AQ599" s="14"/>
      <c r="AR599" s="14"/>
      <c r="AS599" s="14"/>
      <c r="AT599" s="14"/>
      <c r="AU599" s="14"/>
      <c r="AV599" s="14"/>
      <c r="AW599" s="14"/>
      <c r="AX599" s="14"/>
      <c r="AY599" s="14"/>
      <c r="AZ599" s="14"/>
      <c r="BA599" s="14"/>
      <c r="BB599" s="14"/>
      <c r="BC599" s="14"/>
      <c r="BD599" s="14"/>
      <c r="BE599" s="14"/>
      <c r="BF599" s="14"/>
      <c r="BG599" s="14"/>
      <c r="BH599" s="14"/>
      <c r="BI599" s="14"/>
    </row>
    <row r="600" spans="1:6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t="e">
        <f>IF('Fund Data'!$H$2,IF(ISNUMBER(AK600),AK600,NA()),NA())</f>
        <v>#N/A</v>
      </c>
      <c r="AO600" s="14"/>
      <c r="AP600" s="14"/>
      <c r="AQ600" s="14"/>
      <c r="AR600" s="14"/>
      <c r="AS600" s="14"/>
      <c r="AT600" s="14"/>
      <c r="AU600" s="14"/>
      <c r="AV600" s="14"/>
      <c r="AW600" s="14"/>
      <c r="AX600" s="14"/>
      <c r="AY600" s="14"/>
      <c r="AZ600" s="14"/>
      <c r="BA600" s="14"/>
      <c r="BB600" s="14"/>
      <c r="BC600" s="14"/>
      <c r="BD600" s="14"/>
      <c r="BE600" s="14"/>
      <c r="BF600" s="14"/>
      <c r="BG600" s="14"/>
      <c r="BH600" s="14"/>
      <c r="BI600"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15324A"/>
  </sheetPr>
  <dimension ref="A1:Q120"/>
  <sheetViews>
    <sheetView showGridLines="0" workbookViewId="0"/>
  </sheetViews>
  <sheetFormatPr defaultRowHeight="14.25"/>
  <cols>
    <col min="1" max="1" width="2.25" customWidth="1"/>
    <col min="2" max="8" width="7.25" customWidth="1"/>
    <col min="9" max="9" width="2.25" customWidth="1"/>
    <col min="10" max="16" width="7.25" customWidth="1"/>
    <col min="17" max="17" width="2.25" customWidth="1"/>
  </cols>
  <sheetData>
    <row r="1" spans="1:17" ht="21.95" customHeight="1">
      <c r="A1" s="3"/>
      <c r="B1" s="3"/>
      <c r="C1" s="3"/>
      <c r="D1" s="3"/>
      <c r="E1" s="3"/>
      <c r="F1" s="3"/>
      <c r="G1" s="3"/>
      <c r="H1" s="3"/>
      <c r="I1" s="3"/>
      <c r="J1" s="3"/>
      <c r="K1" s="3"/>
      <c r="L1" s="3"/>
      <c r="M1" s="3"/>
      <c r="N1" s="3"/>
      <c r="O1" s="3"/>
      <c r="P1" s="3"/>
      <c r="Q1" s="4"/>
    </row>
    <row r="2" spans="1:17" ht="21.95" customHeight="1">
      <c r="A2" s="3"/>
      <c r="B2" s="126" t="s">
        <v>861</v>
      </c>
      <c r="C2" s="126"/>
      <c r="D2" s="126"/>
      <c r="E2" s="126"/>
      <c r="F2" s="126"/>
      <c r="G2" s="126"/>
      <c r="H2" s="126"/>
      <c r="I2" s="126"/>
      <c r="J2" s="126"/>
      <c r="K2" s="126"/>
      <c r="L2" s="126"/>
      <c r="M2" s="126"/>
      <c r="N2" s="126"/>
      <c r="O2" s="126"/>
      <c r="P2" s="126"/>
      <c r="Q2" s="4"/>
    </row>
    <row r="3" spans="1:17" ht="21.95" customHeight="1">
      <c r="A3" s="3"/>
      <c r="B3" s="127" t="s">
        <v>1</v>
      </c>
      <c r="C3" s="127"/>
      <c r="D3" s="127"/>
      <c r="E3" s="127"/>
      <c r="F3" s="3"/>
      <c r="G3" s="127" t="s">
        <v>862</v>
      </c>
      <c r="H3" s="127"/>
      <c r="I3" s="127"/>
      <c r="J3" s="127"/>
      <c r="K3" s="3"/>
      <c r="L3" s="3"/>
      <c r="M3" s="3"/>
      <c r="N3" s="3"/>
      <c r="O3" s="3"/>
      <c r="P3" s="3"/>
      <c r="Q3" s="4"/>
    </row>
    <row r="4" spans="1:17" ht="21.95" customHeight="1">
      <c r="A4" s="3"/>
      <c r="B4" s="128" t="s">
        <v>979</v>
      </c>
      <c r="C4" s="129"/>
      <c r="D4" s="129"/>
      <c r="E4" s="130"/>
      <c r="F4" s="3"/>
      <c r="G4" s="134" t="s">
        <v>225</v>
      </c>
      <c r="H4" s="135"/>
      <c r="I4" s="135"/>
      <c r="J4" s="136"/>
      <c r="K4" s="3"/>
      <c r="L4" s="140" t="s">
        <v>863</v>
      </c>
      <c r="M4" s="140"/>
      <c r="N4" s="140"/>
      <c r="O4" s="140"/>
      <c r="P4" s="140"/>
      <c r="Q4" s="4"/>
    </row>
    <row r="5" spans="1:17" ht="21.95" customHeight="1">
      <c r="A5" s="3"/>
      <c r="B5" s="131"/>
      <c r="C5" s="132"/>
      <c r="D5" s="132"/>
      <c r="E5" s="133"/>
      <c r="F5" s="3"/>
      <c r="G5" s="137"/>
      <c r="H5" s="138"/>
      <c r="I5" s="138"/>
      <c r="J5" s="139"/>
      <c r="K5" s="3"/>
      <c r="L5" s="140"/>
      <c r="M5" s="140"/>
      <c r="N5" s="140"/>
      <c r="O5" s="140"/>
      <c r="P5" s="140"/>
      <c r="Q5" s="4"/>
    </row>
    <row r="6" spans="1:17" ht="21.95" customHeight="1">
      <c r="A6" s="3"/>
      <c r="B6" s="141" t="s">
        <v>864</v>
      </c>
      <c r="C6" s="141"/>
      <c r="D6" s="141"/>
      <c r="E6" s="141"/>
      <c r="F6" s="141"/>
      <c r="G6" s="141"/>
      <c r="H6" s="141"/>
      <c r="I6" s="141"/>
      <c r="J6" s="141"/>
      <c r="K6" s="141"/>
      <c r="L6" s="141"/>
      <c r="M6" s="141"/>
      <c r="N6" s="141"/>
      <c r="O6" s="141"/>
      <c r="P6" s="141"/>
      <c r="Q6" s="4"/>
    </row>
    <row r="7" spans="1:17" ht="21.95" customHeight="1">
      <c r="A7" s="3"/>
      <c r="B7" s="3"/>
      <c r="C7" s="3"/>
      <c r="D7" s="3"/>
      <c r="E7" s="3"/>
      <c r="F7" s="3"/>
      <c r="G7" s="3"/>
      <c r="H7" s="3"/>
      <c r="I7" s="3"/>
      <c r="J7" s="3"/>
      <c r="K7" s="3"/>
      <c r="L7" s="3"/>
      <c r="M7" s="3"/>
      <c r="N7" s="3"/>
      <c r="O7" s="3"/>
      <c r="P7" s="3"/>
      <c r="Q7" s="4"/>
    </row>
    <row r="8" spans="1:17" ht="21.95" customHeight="1">
      <c r="A8" s="3"/>
      <c r="B8" s="142" t="str">
        <f>IF(Data!$H$2,Data!$B$2,"Refresh required")</f>
        <v>Schwab Investments - Schwab 1000 Index Fd USD</v>
      </c>
      <c r="C8" s="142"/>
      <c r="D8" s="142"/>
      <c r="E8" s="142"/>
      <c r="F8" s="142"/>
      <c r="G8" s="142"/>
      <c r="H8" s="142"/>
      <c r="I8" s="142"/>
      <c r="J8" s="142"/>
      <c r="K8" s="142"/>
      <c r="L8" s="142"/>
      <c r="M8" s="142"/>
      <c r="N8" s="142"/>
      <c r="O8" s="142"/>
      <c r="P8" s="142"/>
      <c r="Q8" s="4"/>
    </row>
    <row r="9" spans="1:17" ht="21.95" customHeight="1">
      <c r="A9" s="3"/>
      <c r="B9" s="142"/>
      <c r="C9" s="142"/>
      <c r="D9" s="142"/>
      <c r="E9" s="142"/>
      <c r="F9" s="142"/>
      <c r="G9" s="142"/>
      <c r="H9" s="142"/>
      <c r="I9" s="142"/>
      <c r="J9" s="142"/>
      <c r="K9" s="142"/>
      <c r="L9" s="142"/>
      <c r="M9" s="142"/>
      <c r="N9" s="142"/>
      <c r="O9" s="142"/>
      <c r="P9" s="142"/>
      <c r="Q9" s="4"/>
    </row>
    <row r="10" spans="1:17" ht="21.95" customHeight="1">
      <c r="A10" s="3"/>
      <c r="B10" s="141" t="str">
        <f>IF(Data!$H$2,Data!$B$88,"Refresh required")&amp;"  ·  "&amp;IF(Data!$H$2,Data!$B$89,"Refresh required")&amp;"  ·  "&amp;IF(Data!$B$4="XNYS","NYSE",IF(Data!$B$4="ARCX","NYSE Arca",IF($G$4="Mutual Fund","NAV fund",IF(Data!$H$2,Data!$B$4,"Refresh required"))))&amp;"  ·  "&amp;IF(Data!$H$2,Data!$B$3,"Refresh required")</f>
        <v>SNXFX  ·  Mutual Fund  ·  NAV fund  ·  USD</v>
      </c>
      <c r="C10" s="141"/>
      <c r="D10" s="141"/>
      <c r="E10" s="141"/>
      <c r="F10" s="141"/>
      <c r="G10" s="141"/>
      <c r="H10" s="141"/>
      <c r="I10" s="141"/>
      <c r="J10" s="141"/>
      <c r="K10" s="141"/>
      <c r="L10" s="141"/>
      <c r="M10" s="141"/>
      <c r="N10" s="141"/>
      <c r="O10" s="141"/>
      <c r="P10" s="141"/>
      <c r="Q10" s="4"/>
    </row>
    <row r="11" spans="1:17" ht="21.95" customHeight="1">
      <c r="A11" s="3"/>
      <c r="B11" s="3"/>
      <c r="C11" s="3"/>
      <c r="D11" s="3"/>
      <c r="E11" s="3"/>
      <c r="F11" s="3"/>
      <c r="G11" s="3"/>
      <c r="H11" s="3"/>
      <c r="I11" s="3"/>
      <c r="J11" s="3"/>
      <c r="K11" s="3"/>
      <c r="L11" s="3"/>
      <c r="M11" s="3"/>
      <c r="N11" s="3"/>
      <c r="O11" s="3"/>
      <c r="P11" s="3"/>
      <c r="Q11" s="4"/>
    </row>
    <row r="12" spans="1:17" ht="21.95" customHeight="1">
      <c r="A12" s="3"/>
      <c r="B12" s="143" t="str">
        <f>IF(Data!$H$2,Data!$B$97,"Refresh required")</f>
        <v>NAV close</v>
      </c>
      <c r="C12" s="143"/>
      <c r="D12" s="143"/>
      <c r="E12" s="143"/>
      <c r="F12" s="143"/>
      <c r="G12" s="143"/>
      <c r="H12" s="143"/>
      <c r="I12" s="3"/>
      <c r="J12" s="5"/>
      <c r="K12" s="5"/>
      <c r="L12" s="5"/>
      <c r="M12" s="5"/>
      <c r="N12" s="5"/>
      <c r="O12" s="5"/>
      <c r="P12" s="5"/>
      <c r="Q12" s="4"/>
    </row>
    <row r="13" spans="1:17" ht="21.95" customHeight="1">
      <c r="A13" s="3"/>
      <c r="B13" s="144">
        <f>IF(Data!$H$2,Data!$B$5,"Refresh required")</f>
        <v>16.739999999999998</v>
      </c>
      <c r="C13" s="145"/>
      <c r="D13" s="145"/>
      <c r="E13" s="145"/>
      <c r="F13" s="145"/>
      <c r="G13" s="145"/>
      <c r="H13" s="145"/>
      <c r="I13" s="3"/>
      <c r="J13" s="5"/>
      <c r="K13" s="5"/>
      <c r="L13" s="5"/>
      <c r="M13" s="5"/>
      <c r="N13" s="5"/>
      <c r="O13" s="5"/>
      <c r="P13" s="5"/>
      <c r="Q13" s="4"/>
    </row>
    <row r="14" spans="1:17" ht="21.95" customHeight="1">
      <c r="A14" s="3"/>
      <c r="B14" s="145"/>
      <c r="C14" s="145"/>
      <c r="D14" s="145"/>
      <c r="E14" s="145"/>
      <c r="F14" s="145"/>
      <c r="G14" s="145"/>
      <c r="H14" s="145"/>
      <c r="I14" s="3"/>
      <c r="J14" s="5"/>
      <c r="K14" s="5"/>
      <c r="L14" s="5"/>
      <c r="M14" s="5"/>
      <c r="N14" s="5"/>
      <c r="O14" s="5"/>
      <c r="P14" s="5"/>
      <c r="Q14" s="4"/>
    </row>
    <row r="15" spans="1:17" ht="21.95" customHeight="1">
      <c r="A15" s="3"/>
      <c r="B15" s="145"/>
      <c r="C15" s="145"/>
      <c r="D15" s="145"/>
      <c r="E15" s="145"/>
      <c r="F15" s="145"/>
      <c r="G15" s="145"/>
      <c r="H15" s="145"/>
      <c r="I15" s="3"/>
      <c r="J15" s="5"/>
      <c r="K15" s="5"/>
      <c r="L15" s="5"/>
      <c r="M15" s="5"/>
      <c r="N15" s="5"/>
      <c r="O15" s="5"/>
      <c r="P15" s="5"/>
      <c r="Q15" s="4"/>
    </row>
    <row r="16" spans="1:17" ht="21.95" customHeight="1">
      <c r="A16" s="3"/>
      <c r="B16" s="146" t="str">
        <f>IF(ISNUMBER(IF(Data!$H$2,Data!$B$7,"Refresh required")),TEXT(IF(Data!$H$2,Data!$B$7,"Refresh required"),"+$0.00;-$0.00; $0.00"),IF(Data!$H$2,Data!$B$7,"Refresh required"))&amp;"  ("&amp;IF(ISNUMBER(IF(Data!$H$2,Data!$B$8,"Refresh required")),TEXT(IF(Data!$H$2,Data!$B$8,"Refresh required"),"+0.00%;-0.00%;0.00%"),IF(Data!$H$2,Data!$B$8,"Refresh required"))&amp;")"</f>
        <v>+$0.10  (+0.60%)</v>
      </c>
      <c r="C16" s="146"/>
      <c r="D16" s="146"/>
      <c r="E16" s="146"/>
      <c r="F16" s="146"/>
      <c r="G16" s="146"/>
      <c r="H16" s="146"/>
      <c r="I16" s="3"/>
      <c r="J16" s="5"/>
      <c r="K16" s="5"/>
      <c r="L16" s="5"/>
      <c r="M16" s="5"/>
      <c r="N16" s="5"/>
      <c r="O16" s="5"/>
      <c r="P16" s="5"/>
      <c r="Q16" s="4"/>
    </row>
    <row r="17" spans="1:17" ht="21.95" customHeight="1">
      <c r="A17" s="3"/>
      <c r="B17" s="5"/>
      <c r="C17" s="5"/>
      <c r="D17" s="5"/>
      <c r="E17" s="5"/>
      <c r="F17" s="5"/>
      <c r="G17" s="5"/>
      <c r="H17" s="5"/>
      <c r="I17" s="3"/>
      <c r="J17" s="5"/>
      <c r="K17" s="5"/>
      <c r="L17" s="5"/>
      <c r="M17" s="5"/>
      <c r="N17" s="5"/>
      <c r="O17" s="5"/>
      <c r="P17" s="5"/>
      <c r="Q17" s="4"/>
    </row>
    <row r="18" spans="1:17" ht="21.95" customHeight="1">
      <c r="A18" s="3"/>
      <c r="B18" s="147" t="str">
        <f>"As of "&amp;IF(Data!$H$2,Data!$B$9,"Refresh required")&amp;IF($G$4="Mutual Fund",""," · "&amp;LEFT(IF(Data!$H$2,Data!$B$10,"Refresh required"),5)&amp;" (UTC"&amp;IF(ISNUMBER(IF(Data!$H$2,Data!$B$11,"Refresh required")),TEXT(IF(Data!$H$2,Data!$B$11,"Refresh required"),"+0;-0;0"),IF(Data!$H$2,Data!$B$11,"Refresh required"))&amp;")")</f>
        <v>As of 46304</v>
      </c>
      <c r="C18" s="147"/>
      <c r="D18" s="147"/>
      <c r="E18" s="147"/>
      <c r="F18" s="147"/>
      <c r="G18" s="147"/>
      <c r="H18" s="147"/>
      <c r="I18" s="3"/>
      <c r="J18" s="5"/>
      <c r="K18" s="5"/>
      <c r="L18" s="5"/>
      <c r="M18" s="5"/>
      <c r="N18" s="5"/>
      <c r="O18" s="5"/>
      <c r="P18" s="5"/>
      <c r="Q18" s="4"/>
    </row>
    <row r="19" spans="1:17" ht="21.95" customHeight="1">
      <c r="A19" s="3"/>
      <c r="B19" s="148" t="str">
        <f>IF($G$4="Mutual Fund","NAV is an end-of-day value.",IF(Data!$H$2,Data!$B$35,"Refresh required"))</f>
        <v>NAV is an end-of-day value.</v>
      </c>
      <c r="C19" s="148"/>
      <c r="D19" s="148"/>
      <c r="E19" s="148"/>
      <c r="F19" s="148"/>
      <c r="G19" s="148"/>
      <c r="H19" s="148"/>
      <c r="I19" s="3"/>
      <c r="J19" s="5"/>
      <c r="K19" s="5"/>
      <c r="L19" s="5"/>
      <c r="M19" s="5"/>
      <c r="N19" s="5"/>
      <c r="O19" s="5"/>
      <c r="P19" s="5"/>
      <c r="Q19" s="4"/>
    </row>
    <row r="20" spans="1:17" ht="21.95" customHeight="1">
      <c r="A20" s="3"/>
      <c r="B20" s="148"/>
      <c r="C20" s="148"/>
      <c r="D20" s="148"/>
      <c r="E20" s="148"/>
      <c r="F20" s="148"/>
      <c r="G20" s="148"/>
      <c r="H20" s="148"/>
      <c r="I20" s="3"/>
      <c r="J20" s="5"/>
      <c r="K20" s="5"/>
      <c r="L20" s="5"/>
      <c r="M20" s="5"/>
      <c r="N20" s="5"/>
      <c r="O20" s="5"/>
      <c r="P20" s="5"/>
      <c r="Q20" s="4"/>
    </row>
    <row r="21" spans="1:17" ht="21.95" customHeight="1">
      <c r="A21" s="3"/>
      <c r="B21" s="5"/>
      <c r="C21" s="5"/>
      <c r="D21" s="5"/>
      <c r="E21" s="5"/>
      <c r="F21" s="5"/>
      <c r="G21" s="5"/>
      <c r="H21" s="5"/>
      <c r="I21" s="3"/>
      <c r="J21" s="5"/>
      <c r="K21" s="5"/>
      <c r="L21" s="5"/>
      <c r="M21" s="5"/>
      <c r="N21" s="5"/>
      <c r="O21" s="5"/>
      <c r="P21" s="5"/>
      <c r="Q21" s="4"/>
    </row>
    <row r="22" spans="1:17" ht="21.95" customHeight="1">
      <c r="A22" s="3"/>
      <c r="B22" s="146" t="str">
        <f>IF($G$4="Mutual Fund","Previous NAV: ","Previous close: ")&amp;IF(ISNUMBER(IF(Data!$H$2,Data!$B$12,"Refresh required")),TEXT(IF(Data!$H$2,Data!$B$12,"Refresh required"),"$0.00"),IF(Data!$H$2,Data!$B$12,"Refresh required"))</f>
        <v>Previous NAV: $16.64</v>
      </c>
      <c r="C22" s="146"/>
      <c r="D22" s="146"/>
      <c r="E22" s="146"/>
      <c r="F22" s="146"/>
      <c r="G22" s="146"/>
      <c r="H22" s="146"/>
      <c r="I22" s="3"/>
      <c r="J22" s="5"/>
      <c r="K22" s="5"/>
      <c r="L22" s="5"/>
      <c r="M22" s="5"/>
      <c r="N22" s="5"/>
      <c r="O22" s="5"/>
      <c r="P22" s="5"/>
      <c r="Q22" s="4"/>
    </row>
    <row r="23" spans="1:17" ht="21.95" customHeight="1">
      <c r="A23" s="3"/>
      <c r="B23" s="148" t="str">
        <f>IF($G$4="Mutual Fund","",IF(Data!$H$2,Data!$B$32,"Refresh required")&amp;": "&amp;IF(ISNUMBER(IF(Data!$H$2,Data!$B$29,"Refresh required")),TEXT(IF(Data!$H$2,Data!$B$29,"Refresh required"),"$0.0000"),IF(Data!$H$2,Data!$B$29,"Refresh required"))&amp;"  "&amp;IF(ISNUMBER(IF(Data!$H$2,Data!$B$31,"Refresh required")),TEXT(IF(Data!$H$2,Data!$B$31,"Refresh required"),"+0.000%;-0.000%;0.000%"),IF(Data!$H$2,Data!$B$31,"Refresh required"))&amp;" · "&amp;IF(Data!$H$2,Data!$B$33,"Refresh required")&amp;" "&amp;IF(Data!$H$2,Data!$B$34,"Refresh required"))</f>
        <v/>
      </c>
      <c r="C23" s="148"/>
      <c r="D23" s="148"/>
      <c r="E23" s="148"/>
      <c r="F23" s="148"/>
      <c r="G23" s="148"/>
      <c r="H23" s="148"/>
      <c r="I23" s="3"/>
      <c r="J23" s="5"/>
      <c r="K23" s="5"/>
      <c r="L23" s="5"/>
      <c r="M23" s="5"/>
      <c r="N23" s="5"/>
      <c r="O23" s="5"/>
      <c r="P23" s="5"/>
      <c r="Q23" s="4"/>
    </row>
    <row r="24" spans="1:17" ht="21.95" customHeight="1">
      <c r="A24" s="3"/>
      <c r="B24" s="148"/>
      <c r="C24" s="148"/>
      <c r="D24" s="148"/>
      <c r="E24" s="148"/>
      <c r="F24" s="148"/>
      <c r="G24" s="148"/>
      <c r="H24" s="148"/>
      <c r="I24" s="3"/>
      <c r="J24" s="5"/>
      <c r="K24" s="5"/>
      <c r="L24" s="5"/>
      <c r="M24" s="5"/>
      <c r="N24" s="5"/>
      <c r="O24" s="5"/>
      <c r="P24" s="5"/>
      <c r="Q24" s="4"/>
    </row>
    <row r="25" spans="1:17" ht="21.95" customHeight="1">
      <c r="A25" s="3"/>
      <c r="B25" s="5"/>
      <c r="C25" s="5"/>
      <c r="D25" s="5"/>
      <c r="E25" s="5"/>
      <c r="F25" s="5"/>
      <c r="G25" s="5"/>
      <c r="H25" s="5"/>
      <c r="I25" s="3"/>
      <c r="J25" s="5"/>
      <c r="K25" s="5"/>
      <c r="L25" s="5"/>
      <c r="M25" s="5"/>
      <c r="N25" s="5"/>
      <c r="O25" s="5"/>
      <c r="P25" s="5"/>
      <c r="Q25" s="4"/>
    </row>
    <row r="26" spans="1:17" ht="21.95" customHeight="1">
      <c r="A26" s="3"/>
      <c r="B26" s="148" t="str">
        <f>IF($G$4="Mutual Fund","Fund share class: "&amp;IF(Data!$H$2,Data!$B$55,"Refresh required"),"Bid "&amp;IF(ISNUMBER(IF(Data!$H$2,Data!$B$21,"Refresh required")),TEXT(IF(Data!$H$2,Data!$B$21,"Refresh required"),"$0.00"),IF(Data!$H$2,Data!$B$21,"Refresh required"))&amp;" × "&amp;IF(ISNUMBER(IF(Data!$H$2,Data!$B$23,"Refresh required")),TEXT(IF(Data!$H$2,Data!$B$23,"Refresh required"),"0"),IF(Data!$H$2,Data!$B$23,"Refresh required"))&amp;"   Ask "&amp;IF(ISNUMBER(IF(Data!$H$2,Data!$B$22,"Refresh required")),TEXT(IF(Data!$H$2,Data!$B$22,"Refresh required"),"$0.00"),IF(Data!$H$2,Data!$B$22,"Refresh required"))&amp;" × "&amp;IF(ISNUMBER(IF(Data!$H$2,Data!$B$24,"Refresh required")),TEXT(IF(Data!$H$2,Data!$B$24,"Refresh required"),"0"),IF(Data!$H$2,Data!$B$24,"Refresh required")))</f>
        <v>Fund share class: Unavailable</v>
      </c>
      <c r="C26" s="148"/>
      <c r="D26" s="148"/>
      <c r="E26" s="148"/>
      <c r="F26" s="148"/>
      <c r="G26" s="148"/>
      <c r="H26" s="148"/>
      <c r="I26" s="3"/>
      <c r="J26" s="5"/>
      <c r="K26" s="5"/>
      <c r="L26" s="5"/>
      <c r="M26" s="5"/>
      <c r="N26" s="5"/>
      <c r="O26" s="5"/>
      <c r="P26" s="5"/>
      <c r="Q26" s="4"/>
    </row>
    <row r="27" spans="1:17" ht="21.95" customHeight="1">
      <c r="A27" s="3"/>
      <c r="B27" s="148"/>
      <c r="C27" s="148"/>
      <c r="D27" s="148"/>
      <c r="E27" s="148"/>
      <c r="F27" s="148"/>
      <c r="G27" s="148"/>
      <c r="H27" s="148"/>
      <c r="I27" s="3"/>
      <c r="J27" s="5"/>
      <c r="K27" s="5"/>
      <c r="L27" s="5"/>
      <c r="M27" s="5"/>
      <c r="N27" s="5"/>
      <c r="O27" s="5"/>
      <c r="P27" s="5"/>
      <c r="Q27" s="4"/>
    </row>
    <row r="28" spans="1:17" ht="21.95" customHeight="1">
      <c r="A28" s="3"/>
      <c r="B28" s="149" t="str">
        <f>IF($G$4="Mutual Fund","", "Bid/ask observation: "&amp;IF(Data!$H$2,Data!$B$25,"Refresh required")&amp;" "&amp;IF(Data!$H$2,Data!$B$26,"Refresh required"))</f>
        <v/>
      </c>
      <c r="C28" s="149"/>
      <c r="D28" s="149"/>
      <c r="E28" s="149"/>
      <c r="F28" s="149"/>
      <c r="G28" s="149"/>
      <c r="H28" s="149"/>
      <c r="I28" s="3"/>
      <c r="J28" s="5"/>
      <c r="K28" s="5"/>
      <c r="L28" s="5"/>
      <c r="M28" s="5"/>
      <c r="N28" s="5"/>
      <c r="O28" s="5"/>
      <c r="P28" s="5"/>
      <c r="Q28" s="4"/>
    </row>
    <row r="29" spans="1:17" ht="21.95" customHeight="1">
      <c r="A29" s="3"/>
      <c r="B29" s="149"/>
      <c r="C29" s="149"/>
      <c r="D29" s="149"/>
      <c r="E29" s="149"/>
      <c r="F29" s="149"/>
      <c r="G29" s="149"/>
      <c r="H29" s="149"/>
      <c r="I29" s="3"/>
      <c r="J29" s="5"/>
      <c r="K29" s="5"/>
      <c r="L29" s="5"/>
      <c r="M29" s="5"/>
      <c r="N29" s="5"/>
      <c r="O29" s="5"/>
      <c r="P29" s="5"/>
      <c r="Q29" s="4"/>
    </row>
    <row r="30" spans="1:17" ht="21.95" customHeight="1">
      <c r="A30" s="3"/>
      <c r="B30" s="3"/>
      <c r="C30" s="3"/>
      <c r="D30" s="3"/>
      <c r="E30" s="3"/>
      <c r="F30" s="3"/>
      <c r="G30" s="3"/>
      <c r="H30" s="3"/>
      <c r="I30" s="3"/>
      <c r="J30" s="3"/>
      <c r="K30" s="3"/>
      <c r="L30" s="3"/>
      <c r="M30" s="3"/>
      <c r="N30" s="3"/>
      <c r="O30" s="3"/>
      <c r="P30" s="3"/>
      <c r="Q30" s="4"/>
    </row>
    <row r="31" spans="1:17" ht="27" customHeight="1">
      <c r="A31" s="3"/>
      <c r="B31" s="150" t="s">
        <v>865</v>
      </c>
      <c r="C31" s="150"/>
      <c r="D31" s="150"/>
      <c r="E31" s="150"/>
      <c r="F31" s="150"/>
      <c r="G31" s="150"/>
      <c r="H31" s="150"/>
      <c r="I31" s="3"/>
      <c r="J31" s="150" t="s">
        <v>866</v>
      </c>
      <c r="K31" s="150"/>
      <c r="L31" s="150"/>
      <c r="M31" s="150"/>
      <c r="N31" s="150"/>
      <c r="O31" s="150"/>
      <c r="P31" s="150"/>
      <c r="Q31" s="4"/>
    </row>
    <row r="32" spans="1:17" ht="21.95" customHeight="1">
      <c r="A32" s="3"/>
      <c r="B32" s="3"/>
      <c r="C32" s="3"/>
      <c r="D32" s="3"/>
      <c r="E32" s="3"/>
      <c r="F32" s="3"/>
      <c r="G32" s="3"/>
      <c r="H32" s="3"/>
      <c r="I32" s="3"/>
      <c r="J32" s="3"/>
      <c r="K32" s="3"/>
      <c r="L32" s="3"/>
      <c r="M32" s="3"/>
      <c r="N32" s="3"/>
      <c r="O32" s="3"/>
      <c r="P32" s="3"/>
      <c r="Q32" s="4"/>
    </row>
    <row r="33" spans="1:17" ht="21.95" customHeight="1">
      <c r="A33" s="3"/>
      <c r="B33" s="146" t="str">
        <f>IF($G$4="Stock","Market capitalization","Fund net assets")</f>
        <v>Fund net assets</v>
      </c>
      <c r="C33" s="146"/>
      <c r="D33" s="146"/>
      <c r="E33" s="146"/>
      <c r="F33" s="151" t="str">
        <f>IF($G$4="Stock",IF(ISNUMBER(IF(Data!$H$2,Data!$B$44,"Refresh required")),TEXT(IF(Data!$H$2,Data!$B$44,"Refresh required"),"$0.00,,,""B"""),IF(Data!$H$2,Data!$B$44,"Refresh required")),IF(ISNUMBER(IF(Data!$H$2,Data!$B$44,"Refresh required")),TEXT(IF(Data!$H$2,Data!$B$44,"Refresh required"),"$0.00,,,""B"""),IF(Data!$H$2,Data!$B$44,"Refresh required")))</f>
        <v>$22.86B</v>
      </c>
      <c r="G33" s="151"/>
      <c r="H33" s="151"/>
      <c r="I33" s="3"/>
      <c r="J33" s="146" t="s">
        <v>531</v>
      </c>
      <c r="K33" s="146"/>
      <c r="L33" s="146"/>
      <c r="M33" s="146" t="s">
        <v>532</v>
      </c>
      <c r="N33" s="146"/>
      <c r="O33" s="146" t="s">
        <v>527</v>
      </c>
      <c r="P33" s="146"/>
      <c r="Q33" s="4"/>
    </row>
    <row r="34" spans="1:17" ht="21.95" customHeight="1">
      <c r="A34" s="3"/>
      <c r="B34" s="146" t="str">
        <f>IF($G$4="Stock","P/E ratio","Net expense ratio")</f>
        <v>Net expense ratio</v>
      </c>
      <c r="C34" s="146"/>
      <c r="D34" s="146"/>
      <c r="E34" s="146"/>
      <c r="F34" s="151" t="str">
        <f>IF($G$4="Stock",IF(ISNUMBER(IF(Data!$H$2,Data!$B$45,"Refresh required")),TEXT(IF(Data!$H$2,Data!$B$45,"Refresh required"),"0.00"),IF(Data!$H$2,Data!$B$45,"Refresh required")),IF(ISNUMBER(IF(Data!$H$2,Data!$B$58,"Refresh required")),TEXT(IF(Data!$H$2,Data!$B$58,"Refresh required"),"0.00%"),IF(Data!$H$2,Data!$B$58,"Refresh required")))</f>
        <v>0.05%</v>
      </c>
      <c r="G34" s="151"/>
      <c r="H34" s="151"/>
      <c r="I34" s="3"/>
      <c r="J34" s="146" t="str">
        <f>IF(Data!$H$2,IF(Performance!A2="","",Performance!A2),"")</f>
        <v>YTD</v>
      </c>
      <c r="K34" s="146"/>
      <c r="L34" s="146"/>
      <c r="M34" s="152">
        <f>IF(Data!$H$2,IF(Performance!A2="","",Performance!B2),"")</f>
        <v>0.12328799999999999</v>
      </c>
      <c r="N34" s="152"/>
      <c r="O34" s="153">
        <f>IF(Data!$H$2,IF(Performance!A2="","",Performance!D2),"")</f>
        <v>46295</v>
      </c>
      <c r="P34" s="153"/>
      <c r="Q34" s="4"/>
    </row>
    <row r="35" spans="1:17" ht="21.95" customHeight="1">
      <c r="A35" s="3"/>
      <c r="B35" s="146" t="str">
        <f>IF($G$4="Stock","EPS (TTM)","Gross expense ratio")</f>
        <v>Gross expense ratio</v>
      </c>
      <c r="C35" s="146"/>
      <c r="D35" s="146"/>
      <c r="E35" s="146"/>
      <c r="F35" s="151" t="str">
        <f>IF($G$4="Stock",IF(ISNUMBER(IF(Data!$H$2,Data!$B$46,"Refresh required")),TEXT(IF(Data!$H$2,Data!$B$46,"Refresh required"),"0.00"),IF(Data!$H$2,Data!$B$46,"Refresh required")),IF(ISNUMBER(IF(Data!$H$2,Data!$B$57,"Refresh required")),TEXT(IF(Data!$H$2,Data!$B$57,"Refresh required"),"0.00%"),IF(Data!$H$2,Data!$B$57,"Refresh required")))</f>
        <v>0.05%</v>
      </c>
      <c r="G35" s="151"/>
      <c r="H35" s="151"/>
      <c r="I35" s="3"/>
      <c r="J35" s="146" t="str">
        <f>IF(Data!$H$2,IF(Performance!A3="","",Performance!A3),"")</f>
        <v>1 year</v>
      </c>
      <c r="K35" s="146"/>
      <c r="L35" s="146"/>
      <c r="M35" s="152">
        <f>IF(Data!$H$2,IF(Performance!A3="","",Performance!B3),"")</f>
        <v>0.15387999999999999</v>
      </c>
      <c r="N35" s="152"/>
      <c r="O35" s="153">
        <f>IF(Data!$H$2,IF(Performance!A3="","",Performance!D3),"")</f>
        <v>46295</v>
      </c>
      <c r="P35" s="153"/>
      <c r="Q35" s="4"/>
    </row>
    <row r="36" spans="1:17" ht="21.95" customHeight="1">
      <c r="A36" s="3"/>
      <c r="B36" s="146" t="str">
        <f>IF($G$4="Stock","Dividend yield (TTM)","Distribution yield (TTM)")</f>
        <v>Distribution yield (TTM)</v>
      </c>
      <c r="C36" s="146"/>
      <c r="D36" s="146"/>
      <c r="E36" s="146"/>
      <c r="F36" s="151" t="str">
        <f>IF($G$4="Stock",IF(ISNUMBER(IF(Data!$H$2,Data!$B$48,"Refresh required")),TEXT(IF(Data!$H$2,Data!$B$48,"Refresh required"),"0.00%"),IF(Data!$H$2,Data!$B$48,"Refresh required")),IF(ISNUMBER(IF(Data!$H$2,Data!$B$48,"Refresh required")),TEXT(IF(Data!$H$2,Data!$B$48,"Refresh required"),"0.00%"),IF(Data!$H$2,Data!$B$48,"Refresh required")))</f>
        <v>0.98%</v>
      </c>
      <c r="G36" s="151"/>
      <c r="H36" s="151"/>
      <c r="I36" s="3"/>
      <c r="J36" s="146" t="str">
        <f>IF(Data!$H$2,IF(Performance!A4="","",Performance!A4),"")</f>
        <v>3 years</v>
      </c>
      <c r="K36" s="146"/>
      <c r="L36" s="146"/>
      <c r="M36" s="152">
        <f>IF(Data!$H$2,IF(Performance!A4="","",Performance!B4),"")</f>
        <v>0.225296</v>
      </c>
      <c r="N36" s="152"/>
      <c r="O36" s="153">
        <f>IF(Data!$H$2,IF(Performance!A4="","",Performance!D4),"")</f>
        <v>46295</v>
      </c>
      <c r="P36" s="153"/>
      <c r="Q36" s="4"/>
    </row>
    <row r="37" spans="1:17" ht="21.95" customHeight="1">
      <c r="A37" s="3"/>
      <c r="B37" s="146" t="str">
        <f>IF($G$4="Mutual Fund","Minimum investment","Shares outstanding")</f>
        <v>Minimum investment</v>
      </c>
      <c r="C37" s="146"/>
      <c r="D37" s="146"/>
      <c r="E37" s="146"/>
      <c r="F37" s="151" t="str">
        <f>IF($G$4="Mutual Fund",IF(ISNUMBER(Data!$B$62),IF(ISNUMBER(IF(Data!$H$2,Data!$B$62,"Refresh required")),TEXT(IF(Data!$H$2,Data!$B$62,"Refresh required"),"#,##0.00"),IF(Data!$H$2,Data!$B$62,"Refresh required"))&amp;IF(Data!$B$63="USD"," USD"," (currency unverified)"),"Unavailable"),IF(ISNUMBER(IF(Data!$H$2,Data!$B$49,"Refresh required")),TEXT(IF(Data!$H$2,Data!$B$49,"Refresh required"),"0.00,,""M"""),IF(Data!$H$2,Data!$B$49,"Refresh required")))</f>
        <v>Unavailable</v>
      </c>
      <c r="G37" s="151"/>
      <c r="H37" s="151"/>
      <c r="I37" s="3"/>
      <c r="J37" s="146" t="str">
        <f>IF(Data!$H$2,IF(Performance!A5="","",Performance!A5),"")</f>
        <v>5 years</v>
      </c>
      <c r="K37" s="146"/>
      <c r="L37" s="146"/>
      <c r="M37" s="152">
        <f>IF(Data!$H$2,IF(Performance!A5="","",Performance!B5),"")</f>
        <v>0.129523</v>
      </c>
      <c r="N37" s="152"/>
      <c r="O37" s="153">
        <f>IF(Data!$H$2,IF(Performance!A5="","",Performance!D5),"")</f>
        <v>46295</v>
      </c>
      <c r="P37" s="153"/>
      <c r="Q37" s="4"/>
    </row>
    <row r="38" spans="1:17" ht="21.95" customHeight="1">
      <c r="A38" s="3"/>
      <c r="B38" s="146" t="str">
        <f>IF($G$4="ETF","Reported volume",IF($G$4="Stock","Avg. daily volume (52 weeks)","Portfolio turnover"))</f>
        <v>Portfolio turnover</v>
      </c>
      <c r="C38" s="146"/>
      <c r="D38" s="146"/>
      <c r="E38" s="146"/>
      <c r="F38" s="151" t="str">
        <f>IF($G$4="ETF",IF(ISNUMBER(IF(Data!$H$2,Data!$B$19,"Refresh required")),TEXT(IF(Data!$H$2,Data!$B$19,"Refresh required"),"#,##0.00"),IF(Data!$H$2,Data!$B$19,"Refresh required")),IF($G$4="Stock",IF(ISNUMBER(IF(Data!$H$2,Data!$B$50,"Refresh required")),TEXT(IF(Data!$H$2,Data!$B$50,"Refresh required"),"0.00,,""M"""),IF(Data!$H$2,Data!$B$50,"Refresh required")),IF(ISNUMBER(IF(Data!$H$2,Data!$B$61,"Refresh required")),TEXT(IF(Data!$H$2,Data!$B$61,"Refresh required"),"0.00%"),IF(Data!$H$2,Data!$B$61,"Refresh required"))))</f>
        <v>25.00%</v>
      </c>
      <c r="G38" s="151"/>
      <c r="H38" s="151"/>
      <c r="I38" s="3"/>
      <c r="J38" s="146" t="str">
        <f>IF(Data!$H$2,IF(Performance!A6="","",Performance!A6),"")</f>
        <v>10 years</v>
      </c>
      <c r="K38" s="146"/>
      <c r="L38" s="146"/>
      <c r="M38" s="152">
        <f>IF(Data!$H$2,IF(Performance!A6="","",Performance!B6),"")</f>
        <v>0.14933099999999999</v>
      </c>
      <c r="N38" s="152"/>
      <c r="O38" s="153">
        <f>IF(Data!$H$2,IF(Performance!A6="","",Performance!D6),"")</f>
        <v>46295</v>
      </c>
      <c r="P38" s="153"/>
      <c r="Q38" s="4"/>
    </row>
    <row r="39" spans="1:17" ht="21.95" customHeight="1">
      <c r="A39" s="3"/>
      <c r="B39" s="146" t="str">
        <f>IF($G$4="Stock","Beta (36 months)","Beta (3 years)")</f>
        <v>Beta (3 years)</v>
      </c>
      <c r="C39" s="146"/>
      <c r="D39" s="146"/>
      <c r="E39" s="146"/>
      <c r="F39" s="151" t="str">
        <f>IF($G$4="Stock",IF(ISNUMBER(IF(Data!$H$2,Data!$B$51,"Refresh required")),TEXT(IF(Data!$H$2,Data!$B$51,"Refresh required"),"0.0000"),IF(Data!$H$2,Data!$B$51,"Refresh required")),IF(ISNUMBER(IF(Data!$H$2,Data!$B$51,"Refresh required")),TEXT(IF(Data!$H$2,Data!$B$51,"Refresh required"),"0.0000"),IF(Data!$H$2,Data!$B$51,"Refresh required")))</f>
        <v>0.9975</v>
      </c>
      <c r="G39" s="151"/>
      <c r="H39" s="151"/>
      <c r="I39" s="3"/>
      <c r="J39" s="146" t="str">
        <f>IF(Data!$H$2,IF(Performance!A7="","",Performance!A7),"")</f>
        <v>Life</v>
      </c>
      <c r="K39" s="146"/>
      <c r="L39" s="146"/>
      <c r="M39" s="152">
        <f>IF(Data!$H$2,IF(Performance!A7="","",Performance!B7),"")</f>
        <v>0.1079</v>
      </c>
      <c r="N39" s="152"/>
      <c r="O39" s="153">
        <f>IF(Data!$H$2,IF(Performance!A7="","",Performance!D7),"")</f>
        <v>46295</v>
      </c>
      <c r="P39" s="153"/>
      <c r="Q39" s="4"/>
    </row>
    <row r="40" spans="1:17" ht="21.95" customHeight="1">
      <c r="A40" s="3"/>
      <c r="B40" s="146" t="str">
        <f>IF($G$4="Stock","Sector","Vendor category")</f>
        <v>Vendor category</v>
      </c>
      <c r="C40" s="146"/>
      <c r="D40" s="146"/>
      <c r="E40" s="146"/>
      <c r="F40" s="151" t="str">
        <f>IF($G$4="Stock",IF(Data!$H$2,Data!$B$42,"Refresh required"),IF(Data!$H$2,Data!$B$43,"Refresh required"))</f>
        <v>United States Large Cap Blend Equity</v>
      </c>
      <c r="G40" s="151"/>
      <c r="H40" s="151"/>
      <c r="I40" s="3"/>
      <c r="J40" s="3"/>
      <c r="K40" s="3"/>
      <c r="L40" s="3"/>
      <c r="M40" s="3"/>
      <c r="N40" s="3"/>
      <c r="O40" s="3"/>
      <c r="P40" s="3"/>
      <c r="Q40" s="4"/>
    </row>
    <row r="41" spans="1:17" ht="21.95" customHeight="1">
      <c r="A41" s="3"/>
      <c r="B41" s="146" t="str">
        <f>IF($G$4="Stock","Headquarters","Sponsor")</f>
        <v>Sponsor</v>
      </c>
      <c r="C41" s="146"/>
      <c r="D41" s="146"/>
      <c r="E41" s="146"/>
      <c r="F41" s="151" t="str">
        <f>IF($G$4="Stock",IF(Data!$H$2,Data!$B$39,"Refresh required"),IF(Data!$H$2,Data!$B$53,"Refresh required"))</f>
        <v>Charles Schwab Asset Management</v>
      </c>
      <c r="G41" s="151"/>
      <c r="H41" s="151"/>
      <c r="I41" s="3"/>
      <c r="J41" s="154" t="str">
        <f>IF($G$4="Stock","Price changes exclude dividends. Available history is not a standardized one-year return.","Fund total returns: periods longer than one year are annualized. See Performance for basis and dates.")</f>
        <v>Fund total returns: periods longer than one year are annualized. See Performance for basis and dates.</v>
      </c>
      <c r="K41" s="154"/>
      <c r="L41" s="154"/>
      <c r="M41" s="154"/>
      <c r="N41" s="154"/>
      <c r="O41" s="154"/>
      <c r="P41" s="154"/>
      <c r="Q41" s="4"/>
    </row>
    <row r="42" spans="1:17" ht="21.95" customHeight="1">
      <c r="A42" s="3"/>
      <c r="B42" s="146" t="str">
        <f>IF($G$4="Stock","Website","Benchmark")</f>
        <v>Benchmark</v>
      </c>
      <c r="C42" s="146"/>
      <c r="D42" s="146"/>
      <c r="E42" s="146"/>
      <c r="F42" s="151" t="str">
        <f>IF($G$4="Stock","See Data for website",IF(Data!$H$2,Data!$B$59,"Refresh required"))</f>
        <v>Russell 1000 Index</v>
      </c>
      <c r="G42" s="151"/>
      <c r="H42" s="151"/>
      <c r="I42" s="3"/>
      <c r="J42" s="154"/>
      <c r="K42" s="154"/>
      <c r="L42" s="154"/>
      <c r="M42" s="154"/>
      <c r="N42" s="154"/>
      <c r="O42" s="154"/>
      <c r="P42" s="154"/>
      <c r="Q42" s="4"/>
    </row>
    <row r="43" spans="1:17" ht="21.95" customHeight="1">
      <c r="A43" s="3"/>
      <c r="B43" s="146" t="str">
        <f>IF($G$4="Stock","Price-to-book","Share-class inception")</f>
        <v>Share-class inception</v>
      </c>
      <c r="C43" s="146"/>
      <c r="D43" s="146"/>
      <c r="E43" s="146"/>
      <c r="F43" s="151" t="str">
        <f>IF($G$4="Stock",IF(ISNUMBER(IF(Data!$H$2,Data!$B$52,"Refresh required")),TEXT(IF(Data!$H$2,Data!$B$52,"Refresh required"),"0.00"),IF(Data!$H$2,Data!$B$52,"Refresh required")),IF(ISNUMBER(IF(Data!$H$2,Data!$B$56,"Refresh required")),TEXT(IF(Data!$H$2,Data!$B$56,"Refresh required"),"mmm d, yyyy"),IF(Data!$H$2,Data!$B$56,"Refresh required")))</f>
        <v>Apr 2, 1991</v>
      </c>
      <c r="G43" s="151"/>
      <c r="H43" s="151"/>
      <c r="I43" s="3"/>
      <c r="J43" s="3"/>
      <c r="K43" s="3"/>
      <c r="L43" s="3"/>
      <c r="M43" s="3"/>
      <c r="N43" s="3"/>
      <c r="O43" s="3"/>
      <c r="P43" s="3"/>
      <c r="Q43" s="4"/>
    </row>
    <row r="44" spans="1:17" ht="27" customHeight="1">
      <c r="A44" s="3"/>
      <c r="B44" s="3"/>
      <c r="C44" s="3"/>
      <c r="D44" s="3"/>
      <c r="E44" s="3"/>
      <c r="F44" s="3"/>
      <c r="G44" s="3"/>
      <c r="H44" s="3"/>
      <c r="I44" s="3"/>
      <c r="J44" s="150" t="str">
        <f>IF($G$4="Stock","Trading statistics","Risk and valuation")</f>
        <v>Risk and valuation</v>
      </c>
      <c r="K44" s="150"/>
      <c r="L44" s="150"/>
      <c r="M44" s="150"/>
      <c r="N44" s="150"/>
      <c r="O44" s="150"/>
      <c r="P44" s="150"/>
      <c r="Q44" s="4"/>
    </row>
    <row r="45" spans="1:17" ht="27" customHeight="1">
      <c r="A45" s="3"/>
      <c r="B45" s="150" t="s">
        <v>867</v>
      </c>
      <c r="C45" s="150"/>
      <c r="D45" s="150"/>
      <c r="E45" s="150"/>
      <c r="F45" s="150"/>
      <c r="G45" s="150"/>
      <c r="H45" s="150"/>
      <c r="I45" s="3"/>
      <c r="J45" s="3"/>
      <c r="K45" s="3"/>
      <c r="L45" s="3"/>
      <c r="M45" s="3"/>
      <c r="N45" s="3"/>
      <c r="O45" s="3"/>
      <c r="P45" s="3"/>
      <c r="Q45" s="4"/>
    </row>
    <row r="46" spans="1:17" ht="21.95" customHeight="1">
      <c r="A46" s="3"/>
      <c r="B46" s="155" t="str">
        <f>IF($G$4="Stock","ETFs holding this stock · exposure dates not supplied","Top holdings · "&amp;IF(Data!$H$2,Data!$B$91,"Refresh required"))</f>
        <v>Top holdings · 46265</v>
      </c>
      <c r="C46" s="155"/>
      <c r="D46" s="155"/>
      <c r="E46" s="155"/>
      <c r="F46" s="155"/>
      <c r="G46" s="155"/>
      <c r="H46" s="155"/>
      <c r="I46" s="3"/>
      <c r="J46" s="146" t="str">
        <f>IF($G$4="Stock","52-week high","Standard deviation (3 years)")</f>
        <v>Standard deviation (3 years)</v>
      </c>
      <c r="K46" s="146"/>
      <c r="L46" s="146"/>
      <c r="M46" s="146"/>
      <c r="N46" s="151" t="str">
        <f>IF(Data!$H$2,IF($G$4="Stock",IF(ISNUMBER(IF(Data!$H$2,Data!$B$17,"Refresh required")),TEXT(IF(Data!$H$2,Data!$B$17,"Refresh required"),"$0.00"),IF(Data!$H$2,Data!$B$17,"Refresh required")),IF(ISNUMBER(IF(Data!$H$2,Data!$B$71,"Refresh required")),TEXT(IF(Data!$H$2,Data!$B$71,"Refresh required"),"0.00%"),IF(Data!$H$2,Data!$B$71,"Refresh required"))),"Refresh required")</f>
        <v>14.87%</v>
      </c>
      <c r="O46" s="151"/>
      <c r="P46" s="151"/>
      <c r="Q46" s="4"/>
    </row>
    <row r="47" spans="1:17" ht="21.95" customHeight="1">
      <c r="A47" s="3"/>
      <c r="B47" s="3"/>
      <c r="C47" s="3"/>
      <c r="D47" s="3"/>
      <c r="E47" s="3"/>
      <c r="F47" s="3"/>
      <c r="G47" s="3"/>
      <c r="H47" s="3"/>
      <c r="I47" s="3"/>
      <c r="J47" s="146" t="str">
        <f>IF($G$4="Stock","52-week low","Sharpe ratio (3 years)")</f>
        <v>Sharpe ratio (3 years)</v>
      </c>
      <c r="K47" s="146"/>
      <c r="L47" s="146"/>
      <c r="M47" s="146"/>
      <c r="N47" s="151" t="str">
        <f>IF(Data!$H$2,IF($G$4="Stock",IF(ISNUMBER(IF(Data!$H$2,Data!$B$18,"Refresh required")),TEXT(IF(Data!$H$2,Data!$B$18,"Refresh required"),"$0.00"),IF(Data!$H$2,Data!$B$18,"Refresh required")),IF(ISNUMBER(IF(Data!$H$2,Data!$B$72,"Refresh required")),TEXT(IF(Data!$H$2,Data!$B$72,"Refresh required"),"0.0000"),IF(Data!$H$2,Data!$B$72,"Refresh required"))),"Refresh required")</f>
        <v>0.9220</v>
      </c>
      <c r="O47" s="151"/>
      <c r="P47" s="151"/>
      <c r="Q47" s="4"/>
    </row>
    <row r="48" spans="1:17" ht="21.95" customHeight="1">
      <c r="A48" s="3"/>
      <c r="B48" s="146" t="s">
        <v>86</v>
      </c>
      <c r="C48" s="146"/>
      <c r="D48" s="146" t="s">
        <v>530</v>
      </c>
      <c r="E48" s="146"/>
      <c r="F48" s="146"/>
      <c r="G48" s="146" t="s">
        <v>88</v>
      </c>
      <c r="H48" s="146"/>
      <c r="I48" s="3"/>
      <c r="J48" s="146" t="str">
        <f>IF($G$4="Stock","Open","R² (3 years)")</f>
        <v>R² (3 years)</v>
      </c>
      <c r="K48" s="146"/>
      <c r="L48" s="146"/>
      <c r="M48" s="146"/>
      <c r="N48" s="151" t="str">
        <f>IF(Data!$H$2,IF($G$4="Stock",IF(ISNUMBER(IF(Data!$H$2,Data!$B$14,"Refresh required")),TEXT(IF(Data!$H$2,Data!$B$14,"Refresh required"),"$0.00"),IF(Data!$H$2,Data!$B$14,"Refresh required")),IF(ISNUMBER(IF(Data!$H$2,Data!$B$70,"Refresh required")),TEXT(IF(Data!$H$2,Data!$B$70,"Refresh required"),"0.00%"),IF(Data!$H$2,Data!$B$70,"Refresh required"))),"Refresh required")</f>
        <v>98.18%</v>
      </c>
      <c r="O48" s="151"/>
      <c r="P48" s="151"/>
      <c r="Q48" s="4"/>
    </row>
    <row r="49" spans="1:17" ht="21.95" customHeight="1">
      <c r="A49" s="3"/>
      <c r="B49" s="146" t="str">
        <f>IF(Data!$H$2,IF(Holdings!A2="","",Holdings!A2),"")</f>
        <v>NVDA</v>
      </c>
      <c r="C49" s="146"/>
      <c r="D49" s="153" t="str">
        <f>IF(Data!$H$2,IF(Holdings!A2="","",Holdings!B2),"")</f>
        <v>Nvidia Corp.</v>
      </c>
      <c r="E49" s="153"/>
      <c r="F49" s="153"/>
      <c r="G49" s="152">
        <f>IF(Data!$H$2,IF(Holdings!A2="","",Holdings!C2),"")</f>
        <v>7.46E-2</v>
      </c>
      <c r="H49" s="146"/>
      <c r="I49" s="3"/>
      <c r="J49" s="146" t="str">
        <f>IF($G$4="Stock","Day high","30-day SEC yield")</f>
        <v>30-day SEC yield</v>
      </c>
      <c r="K49" s="146"/>
      <c r="L49" s="146"/>
      <c r="M49" s="146"/>
      <c r="N49" s="151" t="str">
        <f>IF(Data!$H$2,IF($G$4="Stock",IF(ISNUMBER(IF(Data!$H$2,Data!$B$15,"Refresh required")),TEXT(IF(Data!$H$2,Data!$B$15,"Refresh required"),"$0.00"),IF(Data!$H$2,Data!$B$15,"Refresh required")),IF(ISNUMBER(IF(Data!$H$2,Data!$B$67,"Refresh required")),TEXT(IF(Data!$H$2,Data!$B$67,"Refresh required"),"0.00%"),IF(Data!$H$2,Data!$B$67,"Refresh required"))),"Refresh required")</f>
        <v>Unavailable</v>
      </c>
      <c r="O49" s="151"/>
      <c r="P49" s="151"/>
      <c r="Q49" s="4"/>
    </row>
    <row r="50" spans="1:17" ht="21.95" customHeight="1">
      <c r="A50" s="3"/>
      <c r="B50" s="146" t="str">
        <f>IF(Data!$H$2,IF(Holdings!A3="","",Holdings!A3),"")</f>
        <v>AAPL</v>
      </c>
      <c r="C50" s="146"/>
      <c r="D50" s="153" t="str">
        <f>IF(Data!$H$2,IF(Holdings!A3="","",Holdings!B3),"")</f>
        <v>Apple, Inc</v>
      </c>
      <c r="E50" s="153"/>
      <c r="F50" s="153"/>
      <c r="G50" s="152">
        <f>IF(Data!$H$2,IF(Holdings!A3="","",Holdings!C3),"")</f>
        <v>6.5000000000000002E-2</v>
      </c>
      <c r="H50" s="146"/>
      <c r="I50" s="3"/>
      <c r="J50" s="146" t="str">
        <f>IF($G$4="Stock","Day low","NAV / price-to-book")</f>
        <v>NAV / price-to-book</v>
      </c>
      <c r="K50" s="146"/>
      <c r="L50" s="146"/>
      <c r="M50" s="146"/>
      <c r="N50" s="151" t="str">
        <f>IF(Data!$H$2,IF($G$4="Stock",IF(ISNUMBER(IF(Data!$H$2,Data!$B$16,"Refresh required")),TEXT(IF(Data!$H$2,Data!$B$16,"Refresh required"),"$0.00"),IF(Data!$H$2,Data!$B$16,"Refresh required")),IF(ISNUMBER(IF(Data!$H$2,Data!$B$73,"Refresh required")),TEXT(IF(Data!$H$2,Data!$B$73,"Refresh required"),"$0.00"),IF(Data!$H$2,Data!$B$73,"Refresh required"))),"Refresh required")</f>
        <v>$16.74</v>
      </c>
      <c r="O50" s="151"/>
      <c r="P50" s="151"/>
      <c r="Q50" s="4"/>
    </row>
    <row r="51" spans="1:17" ht="21.95" customHeight="1">
      <c r="A51" s="3"/>
      <c r="B51" s="146" t="str">
        <f>IF(Data!$H$2,IF(Holdings!A4="","",Holdings!A4),"")</f>
        <v>MSFT</v>
      </c>
      <c r="C51" s="146"/>
      <c r="D51" s="153" t="str">
        <f>IF(Data!$H$2,IF(Holdings!A4="","",Holdings!B4),"")</f>
        <v>Microsoft Corp</v>
      </c>
      <c r="E51" s="153"/>
      <c r="F51" s="153"/>
      <c r="G51" s="152">
        <f>IF(Data!$H$2,IF(Holdings!A4="","",Holdings!C4),"")</f>
        <v>5.2600000000000001E-2</v>
      </c>
      <c r="H51" s="146"/>
      <c r="I51" s="3"/>
      <c r="J51" s="146" t="str">
        <f>IF($G$4="Stock","Reported volume",IF($G$4="Mutual Fund","Effective duration (years)","NAV premium / discount"))</f>
        <v>Effective duration (years)</v>
      </c>
      <c r="K51" s="146"/>
      <c r="L51" s="146"/>
      <c r="M51" s="146"/>
      <c r="N51" s="151" t="str">
        <f>IF(Data!$H$2,IF($G$4="Stock",IF(ISNUMBER(IF(Data!$H$2,Data!$B$19,"Refresh required")),TEXT(IF(Data!$H$2,Data!$B$19,"Refresh required"),"#,##0.00"),IF(Data!$H$2,Data!$B$19,"Refresh required")),IF($G$4="Mutual Fund",IF(ISNUMBER(IF(Data!$H$2,Data!$B$68,"Refresh required")),TEXT(IF(Data!$H$2,Data!$B$68,"Refresh required"),"0.00"),IF(Data!$H$2,Data!$B$68,"Refresh required")),IF(AND($G$4="ETF",ISNUMBER(Data!$B$5),ISNUMBER(Data!$B$73),Data!$B$9=Data!$D$73),TEXT(Data!$B$5/Data!$B$73-1,"0.00%"),"Unavailable"))),"Refresh required")</f>
        <v>2.67</v>
      </c>
      <c r="O51" s="151"/>
      <c r="P51" s="151"/>
      <c r="Q51" s="4"/>
    </row>
    <row r="52" spans="1:17" ht="21.95" customHeight="1">
      <c r="A52" s="3"/>
      <c r="B52" s="146" t="str">
        <f>IF(Data!$H$2,IF(Holdings!A5="","",Holdings!A5),"")</f>
        <v>AMZN</v>
      </c>
      <c r="C52" s="146"/>
      <c r="D52" s="153" t="str">
        <f>IF(Data!$H$2,IF(Holdings!A5="","",Holdings!B5),"")</f>
        <v>Amazon.Com Inc</v>
      </c>
      <c r="E52" s="153"/>
      <c r="F52" s="153"/>
      <c r="G52" s="152">
        <f>IF(Data!$H$2,IF(Holdings!A5="","",Holdings!C5),"")</f>
        <v>3.5499999999999997E-2</v>
      </c>
      <c r="H52" s="146"/>
      <c r="I52" s="3"/>
      <c r="J52" s="3"/>
      <c r="K52" s="3"/>
      <c r="L52" s="3"/>
      <c r="M52" s="3"/>
      <c r="N52" s="3"/>
      <c r="O52" s="3"/>
      <c r="P52" s="3"/>
      <c r="Q52" s="4"/>
    </row>
    <row r="53" spans="1:17" ht="21.95" customHeight="1">
      <c r="A53" s="3"/>
      <c r="B53" s="146" t="str">
        <f>IF(Data!$H$2,IF(Holdings!A6="","",Holdings!A6),"")</f>
        <v>GOOGL</v>
      </c>
      <c r="C53" s="146"/>
      <c r="D53" s="153" t="str">
        <f>IF(Data!$H$2,IF(Holdings!A6="","",Holdings!B6),"")</f>
        <v>Alphabet Inc-cl A</v>
      </c>
      <c r="E53" s="153"/>
      <c r="F53" s="153"/>
      <c r="G53" s="152">
        <f>IF(Data!$H$2,IF(Holdings!A6="","",Holdings!C6),"")</f>
        <v>2.7799999999999998E-2</v>
      </c>
      <c r="H53" s="146"/>
      <c r="I53" s="3"/>
      <c r="J53" s="3"/>
      <c r="K53" s="3"/>
      <c r="L53" s="3"/>
      <c r="M53" s="3"/>
      <c r="N53" s="3"/>
      <c r="O53" s="3"/>
      <c r="P53" s="3"/>
      <c r="Q53" s="4"/>
    </row>
    <row r="54" spans="1:17" ht="27" customHeight="1">
      <c r="A54" s="3"/>
      <c r="B54" s="146" t="str">
        <f>IF(Data!$H$2,IF(Holdings!A7="","",Holdings!A7),"")</f>
        <v>AVGO</v>
      </c>
      <c r="C54" s="146"/>
      <c r="D54" s="153" t="str">
        <f>IF(Data!$H$2,IF(Holdings!A7="","",Holdings!B7),"")</f>
        <v>Broadcom Inc</v>
      </c>
      <c r="E54" s="153"/>
      <c r="F54" s="153"/>
      <c r="G54" s="152">
        <f>IF(Data!$H$2,IF(Holdings!A7="","",Holdings!C7),"")</f>
        <v>2.4500000000000001E-2</v>
      </c>
      <c r="H54" s="146"/>
      <c r="I54" s="3"/>
      <c r="J54" s="150" t="s">
        <v>868</v>
      </c>
      <c r="K54" s="150"/>
      <c r="L54" s="150"/>
      <c r="M54" s="150"/>
      <c r="N54" s="150"/>
      <c r="O54" s="150"/>
      <c r="P54" s="150"/>
      <c r="Q54" s="4"/>
    </row>
    <row r="55" spans="1:17" ht="21.95" customHeight="1">
      <c r="A55" s="3"/>
      <c r="B55" s="146" t="str">
        <f>IF(Data!$H$2,IF(Holdings!A8="","",Holdings!A8),"")</f>
        <v>GOOG</v>
      </c>
      <c r="C55" s="146"/>
      <c r="D55" s="153" t="str">
        <f>IF(Data!$H$2,IF(Holdings!A8="","",Holdings!B8),"")</f>
        <v>Alphabet Inc</v>
      </c>
      <c r="E55" s="153"/>
      <c r="F55" s="153"/>
      <c r="G55" s="152">
        <f>IF(Data!$H$2,IF(Holdings!A8="","",Holdings!C8),"")</f>
        <v>2.2099999999999998E-2</v>
      </c>
      <c r="H55" s="146"/>
      <c r="I55" s="3"/>
      <c r="J55" s="156" t="str">
        <f>IF($G$4="Stock","Next earnings: "&amp;IF(Data!$H$2,Data!$B$79,"Refresh required")&amp;" · "&amp;IF(Data!$H$2,Data!$B$80,"Refresh required")&amp;" · "&amp;IF(Data!$H$2,Data!$B$81,"Refresh required"),"Portfolio managers · "&amp;IF(Data!$H$2,Data!$B$94,"Refresh required"))</f>
        <v>Portfolio managers · 46295</v>
      </c>
      <c r="K55" s="156"/>
      <c r="L55" s="156"/>
      <c r="M55" s="156"/>
      <c r="N55" s="156"/>
      <c r="O55" s="156"/>
      <c r="P55" s="156"/>
      <c r="Q55" s="4"/>
    </row>
    <row r="56" spans="1:17" ht="21.95" customHeight="1">
      <c r="A56" s="3"/>
      <c r="B56" s="146" t="str">
        <f>IF(Data!$H$2,IF(Holdings!A9="","",Holdings!A9),"")</f>
        <v>META</v>
      </c>
      <c r="C56" s="146"/>
      <c r="D56" s="153" t="str">
        <f>IF(Data!$H$2,IF(Holdings!A9="","",Holdings!B9),"")</f>
        <v>Meta Platforms, Inc.</v>
      </c>
      <c r="E56" s="153"/>
      <c r="F56" s="153"/>
      <c r="G56" s="152">
        <f>IF(Data!$H$2,IF(Holdings!A9="","",Holdings!C9),"")</f>
        <v>1.7500000000000002E-2</v>
      </c>
      <c r="H56" s="146"/>
      <c r="I56" s="3"/>
      <c r="J56" s="156"/>
      <c r="K56" s="156"/>
      <c r="L56" s="156"/>
      <c r="M56" s="156"/>
      <c r="N56" s="156"/>
      <c r="O56" s="156"/>
      <c r="P56" s="156"/>
      <c r="Q56" s="4"/>
    </row>
    <row r="57" spans="1:17" ht="21.95" customHeight="1">
      <c r="A57" s="3"/>
      <c r="B57" s="146" t="str">
        <f>IF(Data!$H$2,IF(Holdings!A10="","",Holdings!A10),"")</f>
        <v>MU</v>
      </c>
      <c r="C57" s="146"/>
      <c r="D57" s="153" t="str">
        <f>IF(Data!$H$2,IF(Holdings!A10="","",Holdings!B10),"")</f>
        <v>Micron Technology, Inc.</v>
      </c>
      <c r="E57" s="153"/>
      <c r="F57" s="153"/>
      <c r="G57" s="152">
        <f>IF(Data!$H$2,IF(Holdings!A10="","",Holdings!C10),"")</f>
        <v>1.5100000000000001E-2</v>
      </c>
      <c r="H57" s="146"/>
      <c r="I57" s="3"/>
      <c r="J57" s="3"/>
      <c r="K57" s="3"/>
      <c r="L57" s="3"/>
      <c r="M57" s="3"/>
      <c r="N57" s="3"/>
      <c r="O57" s="3"/>
      <c r="P57" s="3"/>
      <c r="Q57" s="4"/>
    </row>
    <row r="58" spans="1:17" ht="21.95" customHeight="1">
      <c r="A58" s="3"/>
      <c r="B58" s="146" t="str">
        <f>IF(Data!$H$2,IF(Holdings!A11="","",Holdings!A11),"")</f>
        <v>TSLA</v>
      </c>
      <c r="C58" s="146"/>
      <c r="D58" s="153" t="str">
        <f>IF(Data!$H$2,IF(Holdings!A11="","",Holdings!B11),"")</f>
        <v>Tesla Inc</v>
      </c>
      <c r="E58" s="153"/>
      <c r="F58" s="153"/>
      <c r="G58" s="152">
        <f>IF(Data!$H$2,IF(Holdings!A11="","",Holdings!C11),"")</f>
        <v>1.4499999999999999E-2</v>
      </c>
      <c r="H58" s="146"/>
      <c r="I58" s="3"/>
      <c r="J58" s="153" t="str">
        <f>IF(Data!$H$2,IF($G$4="Stock",IF(Earnings!A2="","",Earnings!A2&amp;" "&amp;Earnings!B2),IF(Management!A2="","",Management!A2)),"")</f>
        <v>Sabya Sinha</v>
      </c>
      <c r="K58" s="153"/>
      <c r="L58" s="153"/>
      <c r="M58" s="153" t="str">
        <f>IF(Data!$H$2,IF($G$4="Stock",IF(Earnings!A2="","",TEXT(Earnings!C2,"$0.00")&amp;IF(ISNUMBER(Earnings!G2)," · Sales "&amp;TEXT(Earnings!G2,"$0.00,,,""B"""),"")),IF(Management!A2="","","Since "&amp;Management!B2)),"")</f>
        <v>Since 42005</v>
      </c>
      <c r="N58" s="153"/>
      <c r="O58" s="153"/>
      <c r="P58" s="153"/>
      <c r="Q58" s="4"/>
    </row>
    <row r="59" spans="1:17" ht="21.95" customHeight="1">
      <c r="A59" s="3"/>
      <c r="B59" s="3"/>
      <c r="C59" s="3"/>
      <c r="D59" s="3"/>
      <c r="E59" s="3"/>
      <c r="F59" s="3"/>
      <c r="G59" s="3"/>
      <c r="H59" s="3"/>
      <c r="I59" s="3"/>
      <c r="J59" s="153" t="str">
        <f>IF(Data!$H$2,IF($G$4="Stock",IF(Earnings!A3="","",Earnings!A3&amp;" "&amp;Earnings!B3),IF(Management!A3="","",Management!A3)),"")</f>
        <v>Chuck Craig</v>
      </c>
      <c r="K59" s="153"/>
      <c r="L59" s="153"/>
      <c r="M59" s="153" t="str">
        <f>IF(Data!$H$2,IF($G$4="Stock",IF(Earnings!A3="","",TEXT(Earnings!C3,"$0.00")&amp;IF(ISNUMBER(Earnings!G3)," · Sales "&amp;TEXT(Earnings!G3,"$0.00,,,""B"""),"")),IF(Management!A3="","","Since "&amp;Management!B3)),"")</f>
        <v>Since 40909</v>
      </c>
      <c r="N59" s="153"/>
      <c r="O59" s="153"/>
      <c r="P59" s="153"/>
      <c r="Q59" s="4"/>
    </row>
    <row r="60" spans="1:17" ht="21.95" customHeight="1">
      <c r="A60" s="3"/>
      <c r="B60" s="154" t="str">
        <f>IF($G$4="ETF","The dashboard shows the largest positions in the first returned page. Full pagination is not implemented.",IF($G$4="Stock","Exposure relationships are not peer recommendations.","Names and classifications are shown as supplied; inspect unusual descriptions."))</f>
        <v>Names and classifications are shown as supplied; inspect unusual descriptions.</v>
      </c>
      <c r="C60" s="154"/>
      <c r="D60" s="154"/>
      <c r="E60" s="154"/>
      <c r="F60" s="154"/>
      <c r="G60" s="154"/>
      <c r="H60" s="154"/>
      <c r="I60" s="3"/>
      <c r="J60" s="153" t="str">
        <f>IF(Data!$H$2,IF($G$4="Stock",IF(Earnings!A4="","",Earnings!A4&amp;" "&amp;Earnings!B4),IF(Management!A4="","",Management!A4)),"")</f>
        <v>Agnes Zau</v>
      </c>
      <c r="K60" s="153"/>
      <c r="L60" s="153"/>
      <c r="M60" s="153" t="str">
        <f>IF(Data!$H$2,IF($G$4="Stock",IF(Earnings!A4="","",TEXT(Earnings!C4,"$0.00")&amp;IF(ISNUMBER(Earnings!G4)," · Sales "&amp;TEXT(Earnings!G4,"$0.00,,,""B"""),"")),IF(Management!A4="","","Since "&amp;Management!B4)),"")</f>
        <v>Since 44927</v>
      </c>
      <c r="N60" s="153"/>
      <c r="O60" s="153"/>
      <c r="P60" s="153"/>
      <c r="Q60" s="4"/>
    </row>
    <row r="61" spans="1:17" ht="21.95" customHeight="1">
      <c r="A61" s="3"/>
      <c r="B61" s="154"/>
      <c r="C61" s="154"/>
      <c r="D61" s="154"/>
      <c r="E61" s="154"/>
      <c r="F61" s="154"/>
      <c r="G61" s="154"/>
      <c r="H61" s="154"/>
      <c r="I61" s="3"/>
      <c r="J61" s="153" t="str">
        <f>IF(Data!$H$2,IF($G$4="Stock",IF(Earnings!A5="","",Earnings!A5&amp;" "&amp;Earnings!B5),IF(Management!A5="","",Management!A5)),"")</f>
        <v>David Rios</v>
      </c>
      <c r="K61" s="153"/>
      <c r="L61" s="153"/>
      <c r="M61" s="153" t="str">
        <f>IF(Data!$H$2,IF($G$4="Stock",IF(Earnings!A5="","",TEXT(Earnings!C5,"$0.00")&amp;IF(ISNUMBER(Earnings!G5)," · Sales "&amp;TEXT(Earnings!G5,"$0.00,,,""B"""),"")),IF(Management!A5="","","Since "&amp;Management!B5)),"")</f>
        <v>Since 39448</v>
      </c>
      <c r="N61" s="153"/>
      <c r="O61" s="153"/>
      <c r="P61" s="153"/>
      <c r="Q61" s="4"/>
    </row>
    <row r="62" spans="1:17" ht="21.95" customHeight="1">
      <c r="A62" s="3"/>
      <c r="B62" s="3"/>
      <c r="C62" s="3"/>
      <c r="D62" s="3"/>
      <c r="E62" s="3"/>
      <c r="F62" s="3"/>
      <c r="G62" s="3"/>
      <c r="H62" s="3"/>
      <c r="I62" s="3"/>
      <c r="J62" s="153" t="str">
        <f>IF(Data!$H$2,IF($G$4="Stock",IF(Earnings!A6="","",Earnings!A6&amp;" "&amp;Earnings!B6),IF(Management!A6="","",Management!A6)),"")</f>
        <v>Ron Toll</v>
      </c>
      <c r="K62" s="153"/>
      <c r="L62" s="153"/>
      <c r="M62" s="153" t="str">
        <f>IF(Data!$H$2,IF($G$4="Stock",IF(Earnings!A6="","",TEXT(Earnings!C6,"$0.00")&amp;IF(ISNUMBER(Earnings!G6)," · Sales "&amp;TEXT(Earnings!G6,"$0.00,,,""B"""),"")),IF(Management!A6="","","Since "&amp;Management!B6)),"")</f>
        <v>Since 39506</v>
      </c>
      <c r="N62" s="153"/>
      <c r="O62" s="153"/>
      <c r="P62" s="153"/>
      <c r="Q62" s="4"/>
    </row>
    <row r="63" spans="1:17" ht="21.95" customHeight="1">
      <c r="A63" s="3"/>
      <c r="B63" s="3"/>
      <c r="C63" s="3"/>
      <c r="D63" s="3"/>
      <c r="E63" s="3"/>
      <c r="F63" s="3"/>
      <c r="G63" s="3"/>
      <c r="H63" s="3"/>
      <c r="I63" s="3"/>
      <c r="J63" s="153" t="str">
        <f>IF(Data!$H$2,IF($G$4="Stock",IF(Earnings!A7="","",Earnings!A7&amp;" "&amp;Earnings!B7),IF(Management!A7="","",Management!A7)),"")</f>
        <v>Ferian Juwono</v>
      </c>
      <c r="K63" s="153"/>
      <c r="L63" s="153"/>
      <c r="M63" s="153" t="str">
        <f>IF(Data!$H$2,IF($G$4="Stock",IF(Earnings!A7="","",TEXT(Earnings!C7,"$0.00")&amp;IF(ISNUMBER(Earnings!G7)," · Sales "&amp;TEXT(Earnings!G7,"$0.00,,,""B"""),"")),IF(Management!A7="","","Since "&amp;Management!B7)),"")</f>
        <v>Since 41275</v>
      </c>
      <c r="N63" s="153"/>
      <c r="O63" s="153"/>
      <c r="P63" s="153"/>
      <c r="Q63" s="4"/>
    </row>
    <row r="64" spans="1:17" ht="27" customHeight="1">
      <c r="A64" s="3"/>
      <c r="B64" s="150" t="s">
        <v>869</v>
      </c>
      <c r="C64" s="150"/>
      <c r="D64" s="150"/>
      <c r="E64" s="150"/>
      <c r="F64" s="150"/>
      <c r="G64" s="150"/>
      <c r="H64" s="150"/>
      <c r="I64" s="3"/>
      <c r="J64" s="153" t="str">
        <f>IF(Data!$H$2,IF($G$4="Stock",IF(Earnings!A8="","",Earnings!A8&amp;" "&amp;Earnings!B8),IF(Management!A8="","",Management!A8)),"")</f>
        <v>Jeremy Brown</v>
      </c>
      <c r="K64" s="153"/>
      <c r="L64" s="153"/>
      <c r="M64" s="153" t="str">
        <f>IF(Data!$H$2,IF($G$4="Stock",IF(Earnings!A8="","",TEXT(Earnings!C8,"$0.00")&amp;IF(ISNUMBER(Earnings!G8)," · Sales "&amp;TEXT(Earnings!G8,"$0.00,,,""B"""),"")),IF(Management!A8="","","Since "&amp;Management!B8)),"")</f>
        <v>Since 43466</v>
      </c>
      <c r="N64" s="153"/>
      <c r="O64" s="153"/>
      <c r="P64" s="153"/>
      <c r="Q64" s="4"/>
    </row>
    <row r="65" spans="1:17" ht="21.95" customHeight="1">
      <c r="A65" s="3"/>
      <c r="B65" s="3"/>
      <c r="C65" s="3"/>
      <c r="D65" s="3"/>
      <c r="E65" s="3"/>
      <c r="F65" s="3"/>
      <c r="G65" s="3"/>
      <c r="H65" s="3"/>
      <c r="I65" s="3"/>
      <c r="J65" s="153" t="str">
        <f>IF(Data!$H$2,IF($G$4="Stock",IF(Earnings!A9="","",Earnings!A9&amp;" "&amp;Earnings!B9),IF(Management!A9="","",Management!A9)),"")</f>
        <v>Christopher Bliss</v>
      </c>
      <c r="K65" s="153"/>
      <c r="L65" s="153"/>
      <c r="M65" s="153" t="str">
        <f>IF(Data!$H$2,IF($G$4="Stock",IF(Earnings!A9="","",TEXT(Earnings!C9,"$0.00")&amp;IF(ISNUMBER(Earnings!G9)," · Sales "&amp;TEXT(Earnings!G9,"$0.00,,,""B"""),"")),IF(Management!A9="","","Since "&amp;Management!B9)),"")</f>
        <v>Since 42736</v>
      </c>
      <c r="N65" s="153"/>
      <c r="O65" s="153"/>
      <c r="P65" s="153"/>
      <c r="Q65" s="4"/>
    </row>
    <row r="66" spans="1:17" ht="21.95" customHeight="1">
      <c r="A66" s="3"/>
      <c r="B66" s="146" t="s">
        <v>48</v>
      </c>
      <c r="C66" s="146"/>
      <c r="D66" s="146" t="s">
        <v>49</v>
      </c>
      <c r="E66" s="146"/>
      <c r="F66" s="146" t="s">
        <v>50</v>
      </c>
      <c r="G66" s="146"/>
      <c r="H66" s="146"/>
      <c r="I66" s="3"/>
      <c r="J66" s="3"/>
      <c r="K66" s="3"/>
      <c r="L66" s="3"/>
      <c r="M66" s="3"/>
      <c r="N66" s="3"/>
      <c r="O66" s="3"/>
      <c r="P66" s="3"/>
      <c r="Q66" s="4"/>
    </row>
    <row r="67" spans="1:17" ht="21.95" customHeight="1">
      <c r="A67" s="3"/>
      <c r="B67" s="146">
        <f>IF(Data!$H$2,IF(Income!A2="","",Income!A2),"")</f>
        <v>46003</v>
      </c>
      <c r="C67" s="146"/>
      <c r="D67" s="157">
        <f>IF(Data!$H$2,IF(Income!A2="","",Income!B2),"")</f>
        <v>5.0999999999999997E-2</v>
      </c>
      <c r="E67" s="146"/>
      <c r="F67" s="146">
        <f>IF(Data!$H$2,IF(Income!A2="","",Income!C2),"")</f>
        <v>46002</v>
      </c>
      <c r="G67" s="146"/>
      <c r="H67" s="146"/>
      <c r="I67" s="3"/>
      <c r="J67" s="156" t="str">
        <f>IF($G$4="Stock","Analyst consensus: "&amp;IF(Data!$H$2,Data!$B$87,"Refresh required")&amp;" · mean target "&amp;IF(ISNUMBER(IF(Data!$H$2,Data!$B$83,"Refresh required")),TEXT(IF(Data!$H$2,Data!$B$83,"Refresh required"),"$0.00"),IF(Data!$H$2,Data!$B$83,"Refresh required"))&amp;" ("&amp;IF(ISNUMBER(IF(Data!$H$2,Data!$B$86,"Refresh required")),TEXT(IF(Data!$H$2,Data!$B$86,"Refresh required"),"0"),IF(Data!$H$2,Data!$B$86,"Refresh required"))&amp;" estimates)","Manager tenure dates are vendor-supplied. Biography details are on Management.")</f>
        <v>Manager tenure dates are vendor-supplied. Biography details are on Management.</v>
      </c>
      <c r="K67" s="156"/>
      <c r="L67" s="156"/>
      <c r="M67" s="156"/>
      <c r="N67" s="156"/>
      <c r="O67" s="156"/>
      <c r="P67" s="156"/>
      <c r="Q67" s="4"/>
    </row>
    <row r="68" spans="1:17" ht="21.95" customHeight="1">
      <c r="A68" s="3"/>
      <c r="B68" s="146" t="str">
        <f>IF(Data!$H$2,IF(Income!A3="","",Income!A3),"")</f>
        <v/>
      </c>
      <c r="C68" s="146"/>
      <c r="D68" s="157" t="str">
        <f>IF(Data!$H$2,IF(Income!A3="","",Income!B3),"")</f>
        <v/>
      </c>
      <c r="E68" s="146"/>
      <c r="F68" s="146" t="str">
        <f>IF(Data!$H$2,IF(Income!A3="","",Income!C3),"")</f>
        <v/>
      </c>
      <c r="G68" s="146"/>
      <c r="H68" s="146"/>
      <c r="I68" s="3"/>
      <c r="J68" s="156"/>
      <c r="K68" s="156"/>
      <c r="L68" s="156"/>
      <c r="M68" s="156"/>
      <c r="N68" s="156"/>
      <c r="O68" s="156"/>
      <c r="P68" s="156"/>
      <c r="Q68" s="4"/>
    </row>
    <row r="69" spans="1:17" ht="21.95" customHeight="1">
      <c r="A69" s="3"/>
      <c r="B69" s="146" t="str">
        <f>IF(Data!$H$2,IF(Income!A4="","",Income!A4),"")</f>
        <v/>
      </c>
      <c r="C69" s="146"/>
      <c r="D69" s="157" t="str">
        <f>IF(Data!$H$2,IF(Income!A4="","",Income!B4),"")</f>
        <v/>
      </c>
      <c r="E69" s="146"/>
      <c r="F69" s="146" t="str">
        <f>IF(Data!$H$2,IF(Income!A4="","",Income!C4),"")</f>
        <v/>
      </c>
      <c r="G69" s="146"/>
      <c r="H69" s="146"/>
      <c r="I69" s="3"/>
      <c r="J69" s="3"/>
      <c r="K69" s="3"/>
      <c r="L69" s="3"/>
      <c r="M69" s="3"/>
      <c r="N69" s="3"/>
      <c r="O69" s="3"/>
      <c r="P69" s="3"/>
      <c r="Q69" s="4"/>
    </row>
    <row r="70" spans="1:17" ht="21.95" customHeight="1">
      <c r="A70" s="3"/>
      <c r="B70" s="146" t="str">
        <f>IF(Data!$H$2,IF(Income!A5="","",Income!A5),"")</f>
        <v/>
      </c>
      <c r="C70" s="146"/>
      <c r="D70" s="157" t="str">
        <f>IF(Data!$H$2,IF(Income!A5="","",Income!B5),"")</f>
        <v/>
      </c>
      <c r="E70" s="146"/>
      <c r="F70" s="146" t="str">
        <f>IF(Data!$H$2,IF(Income!A5="","",Income!C5),"")</f>
        <v/>
      </c>
      <c r="G70" s="146"/>
      <c r="H70" s="146"/>
      <c r="I70" s="3"/>
      <c r="J70" s="3"/>
      <c r="K70" s="3"/>
      <c r="L70" s="3"/>
      <c r="M70" s="3"/>
      <c r="N70" s="3"/>
      <c r="O70" s="3"/>
      <c r="P70" s="3"/>
      <c r="Q70" s="4"/>
    </row>
    <row r="71" spans="1:17" ht="27" customHeight="1">
      <c r="A71" s="3"/>
      <c r="B71" s="3"/>
      <c r="C71" s="3"/>
      <c r="D71" s="3"/>
      <c r="E71" s="3"/>
      <c r="F71" s="3"/>
      <c r="G71" s="3"/>
      <c r="H71" s="3"/>
      <c r="I71" s="3"/>
      <c r="J71" s="150" t="s">
        <v>629</v>
      </c>
      <c r="K71" s="150"/>
      <c r="L71" s="150"/>
      <c r="M71" s="150"/>
      <c r="N71" s="150"/>
      <c r="O71" s="150"/>
      <c r="P71" s="150"/>
      <c r="Q71" s="4"/>
    </row>
    <row r="72" spans="1:17" ht="21.95" customHeight="1">
      <c r="A72" s="3"/>
      <c r="B72" s="154" t="str">
        <f>"Declared and record dates are on Income. No future payment is inferred from past frequency."</f>
        <v>Declared and record dates are on Income. No future payment is inferred from past frequency.</v>
      </c>
      <c r="C72" s="154"/>
      <c r="D72" s="154"/>
      <c r="E72" s="154"/>
      <c r="F72" s="154"/>
      <c r="G72" s="154"/>
      <c r="H72" s="154"/>
      <c r="I72" s="3"/>
      <c r="J72" s="3"/>
      <c r="K72" s="3"/>
      <c r="L72" s="3"/>
      <c r="M72" s="3"/>
      <c r="N72" s="3"/>
      <c r="O72" s="3"/>
      <c r="P72" s="3"/>
      <c r="Q72" s="4"/>
    </row>
    <row r="73" spans="1:17" ht="21.95" customHeight="1">
      <c r="A73" s="3"/>
      <c r="B73" s="154"/>
      <c r="C73" s="154"/>
      <c r="D73" s="154"/>
      <c r="E73" s="154"/>
      <c r="F73" s="154"/>
      <c r="G73" s="154"/>
      <c r="H73" s="154"/>
      <c r="I73" s="3"/>
      <c r="J73" s="127" t="s">
        <v>870</v>
      </c>
      <c r="K73" s="127"/>
      <c r="L73" s="127"/>
      <c r="M73" s="127"/>
      <c r="N73" s="158" t="str">
        <f>IF(Data!$H$2,Data!$B$101,"Refresh required")</f>
        <v>Not verified / licensed feed required</v>
      </c>
      <c r="O73" s="158"/>
      <c r="P73" s="158"/>
      <c r="Q73" s="4"/>
    </row>
    <row r="74" spans="1:17" ht="21.95" customHeight="1">
      <c r="A74" s="3"/>
      <c r="B74" s="3"/>
      <c r="C74" s="3"/>
      <c r="D74" s="3"/>
      <c r="E74" s="3"/>
      <c r="F74" s="3"/>
      <c r="G74" s="3"/>
      <c r="H74" s="3"/>
      <c r="I74" s="3"/>
      <c r="J74" s="3"/>
      <c r="K74" s="3"/>
      <c r="L74" s="3"/>
      <c r="M74" s="3"/>
      <c r="N74" s="158"/>
      <c r="O74" s="158"/>
      <c r="P74" s="158"/>
      <c r="Q74" s="4"/>
    </row>
    <row r="75" spans="1:17" ht="21.95" customHeight="1">
      <c r="A75" s="3"/>
      <c r="B75" s="3"/>
      <c r="C75" s="3"/>
      <c r="D75" s="3"/>
      <c r="E75" s="3"/>
      <c r="F75" s="3"/>
      <c r="G75" s="3"/>
      <c r="H75" s="3"/>
      <c r="I75" s="3"/>
      <c r="J75" s="3"/>
      <c r="K75" s="3"/>
      <c r="L75" s="3"/>
      <c r="M75" s="3"/>
      <c r="N75" s="3"/>
      <c r="O75" s="3"/>
      <c r="P75" s="3"/>
      <c r="Q75" s="4"/>
    </row>
    <row r="76" spans="1:17" ht="21.95" customHeight="1">
      <c r="A76" s="3"/>
      <c r="B76" s="3"/>
      <c r="C76" s="3"/>
      <c r="D76" s="3"/>
      <c r="E76" s="3"/>
      <c r="F76" s="3"/>
      <c r="G76" s="3"/>
      <c r="H76" s="3"/>
      <c r="I76" s="3"/>
      <c r="J76" s="127" t="s">
        <v>871</v>
      </c>
      <c r="K76" s="127"/>
      <c r="L76" s="127"/>
      <c r="M76" s="127"/>
      <c r="N76" s="158" t="str">
        <f>IF(Data!$H$2,Data!$B$102,"Refresh required")</f>
        <v>Not verified / licensed feed required</v>
      </c>
      <c r="O76" s="158"/>
      <c r="P76" s="158"/>
      <c r="Q76" s="4"/>
    </row>
    <row r="77" spans="1:17" ht="21.95" customHeight="1">
      <c r="A77" s="3"/>
      <c r="B77" s="3"/>
      <c r="C77" s="3"/>
      <c r="D77" s="3"/>
      <c r="E77" s="3"/>
      <c r="F77" s="3"/>
      <c r="G77" s="3"/>
      <c r="H77" s="3"/>
      <c r="I77" s="3"/>
      <c r="J77" s="3"/>
      <c r="K77" s="3"/>
      <c r="L77" s="3"/>
      <c r="M77" s="3"/>
      <c r="N77" s="158"/>
      <c r="O77" s="158"/>
      <c r="P77" s="158"/>
      <c r="Q77" s="4"/>
    </row>
    <row r="78" spans="1:17" ht="21.95" customHeight="1">
      <c r="A78" s="3"/>
      <c r="B78" s="3"/>
      <c r="C78" s="3"/>
      <c r="D78" s="3"/>
      <c r="E78" s="3"/>
      <c r="F78" s="3"/>
      <c r="G78" s="3"/>
      <c r="H78" s="3"/>
      <c r="I78" s="3"/>
      <c r="J78" s="3"/>
      <c r="K78" s="3"/>
      <c r="L78" s="3"/>
      <c r="M78" s="3"/>
      <c r="N78" s="3"/>
      <c r="O78" s="3"/>
      <c r="P78" s="3"/>
      <c r="Q78" s="4"/>
    </row>
    <row r="79" spans="1:17" ht="27" customHeight="1">
      <c r="A79" s="3"/>
      <c r="B79" s="150" t="s">
        <v>872</v>
      </c>
      <c r="C79" s="150"/>
      <c r="D79" s="150"/>
      <c r="E79" s="150"/>
      <c r="F79" s="150"/>
      <c r="G79" s="150"/>
      <c r="H79" s="150"/>
      <c r="I79" s="150"/>
      <c r="J79" s="150"/>
      <c r="K79" s="150"/>
      <c r="L79" s="150"/>
      <c r="M79" s="150"/>
      <c r="N79" s="150"/>
      <c r="O79" s="150"/>
      <c r="P79" s="150"/>
      <c r="Q79" s="4"/>
    </row>
    <row r="80" spans="1:17" ht="21.95" customHeight="1">
      <c r="A80" s="3"/>
      <c r="B80" s="3"/>
      <c r="C80" s="3"/>
      <c r="D80" s="3"/>
      <c r="E80" s="3"/>
      <c r="F80" s="3"/>
      <c r="G80" s="3"/>
      <c r="H80" s="3"/>
      <c r="I80" s="3"/>
      <c r="J80" s="3"/>
      <c r="K80" s="3"/>
      <c r="L80" s="3"/>
      <c r="M80" s="3"/>
      <c r="N80" s="3"/>
      <c r="O80" s="3"/>
      <c r="P80" s="3"/>
      <c r="Q80" s="4"/>
    </row>
    <row r="81" spans="1:17" ht="21.95" customHeight="1">
      <c r="A81" s="3"/>
      <c r="B81" s="159" t="str">
        <f>IF($G$4="Stock",LEFT(IF(Data!$H$2,Data!$B$36,"Refresh required"),IFERROR(SEARCH(". It ",IF(Data!$H$2,Data!$B$36,"Refresh required"))+1,IFERROR(SEARCH(". The company",IF(Data!$H$2,Data!$B$36,"Refresh required"))+1,500))),LEFT(IF(Data!$H$2,Data!$B$36,"Refresh required"),1100))</f>
        <v>The investment seeks to match the total return of the Schwab 1000 Index.</v>
      </c>
      <c r="C81" s="159"/>
      <c r="D81" s="159"/>
      <c r="E81" s="159"/>
      <c r="F81" s="159"/>
      <c r="G81" s="159"/>
      <c r="H81" s="159"/>
      <c r="I81" s="159"/>
      <c r="J81" s="159"/>
      <c r="K81" s="159"/>
      <c r="L81" s="159"/>
      <c r="M81" s="159"/>
      <c r="N81" s="159"/>
      <c r="O81" s="159"/>
      <c r="P81" s="159"/>
      <c r="Q81" s="4"/>
    </row>
    <row r="82" spans="1:17" ht="21.95" customHeight="1">
      <c r="A82" s="3"/>
      <c r="B82" s="159"/>
      <c r="C82" s="159"/>
      <c r="D82" s="159"/>
      <c r="E82" s="159"/>
      <c r="F82" s="159"/>
      <c r="G82" s="159"/>
      <c r="H82" s="159"/>
      <c r="I82" s="159"/>
      <c r="J82" s="159"/>
      <c r="K82" s="159"/>
      <c r="L82" s="159"/>
      <c r="M82" s="159"/>
      <c r="N82" s="159"/>
      <c r="O82" s="159"/>
      <c r="P82" s="159"/>
      <c r="Q82" s="4"/>
    </row>
    <row r="83" spans="1:17" ht="21.95" customHeight="1">
      <c r="A83" s="3"/>
      <c r="B83" s="159"/>
      <c r="C83" s="159"/>
      <c r="D83" s="159"/>
      <c r="E83" s="159"/>
      <c r="F83" s="159"/>
      <c r="G83" s="159"/>
      <c r="H83" s="159"/>
      <c r="I83" s="159"/>
      <c r="J83" s="159"/>
      <c r="K83" s="159"/>
      <c r="L83" s="159"/>
      <c r="M83" s="159"/>
      <c r="N83" s="159"/>
      <c r="O83" s="159"/>
      <c r="P83" s="159"/>
      <c r="Q83" s="4"/>
    </row>
    <row r="84" spans="1:17" ht="21.95" customHeight="1">
      <c r="A84" s="3"/>
      <c r="B84" s="159"/>
      <c r="C84" s="159"/>
      <c r="D84" s="159"/>
      <c r="E84" s="159"/>
      <c r="F84" s="159"/>
      <c r="G84" s="159"/>
      <c r="H84" s="159"/>
      <c r="I84" s="159"/>
      <c r="J84" s="159"/>
      <c r="K84" s="159"/>
      <c r="L84" s="159"/>
      <c r="M84" s="159"/>
      <c r="N84" s="159"/>
      <c r="O84" s="159"/>
      <c r="P84" s="159"/>
      <c r="Q84" s="4"/>
    </row>
    <row r="85" spans="1:17" ht="21.95" customHeight="1">
      <c r="A85" s="3"/>
      <c r="B85" s="159"/>
      <c r="C85" s="159"/>
      <c r="D85" s="159"/>
      <c r="E85" s="159"/>
      <c r="F85" s="159"/>
      <c r="G85" s="159"/>
      <c r="H85" s="159"/>
      <c r="I85" s="159"/>
      <c r="J85" s="159"/>
      <c r="K85" s="159"/>
      <c r="L85" s="159"/>
      <c r="M85" s="159"/>
      <c r="N85" s="159"/>
      <c r="O85" s="159"/>
      <c r="P85" s="159"/>
      <c r="Q85" s="4"/>
    </row>
    <row r="86" spans="1:17" ht="21.95" customHeight="1">
      <c r="A86" s="3"/>
      <c r="B86" s="159"/>
      <c r="C86" s="159"/>
      <c r="D86" s="159"/>
      <c r="E86" s="159"/>
      <c r="F86" s="159"/>
      <c r="G86" s="159"/>
      <c r="H86" s="159"/>
      <c r="I86" s="159"/>
      <c r="J86" s="159"/>
      <c r="K86" s="159"/>
      <c r="L86" s="159"/>
      <c r="M86" s="159"/>
      <c r="N86" s="159"/>
      <c r="O86" s="159"/>
      <c r="P86" s="159"/>
      <c r="Q86" s="4"/>
    </row>
    <row r="87" spans="1:17" ht="21.95" customHeight="1">
      <c r="A87" s="3"/>
      <c r="B87" s="3"/>
      <c r="C87" s="3"/>
      <c r="D87" s="3"/>
      <c r="E87" s="3"/>
      <c r="F87" s="3"/>
      <c r="G87" s="3"/>
      <c r="H87" s="3"/>
      <c r="I87" s="3"/>
      <c r="J87" s="3"/>
      <c r="K87" s="3"/>
      <c r="L87" s="3"/>
      <c r="M87" s="3"/>
      <c r="N87" s="3"/>
      <c r="O87" s="3"/>
      <c r="P87" s="3"/>
      <c r="Q87" s="4"/>
    </row>
    <row r="88" spans="1:17" ht="21.95" customHeight="1">
      <c r="A88" s="3"/>
      <c r="B88" s="156" t="str">
        <f>IF($G$4="Stock","CEO: "&amp;IF(Data!$H$2,Data!$B$37,"Refresh required")&amp;" · Employees: "&amp;IF(ISNUMBER(IF(Data!$H$2,Data!$B$38,"Refresh required")),TEXT(IF(Data!$H$2,Data!$B$38,"Refresh required"),"#,##0"),IF(Data!$H$2,Data!$B$38,"Refresh required")),"Strategy: "&amp;LEFT(IF(Data!$H$2,Data!$B$54,"Refresh required"),450))</f>
        <v>Strategy: The fund generally invests at least 80% of its net assets (including, for this purpose, any borrowings for investment purposes) in these stocks; typically, the actual percentage is considerably higher. It generally will seek to replicate the performance of the index by giving the same weight to a given stock as the index does. The fund may invest in derivatives, principally futures contracts, and lend its securities to minimize the gap in perform</v>
      </c>
      <c r="C88" s="156"/>
      <c r="D88" s="156"/>
      <c r="E88" s="156"/>
      <c r="F88" s="156"/>
      <c r="G88" s="156"/>
      <c r="H88" s="156"/>
      <c r="I88" s="156"/>
      <c r="J88" s="156"/>
      <c r="K88" s="156"/>
      <c r="L88" s="156"/>
      <c r="M88" s="156"/>
      <c r="N88" s="156"/>
      <c r="O88" s="156"/>
      <c r="P88" s="156"/>
      <c r="Q88" s="4"/>
    </row>
    <row r="89" spans="1:17" ht="21.95" customHeight="1">
      <c r="A89" s="3"/>
      <c r="B89" s="156"/>
      <c r="C89" s="156"/>
      <c r="D89" s="156"/>
      <c r="E89" s="156"/>
      <c r="F89" s="156"/>
      <c r="G89" s="156"/>
      <c r="H89" s="156"/>
      <c r="I89" s="156"/>
      <c r="J89" s="156"/>
      <c r="K89" s="156"/>
      <c r="L89" s="156"/>
      <c r="M89" s="156"/>
      <c r="N89" s="156"/>
      <c r="O89" s="156"/>
      <c r="P89" s="156"/>
      <c r="Q89" s="4"/>
    </row>
    <row r="90" spans="1:17" ht="21.95" customHeight="1">
      <c r="A90" s="3"/>
      <c r="B90" s="3"/>
      <c r="C90" s="3"/>
      <c r="D90" s="3"/>
      <c r="E90" s="3"/>
      <c r="F90" s="3"/>
      <c r="G90" s="3"/>
      <c r="H90" s="3"/>
      <c r="I90" s="3"/>
      <c r="J90" s="3"/>
      <c r="K90" s="3"/>
      <c r="L90" s="3"/>
      <c r="M90" s="3"/>
      <c r="N90" s="3"/>
      <c r="O90" s="3"/>
      <c r="P90" s="3"/>
      <c r="Q90" s="4"/>
    </row>
    <row r="91" spans="1:17" ht="27" customHeight="1">
      <c r="A91" s="3"/>
      <c r="B91" s="150" t="s">
        <v>873</v>
      </c>
      <c r="C91" s="150"/>
      <c r="D91" s="150"/>
      <c r="E91" s="150"/>
      <c r="F91" s="150"/>
      <c r="G91" s="150"/>
      <c r="H91" s="150"/>
      <c r="I91" s="150"/>
      <c r="J91" s="150"/>
      <c r="K91" s="150"/>
      <c r="L91" s="150"/>
      <c r="M91" s="150"/>
      <c r="N91" s="150"/>
      <c r="O91" s="150"/>
      <c r="P91" s="150"/>
      <c r="Q91" s="4"/>
    </row>
    <row r="92" spans="1:17" ht="21.95" customHeight="1">
      <c r="A92" s="3"/>
      <c r="B92" s="3"/>
      <c r="C92" s="3"/>
      <c r="D92" s="3"/>
      <c r="E92" s="3"/>
      <c r="F92" s="3"/>
      <c r="G92" s="3"/>
      <c r="H92" s="3"/>
      <c r="I92" s="3"/>
      <c r="J92" s="3"/>
      <c r="K92" s="3"/>
      <c r="L92" s="3"/>
      <c r="M92" s="3"/>
      <c r="N92" s="3"/>
      <c r="O92" s="3"/>
      <c r="P92" s="3"/>
      <c r="Q92" s="4"/>
    </row>
    <row r="93" spans="1:17" ht="21.95" customHeight="1">
      <c r="A93" s="3"/>
      <c r="B93" s="148" t="str">
        <f>IF(Data!$H$2,IF(News!A2="",IF(0=0,"No headlines returned. See Requests for coverage status.",""),News!A2),"")</f>
        <v>No headlines returned. See Requests for coverage status.</v>
      </c>
      <c r="C93" s="148"/>
      <c r="D93" s="148"/>
      <c r="E93" s="148"/>
      <c r="F93" s="148"/>
      <c r="G93" s="148"/>
      <c r="H93" s="148"/>
      <c r="I93" s="148"/>
      <c r="J93" s="148"/>
      <c r="K93" s="148"/>
      <c r="L93" s="148"/>
      <c r="M93" s="148"/>
      <c r="N93" s="148"/>
      <c r="O93" s="148"/>
      <c r="P93" s="148"/>
      <c r="Q93" s="4"/>
    </row>
    <row r="94" spans="1:17" ht="21.95" customHeight="1">
      <c r="A94" s="3"/>
      <c r="B94" s="148"/>
      <c r="C94" s="148"/>
      <c r="D94" s="148"/>
      <c r="E94" s="148"/>
      <c r="F94" s="148"/>
      <c r="G94" s="148"/>
      <c r="H94" s="148"/>
      <c r="I94" s="148"/>
      <c r="J94" s="148"/>
      <c r="K94" s="148"/>
      <c r="L94" s="148"/>
      <c r="M94" s="148"/>
      <c r="N94" s="148"/>
      <c r="O94" s="148"/>
      <c r="P94" s="148"/>
      <c r="Q94" s="4"/>
    </row>
    <row r="95" spans="1:17" ht="21.95" customHeight="1">
      <c r="A95" s="3"/>
      <c r="B95" s="148" t="str">
        <f>IF(Data!$H$2,IF(News!A3="",IF(1=0,"No headlines returned. See Requests for coverage status.",""),News!A3),"")</f>
        <v/>
      </c>
      <c r="C95" s="148"/>
      <c r="D95" s="148"/>
      <c r="E95" s="148"/>
      <c r="F95" s="148"/>
      <c r="G95" s="148"/>
      <c r="H95" s="148"/>
      <c r="I95" s="148"/>
      <c r="J95" s="148"/>
      <c r="K95" s="148"/>
      <c r="L95" s="148"/>
      <c r="M95" s="148"/>
      <c r="N95" s="148"/>
      <c r="O95" s="148"/>
      <c r="P95" s="148"/>
      <c r="Q95" s="4"/>
    </row>
    <row r="96" spans="1:17" ht="21.95" customHeight="1">
      <c r="A96" s="3"/>
      <c r="B96" s="148"/>
      <c r="C96" s="148"/>
      <c r="D96" s="148"/>
      <c r="E96" s="148"/>
      <c r="F96" s="148"/>
      <c r="G96" s="148"/>
      <c r="H96" s="148"/>
      <c r="I96" s="148"/>
      <c r="J96" s="148"/>
      <c r="K96" s="148"/>
      <c r="L96" s="148"/>
      <c r="M96" s="148"/>
      <c r="N96" s="148"/>
      <c r="O96" s="148"/>
      <c r="P96" s="148"/>
      <c r="Q96" s="4"/>
    </row>
    <row r="97" spans="1:17" ht="21.95" customHeight="1">
      <c r="A97" s="3"/>
      <c r="B97" s="148" t="str">
        <f>IF(Data!$H$2,IF(News!A4="",IF(2=0,"No headlines returned. See Requests for coverage status.",""),News!A4),"")</f>
        <v/>
      </c>
      <c r="C97" s="148"/>
      <c r="D97" s="148"/>
      <c r="E97" s="148"/>
      <c r="F97" s="148"/>
      <c r="G97" s="148"/>
      <c r="H97" s="148"/>
      <c r="I97" s="148"/>
      <c r="J97" s="148"/>
      <c r="K97" s="148"/>
      <c r="L97" s="148"/>
      <c r="M97" s="148"/>
      <c r="N97" s="148"/>
      <c r="O97" s="148"/>
      <c r="P97" s="148"/>
      <c r="Q97" s="4"/>
    </row>
    <row r="98" spans="1:17" ht="21.95" customHeight="1">
      <c r="A98" s="3"/>
      <c r="B98" s="148"/>
      <c r="C98" s="148"/>
      <c r="D98" s="148"/>
      <c r="E98" s="148"/>
      <c r="F98" s="148"/>
      <c r="G98" s="148"/>
      <c r="H98" s="148"/>
      <c r="I98" s="148"/>
      <c r="J98" s="148"/>
      <c r="K98" s="148"/>
      <c r="L98" s="148"/>
      <c r="M98" s="148"/>
      <c r="N98" s="148"/>
      <c r="O98" s="148"/>
      <c r="P98" s="148"/>
      <c r="Q98" s="4"/>
    </row>
    <row r="99" spans="1:17" ht="21.95" customHeight="1">
      <c r="A99" s="3"/>
      <c r="B99" s="148" t="str">
        <f>IF(Data!$H$2,IF(News!A5="",IF(3=0,"No headlines returned. See Requests for coverage status.",""),News!A5),"")</f>
        <v/>
      </c>
      <c r="C99" s="148"/>
      <c r="D99" s="148"/>
      <c r="E99" s="148"/>
      <c r="F99" s="148"/>
      <c r="G99" s="148"/>
      <c r="H99" s="148"/>
      <c r="I99" s="148"/>
      <c r="J99" s="148"/>
      <c r="K99" s="148"/>
      <c r="L99" s="148"/>
      <c r="M99" s="148"/>
      <c r="N99" s="148"/>
      <c r="O99" s="148"/>
      <c r="P99" s="148"/>
      <c r="Q99" s="4"/>
    </row>
    <row r="100" spans="1:17" ht="21.95" customHeight="1">
      <c r="A100" s="3"/>
      <c r="B100" s="148"/>
      <c r="C100" s="148"/>
      <c r="D100" s="148"/>
      <c r="E100" s="148"/>
      <c r="F100" s="148"/>
      <c r="G100" s="148"/>
      <c r="H100" s="148"/>
      <c r="I100" s="148"/>
      <c r="J100" s="148"/>
      <c r="K100" s="148"/>
      <c r="L100" s="148"/>
      <c r="M100" s="148"/>
      <c r="N100" s="148"/>
      <c r="O100" s="148"/>
      <c r="P100" s="148"/>
      <c r="Q100" s="4"/>
    </row>
    <row r="101" spans="1:17" ht="21.95" customHeight="1">
      <c r="A101" s="3"/>
      <c r="B101" s="148" t="str">
        <f>IF(Data!$H$2,IF(News!A6="",IF(4=0,"No headlines returned. See Requests for coverage status.",""),News!A6),"")</f>
        <v/>
      </c>
      <c r="C101" s="148"/>
      <c r="D101" s="148"/>
      <c r="E101" s="148"/>
      <c r="F101" s="148"/>
      <c r="G101" s="148"/>
      <c r="H101" s="148"/>
      <c r="I101" s="148"/>
      <c r="J101" s="148"/>
      <c r="K101" s="148"/>
      <c r="L101" s="148"/>
      <c r="M101" s="148"/>
      <c r="N101" s="148"/>
      <c r="O101" s="148"/>
      <c r="P101" s="148"/>
      <c r="Q101" s="4"/>
    </row>
    <row r="102" spans="1:17" ht="21.95" customHeight="1">
      <c r="A102" s="3"/>
      <c r="B102" s="148"/>
      <c r="C102" s="148"/>
      <c r="D102" s="148"/>
      <c r="E102" s="148"/>
      <c r="F102" s="148"/>
      <c r="G102" s="148"/>
      <c r="H102" s="148"/>
      <c r="I102" s="148"/>
      <c r="J102" s="148"/>
      <c r="K102" s="148"/>
      <c r="L102" s="148"/>
      <c r="M102" s="148"/>
      <c r="N102" s="148"/>
      <c r="O102" s="148"/>
      <c r="P102" s="148"/>
      <c r="Q102" s="4"/>
    </row>
    <row r="103" spans="1:17" ht="21.95" customHeight="1">
      <c r="A103" s="3"/>
      <c r="B103" s="3"/>
      <c r="C103" s="3"/>
      <c r="D103" s="3"/>
      <c r="E103" s="3"/>
      <c r="F103" s="3"/>
      <c r="G103" s="3"/>
      <c r="H103" s="3"/>
      <c r="I103" s="3"/>
      <c r="J103" s="3"/>
      <c r="K103" s="3"/>
      <c r="L103" s="3"/>
      <c r="M103" s="3"/>
      <c r="N103" s="3"/>
      <c r="O103" s="3"/>
      <c r="P103" s="3"/>
      <c r="Q103" s="4"/>
    </row>
    <row r="104" spans="1:17" ht="27" customHeight="1">
      <c r="A104" s="3"/>
      <c r="B104" s="150" t="s">
        <v>874</v>
      </c>
      <c r="C104" s="150"/>
      <c r="D104" s="150"/>
      <c r="E104" s="150"/>
      <c r="F104" s="150"/>
      <c r="G104" s="150"/>
      <c r="H104" s="150"/>
      <c r="I104" s="150"/>
      <c r="J104" s="150"/>
      <c r="K104" s="150"/>
      <c r="L104" s="150"/>
      <c r="M104" s="150"/>
      <c r="N104" s="150"/>
      <c r="O104" s="150"/>
      <c r="P104" s="150"/>
      <c r="Q104" s="4"/>
    </row>
    <row r="105" spans="1:17" ht="21.95" customHeight="1">
      <c r="A105" s="3"/>
      <c r="B105" s="3"/>
      <c r="C105" s="3"/>
      <c r="D105" s="3"/>
      <c r="E105" s="3"/>
      <c r="F105" s="3"/>
      <c r="G105" s="3"/>
      <c r="H105" s="3"/>
      <c r="I105" s="3"/>
      <c r="J105" s="3"/>
      <c r="K105" s="3"/>
      <c r="L105" s="3"/>
      <c r="M105" s="3"/>
      <c r="N105" s="3"/>
      <c r="O105" s="3"/>
      <c r="P105" s="3"/>
      <c r="Q105" s="4"/>
    </row>
    <row r="106" spans="1:17" ht="21.95" customHeight="1">
      <c r="A106" s="3"/>
      <c r="B106" s="160" t="str">
        <f>IF(Data!$H$2,Data!$B$95,"Refresh required")</f>
        <v xml:space="preserve">Holdings as of 46265. Beta and Sharpe are ratios despite vendor Percent labels. </v>
      </c>
      <c r="C106" s="160"/>
      <c r="D106" s="160"/>
      <c r="E106" s="160"/>
      <c r="F106" s="160"/>
      <c r="G106" s="160"/>
      <c r="H106" s="160"/>
      <c r="I106" s="160"/>
      <c r="J106" s="160"/>
      <c r="K106" s="160"/>
      <c r="L106" s="160"/>
      <c r="M106" s="160"/>
      <c r="N106" s="160"/>
      <c r="O106" s="160"/>
      <c r="P106" s="160"/>
      <c r="Q106" s="4"/>
    </row>
    <row r="107" spans="1:17" ht="21.95" customHeight="1">
      <c r="A107" s="3"/>
      <c r="B107" s="160"/>
      <c r="C107" s="160"/>
      <c r="D107" s="160"/>
      <c r="E107" s="160"/>
      <c r="F107" s="160"/>
      <c r="G107" s="160"/>
      <c r="H107" s="160"/>
      <c r="I107" s="160"/>
      <c r="J107" s="160"/>
      <c r="K107" s="160"/>
      <c r="L107" s="160"/>
      <c r="M107" s="160"/>
      <c r="N107" s="160"/>
      <c r="O107" s="160"/>
      <c r="P107" s="160"/>
      <c r="Q107" s="4"/>
    </row>
    <row r="108" spans="1:17" ht="21.95" customHeight="1">
      <c r="A108" s="3"/>
      <c r="B108" s="160"/>
      <c r="C108" s="160"/>
      <c r="D108" s="160"/>
      <c r="E108" s="160"/>
      <c r="F108" s="160"/>
      <c r="G108" s="160"/>
      <c r="H108" s="160"/>
      <c r="I108" s="160"/>
      <c r="J108" s="160"/>
      <c r="K108" s="160"/>
      <c r="L108" s="160"/>
      <c r="M108" s="160"/>
      <c r="N108" s="160"/>
      <c r="O108" s="160"/>
      <c r="P108" s="160"/>
      <c r="Q108" s="4"/>
    </row>
    <row r="109" spans="1:17" ht="21.95" customHeight="1">
      <c r="A109" s="3"/>
      <c r="B109" s="160"/>
      <c r="C109" s="160"/>
      <c r="D109" s="160"/>
      <c r="E109" s="160"/>
      <c r="F109" s="160"/>
      <c r="G109" s="160"/>
      <c r="H109" s="160"/>
      <c r="I109" s="160"/>
      <c r="J109" s="160"/>
      <c r="K109" s="160"/>
      <c r="L109" s="160"/>
      <c r="M109" s="160"/>
      <c r="N109" s="160"/>
      <c r="O109" s="160"/>
      <c r="P109" s="160"/>
      <c r="Q109" s="4"/>
    </row>
    <row r="110" spans="1:17" ht="21.95" customHeight="1">
      <c r="A110" s="3"/>
      <c r="B110" s="3"/>
      <c r="C110" s="3"/>
      <c r="D110" s="3"/>
      <c r="E110" s="3"/>
      <c r="F110" s="3"/>
      <c r="G110" s="3"/>
      <c r="H110" s="3"/>
      <c r="I110" s="3"/>
      <c r="J110" s="3"/>
      <c r="K110" s="3"/>
      <c r="L110" s="3"/>
      <c r="M110" s="3"/>
      <c r="N110" s="3"/>
      <c r="O110" s="3"/>
      <c r="P110" s="3"/>
      <c r="Q110" s="4"/>
    </row>
    <row r="111" spans="1:17" ht="21.95" customHeight="1">
      <c r="A111" s="3"/>
      <c r="B111" s="154" t="str">
        <f>"Retrieved: "&amp;IF(ISNUMBER(IF(Data!$H$2,Data!$B$90,"Refresh required")),TEXT(IF(Data!$H$2,Data!$B$90,"Refresh required"),"yyyy-mm-dd hh:mm:ss"),IF(Data!$H$2,Data!$B$90,"Refresh required"))&amp;" "&amp;Data!$C$90&amp;". Source observations may be older than retrieval."</f>
        <v>Retrieved: 2026-10-12 18:27:59 computer local time. Source observations may be older than retrieval.</v>
      </c>
      <c r="C111" s="154"/>
      <c r="D111" s="154"/>
      <c r="E111" s="154"/>
      <c r="F111" s="154"/>
      <c r="G111" s="154"/>
      <c r="H111" s="154"/>
      <c r="I111" s="154"/>
      <c r="J111" s="154"/>
      <c r="K111" s="154"/>
      <c r="L111" s="154"/>
      <c r="M111" s="154"/>
      <c r="N111" s="154"/>
      <c r="O111" s="154"/>
      <c r="P111" s="154"/>
      <c r="Q111" s="4"/>
    </row>
    <row r="112" spans="1:17">
      <c r="A112" s="2"/>
      <c r="B112" s="161"/>
      <c r="C112" s="161"/>
      <c r="D112" s="161"/>
      <c r="E112" s="161"/>
      <c r="F112" s="161"/>
      <c r="G112" s="161"/>
      <c r="H112" s="161"/>
      <c r="I112" s="161"/>
      <c r="J112" s="161"/>
      <c r="K112" s="161"/>
      <c r="L112" s="161"/>
      <c r="M112" s="161"/>
      <c r="N112" s="161"/>
      <c r="O112" s="161"/>
      <c r="P112" s="161"/>
    </row>
    <row r="113" spans="1:16">
      <c r="A113" s="2"/>
      <c r="B113" s="2"/>
      <c r="C113" s="2"/>
      <c r="D113" s="2"/>
      <c r="E113" s="2"/>
      <c r="F113" s="2"/>
      <c r="G113" s="2"/>
      <c r="H113" s="2"/>
      <c r="I113" s="2"/>
      <c r="J113" s="2"/>
      <c r="K113" s="2"/>
      <c r="L113" s="2"/>
      <c r="M113" s="2"/>
      <c r="N113" s="2"/>
      <c r="O113" s="2"/>
      <c r="P113" s="2"/>
    </row>
    <row r="114" spans="1:16">
      <c r="A114" s="2"/>
      <c r="B114" s="2"/>
      <c r="C114" s="2"/>
      <c r="D114" s="2"/>
      <c r="E114" s="2"/>
      <c r="F114" s="2"/>
      <c r="G114" s="2"/>
      <c r="H114" s="2"/>
      <c r="I114" s="2"/>
      <c r="J114" s="2"/>
      <c r="K114" s="2"/>
      <c r="L114" s="2"/>
      <c r="M114" s="2"/>
      <c r="N114" s="2"/>
      <c r="O114" s="2"/>
      <c r="P114" s="2"/>
    </row>
    <row r="115" spans="1:16">
      <c r="A115" s="2"/>
      <c r="B115" s="2"/>
      <c r="C115" s="2"/>
      <c r="D115" s="2"/>
      <c r="E115" s="2"/>
      <c r="F115" s="2"/>
      <c r="G115" s="2"/>
      <c r="H115" s="2"/>
      <c r="I115" s="2"/>
      <c r="J115" s="2"/>
      <c r="K115" s="2"/>
      <c r="L115" s="2"/>
      <c r="M115" s="2"/>
      <c r="N115" s="2"/>
      <c r="O115" s="2"/>
      <c r="P115" s="2"/>
    </row>
    <row r="116" spans="1:16">
      <c r="A116" s="2"/>
      <c r="B116" s="2"/>
      <c r="C116" s="2"/>
      <c r="D116" s="2"/>
      <c r="E116" s="2"/>
      <c r="F116" s="2"/>
      <c r="G116" s="2"/>
      <c r="H116" s="2"/>
      <c r="I116" s="2"/>
      <c r="J116" s="2"/>
      <c r="K116" s="2"/>
      <c r="L116" s="2"/>
      <c r="M116" s="2"/>
      <c r="N116" s="2"/>
      <c r="O116" s="2"/>
      <c r="P116" s="2"/>
    </row>
    <row r="117" spans="1:16">
      <c r="A117" s="2"/>
      <c r="B117" s="2"/>
      <c r="C117" s="2"/>
      <c r="D117" s="2"/>
      <c r="E117" s="2"/>
      <c r="F117" s="2"/>
      <c r="G117" s="2"/>
      <c r="H117" s="2"/>
      <c r="I117" s="2"/>
      <c r="J117" s="2"/>
      <c r="K117" s="2"/>
      <c r="L117" s="2"/>
      <c r="M117" s="2"/>
      <c r="N117" s="2"/>
      <c r="O117" s="2"/>
      <c r="P117" s="2"/>
    </row>
    <row r="118" spans="1:16">
      <c r="A118" s="2"/>
      <c r="B118" s="2"/>
      <c r="C118" s="2"/>
      <c r="D118" s="2"/>
      <c r="E118" s="2"/>
      <c r="F118" s="2"/>
      <c r="G118" s="2"/>
      <c r="H118" s="2"/>
      <c r="I118" s="2"/>
      <c r="J118" s="2"/>
      <c r="K118" s="2"/>
      <c r="L118" s="2"/>
      <c r="M118" s="2"/>
      <c r="N118" s="2"/>
      <c r="O118" s="2"/>
      <c r="P118" s="2"/>
    </row>
    <row r="119" spans="1:16">
      <c r="A119" s="2"/>
      <c r="B119" s="2"/>
      <c r="C119" s="2"/>
      <c r="D119" s="2"/>
      <c r="E119" s="2"/>
      <c r="F119" s="2"/>
      <c r="G119" s="2"/>
      <c r="H119" s="2"/>
      <c r="I119" s="2"/>
      <c r="J119" s="2"/>
      <c r="K119" s="2"/>
      <c r="L119" s="2"/>
      <c r="M119" s="2"/>
      <c r="N119" s="2"/>
      <c r="O119" s="2"/>
      <c r="P119" s="2"/>
    </row>
    <row r="120" spans="1:16">
      <c r="A120" s="2"/>
      <c r="B120" s="2"/>
      <c r="C120" s="2"/>
      <c r="D120" s="2"/>
      <c r="E120" s="2"/>
      <c r="F120" s="2"/>
      <c r="G120" s="2"/>
      <c r="H120" s="2"/>
      <c r="I120" s="2"/>
      <c r="J120" s="2"/>
      <c r="K120" s="2"/>
      <c r="L120" s="2"/>
      <c r="M120" s="2"/>
      <c r="N120" s="2"/>
      <c r="O120" s="2"/>
      <c r="P120" s="2"/>
    </row>
  </sheetData>
  <mergeCells count="166">
    <mergeCell ref="B106:P109"/>
    <mergeCell ref="B111:P112"/>
    <mergeCell ref="B95:P96"/>
    <mergeCell ref="B97:P98"/>
    <mergeCell ref="B99:P100"/>
    <mergeCell ref="B101:P102"/>
    <mergeCell ref="B104:P104"/>
    <mergeCell ref="B79:P79"/>
    <mergeCell ref="B81:P86"/>
    <mergeCell ref="B88:P89"/>
    <mergeCell ref="B91:P91"/>
    <mergeCell ref="B93:P94"/>
    <mergeCell ref="B72:H73"/>
    <mergeCell ref="J71:P71"/>
    <mergeCell ref="J73:M73"/>
    <mergeCell ref="N73:P74"/>
    <mergeCell ref="J76:M76"/>
    <mergeCell ref="N76:P77"/>
    <mergeCell ref="B69:C69"/>
    <mergeCell ref="D69:E69"/>
    <mergeCell ref="F69:H69"/>
    <mergeCell ref="B70:C70"/>
    <mergeCell ref="D70:E70"/>
    <mergeCell ref="F70:H70"/>
    <mergeCell ref="J65:L65"/>
    <mergeCell ref="M65:P65"/>
    <mergeCell ref="J67:P68"/>
    <mergeCell ref="B64:H64"/>
    <mergeCell ref="B66:C66"/>
    <mergeCell ref="D66:E66"/>
    <mergeCell ref="F66:H66"/>
    <mergeCell ref="B67:C67"/>
    <mergeCell ref="D67:E67"/>
    <mergeCell ref="F67:H67"/>
    <mergeCell ref="B68:C68"/>
    <mergeCell ref="D68:E68"/>
    <mergeCell ref="F68:H68"/>
    <mergeCell ref="J62:L62"/>
    <mergeCell ref="M62:P62"/>
    <mergeCell ref="J63:L63"/>
    <mergeCell ref="M63:P63"/>
    <mergeCell ref="J64:L64"/>
    <mergeCell ref="M64:P64"/>
    <mergeCell ref="B58:C58"/>
    <mergeCell ref="D58:F58"/>
    <mergeCell ref="G58:H58"/>
    <mergeCell ref="B60:H61"/>
    <mergeCell ref="J54:P54"/>
    <mergeCell ref="J55:P56"/>
    <mergeCell ref="J58:L58"/>
    <mergeCell ref="M58:P58"/>
    <mergeCell ref="J59:L59"/>
    <mergeCell ref="M59:P59"/>
    <mergeCell ref="J60:L60"/>
    <mergeCell ref="M60:P60"/>
    <mergeCell ref="J61:L61"/>
    <mergeCell ref="M61:P61"/>
    <mergeCell ref="B56:C56"/>
    <mergeCell ref="D56:F56"/>
    <mergeCell ref="G56:H56"/>
    <mergeCell ref="B57:C57"/>
    <mergeCell ref="D57:F57"/>
    <mergeCell ref="G57:H57"/>
    <mergeCell ref="B54:C54"/>
    <mergeCell ref="D54:F54"/>
    <mergeCell ref="G54:H54"/>
    <mergeCell ref="B55:C55"/>
    <mergeCell ref="D55:F55"/>
    <mergeCell ref="G55:H55"/>
    <mergeCell ref="B52:C52"/>
    <mergeCell ref="D52:F52"/>
    <mergeCell ref="G52:H52"/>
    <mergeCell ref="B53:C53"/>
    <mergeCell ref="D53:F53"/>
    <mergeCell ref="G53:H53"/>
    <mergeCell ref="J51:M51"/>
    <mergeCell ref="N51:P51"/>
    <mergeCell ref="B45:H45"/>
    <mergeCell ref="B46:H46"/>
    <mergeCell ref="B48:C48"/>
    <mergeCell ref="D48:F48"/>
    <mergeCell ref="G48:H48"/>
    <mergeCell ref="B49:C49"/>
    <mergeCell ref="D49:F49"/>
    <mergeCell ref="G49:H49"/>
    <mergeCell ref="B50:C50"/>
    <mergeCell ref="D50:F50"/>
    <mergeCell ref="G50:H50"/>
    <mergeCell ref="B51:C51"/>
    <mergeCell ref="D51:F51"/>
    <mergeCell ref="G51:H51"/>
    <mergeCell ref="J48:M48"/>
    <mergeCell ref="N48:P48"/>
    <mergeCell ref="J49:M49"/>
    <mergeCell ref="N49:P49"/>
    <mergeCell ref="J50:M50"/>
    <mergeCell ref="N50:P50"/>
    <mergeCell ref="J41:P42"/>
    <mergeCell ref="J44:P44"/>
    <mergeCell ref="J46:M46"/>
    <mergeCell ref="N46:P46"/>
    <mergeCell ref="J47:M47"/>
    <mergeCell ref="N47:P47"/>
    <mergeCell ref="O37:P37"/>
    <mergeCell ref="J38:L38"/>
    <mergeCell ref="M38:N38"/>
    <mergeCell ref="O38:P38"/>
    <mergeCell ref="J39:L39"/>
    <mergeCell ref="M39:N39"/>
    <mergeCell ref="O39:P39"/>
    <mergeCell ref="B43:E43"/>
    <mergeCell ref="F43:H43"/>
    <mergeCell ref="J33:L33"/>
    <mergeCell ref="M33:N33"/>
    <mergeCell ref="O33:P33"/>
    <mergeCell ref="J34:L34"/>
    <mergeCell ref="M34:N34"/>
    <mergeCell ref="O34:P34"/>
    <mergeCell ref="J35:L35"/>
    <mergeCell ref="M35:N35"/>
    <mergeCell ref="O35:P35"/>
    <mergeCell ref="J36:L36"/>
    <mergeCell ref="M36:N36"/>
    <mergeCell ref="O36:P36"/>
    <mergeCell ref="J37:L37"/>
    <mergeCell ref="M37:N37"/>
    <mergeCell ref="B40:E40"/>
    <mergeCell ref="F40:H40"/>
    <mergeCell ref="B41:E41"/>
    <mergeCell ref="F41:H41"/>
    <mergeCell ref="B42:E42"/>
    <mergeCell ref="F42:H42"/>
    <mergeCell ref="B37:E37"/>
    <mergeCell ref="F37:H37"/>
    <mergeCell ref="B38:E38"/>
    <mergeCell ref="F38:H38"/>
    <mergeCell ref="B39:E39"/>
    <mergeCell ref="F39:H39"/>
    <mergeCell ref="B34:E34"/>
    <mergeCell ref="F34:H34"/>
    <mergeCell ref="B35:E35"/>
    <mergeCell ref="F35:H35"/>
    <mergeCell ref="B36:E36"/>
    <mergeCell ref="F36:H36"/>
    <mergeCell ref="B26:H27"/>
    <mergeCell ref="B28:H29"/>
    <mergeCell ref="B31:H31"/>
    <mergeCell ref="J31:P31"/>
    <mergeCell ref="B33:E33"/>
    <mergeCell ref="F33:H33"/>
    <mergeCell ref="B16:H16"/>
    <mergeCell ref="B18:H18"/>
    <mergeCell ref="B19:H20"/>
    <mergeCell ref="B22:H22"/>
    <mergeCell ref="B23:H24"/>
    <mergeCell ref="B6:P6"/>
    <mergeCell ref="B8:P9"/>
    <mergeCell ref="B10:P10"/>
    <mergeCell ref="B12:H12"/>
    <mergeCell ref="B13:H15"/>
    <mergeCell ref="B2:P2"/>
    <mergeCell ref="B3:E3"/>
    <mergeCell ref="G3:J3"/>
    <mergeCell ref="B4:E5"/>
    <mergeCell ref="G4:J5"/>
    <mergeCell ref="L4:P5"/>
  </mergeCells>
  <conditionalFormatting sqref="B16:H16">
    <cfRule type="expression" dxfId="1" priority="1">
      <formula>LEFT($B$16,1)="-"</formula>
    </cfRule>
    <cfRule type="expression" dxfId="0" priority="2">
      <formula>LEFT($B$16,1)="+"</formula>
    </cfRule>
  </conditionalFormatting>
  <dataValidations count="1">
    <dataValidation type="list" sqref="G4" xr:uid="{00000000-0002-0000-0700-000000000000}">
      <formula1>"Stock,ETF,Mutual Fund"</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P600"/>
  <sheetViews>
    <sheetView showGridLines="0" workbookViewId="0">
      <pane ySplit="1" topLeftCell="A2" activePane="bottomLeft" state="frozen"/>
      <selection pane="bottomLeft"/>
    </sheetView>
  </sheetViews>
  <sheetFormatPr defaultRowHeight="14.25"/>
  <cols>
    <col min="1" max="1" width="20" customWidth="1"/>
    <col min="2" max="2" width="52" customWidth="1"/>
    <col min="3" max="4" width="20" customWidth="1"/>
    <col min="5" max="5" width="56" customWidth="1"/>
    <col min="6" max="7" width="20" customWidth="1"/>
  </cols>
  <sheetData>
    <row r="1" spans="1:16" ht="21" customHeight="1">
      <c r="A1" s="6" t="s">
        <v>129</v>
      </c>
      <c r="B1" s="6" t="s">
        <v>525</v>
      </c>
      <c r="C1" s="6" t="s">
        <v>526</v>
      </c>
      <c r="D1" s="6" t="s">
        <v>527</v>
      </c>
      <c r="E1" s="6" t="s">
        <v>128</v>
      </c>
      <c r="F1" s="6" t="s">
        <v>320</v>
      </c>
      <c r="G1" s="6" t="s">
        <v>528</v>
      </c>
      <c r="H1" s="2" t="s">
        <v>875</v>
      </c>
      <c r="I1" s="2"/>
      <c r="J1" s="2"/>
      <c r="K1" s="2"/>
      <c r="L1" s="2"/>
      <c r="M1" s="2"/>
      <c r="N1" s="2"/>
      <c r="O1" s="2"/>
      <c r="P1" s="2"/>
    </row>
    <row r="2" spans="1:16" ht="21" customHeight="1">
      <c r="A2" s="2" t="s">
        <v>140</v>
      </c>
      <c r="B2" s="2" t="s">
        <v>1023</v>
      </c>
      <c r="C2" s="2"/>
      <c r="D2" s="164">
        <v>46304</v>
      </c>
      <c r="E2" s="2" t="s">
        <v>242</v>
      </c>
      <c r="F2" s="2" t="s">
        <v>557</v>
      </c>
      <c r="G2" s="2" t="s">
        <v>1024</v>
      </c>
      <c r="H2" s="2" t="b">
        <f>AND(UPPER('Research Dashboard'!B4)=Data!$B$88,'Research Dashboard'!G4=Data!$B$89)</f>
        <v>1</v>
      </c>
      <c r="I2" s="2"/>
      <c r="J2" s="2"/>
      <c r="K2" s="2"/>
      <c r="L2" s="2"/>
      <c r="M2" s="2"/>
      <c r="N2" s="2"/>
      <c r="O2" s="2"/>
      <c r="P2" s="2"/>
    </row>
    <row r="3" spans="1:16" ht="21" customHeight="1">
      <c r="A3" s="2" t="s">
        <v>149</v>
      </c>
      <c r="B3" s="2" t="s">
        <v>338</v>
      </c>
      <c r="C3" s="2"/>
      <c r="D3" s="164">
        <v>46304</v>
      </c>
      <c r="E3" s="2" t="s">
        <v>242</v>
      </c>
      <c r="F3" s="2" t="s">
        <v>557</v>
      </c>
      <c r="G3" s="2" t="s">
        <v>568</v>
      </c>
      <c r="H3" s="2"/>
      <c r="I3" s="2"/>
      <c r="J3" s="2"/>
      <c r="K3" s="2"/>
      <c r="L3" s="2"/>
      <c r="M3" s="2"/>
      <c r="N3" s="2"/>
      <c r="O3" s="2"/>
      <c r="P3" s="2"/>
    </row>
    <row r="4" spans="1:16" ht="21" customHeight="1">
      <c r="A4" s="2" t="s">
        <v>155</v>
      </c>
      <c r="B4" s="2" t="s">
        <v>854</v>
      </c>
      <c r="C4" s="2"/>
      <c r="D4" s="164">
        <v>46304</v>
      </c>
      <c r="E4" s="2" t="s">
        <v>242</v>
      </c>
      <c r="F4" s="2" t="s">
        <v>557</v>
      </c>
      <c r="G4" s="2" t="s">
        <v>855</v>
      </c>
      <c r="H4" s="2"/>
      <c r="I4" s="2"/>
      <c r="J4" s="2"/>
      <c r="K4" s="2"/>
      <c r="L4" s="2"/>
      <c r="M4" s="2"/>
      <c r="N4" s="2"/>
      <c r="O4" s="2"/>
      <c r="P4" s="2"/>
    </row>
    <row r="5" spans="1:16" ht="21" customHeight="1">
      <c r="A5" s="2" t="s">
        <v>161</v>
      </c>
      <c r="B5" s="2">
        <v>16.739999999999998</v>
      </c>
      <c r="C5" s="2"/>
      <c r="D5" s="164">
        <v>46304</v>
      </c>
      <c r="E5" s="2" t="s">
        <v>242</v>
      </c>
      <c r="F5" s="2" t="s">
        <v>557</v>
      </c>
      <c r="G5" s="2" t="s">
        <v>1025</v>
      </c>
      <c r="H5" s="2"/>
      <c r="I5" s="2"/>
      <c r="J5" s="2"/>
      <c r="K5" s="2"/>
      <c r="L5" s="2"/>
      <c r="M5" s="2"/>
      <c r="N5" s="2"/>
      <c r="O5" s="2"/>
      <c r="P5" s="2"/>
    </row>
    <row r="6" spans="1:16" ht="21" customHeight="1">
      <c r="A6" s="2" t="s">
        <v>168</v>
      </c>
      <c r="B6" s="2" t="s">
        <v>599</v>
      </c>
      <c r="C6" s="2"/>
      <c r="D6" s="164"/>
      <c r="E6" s="2"/>
      <c r="F6" s="2" t="s">
        <v>600</v>
      </c>
      <c r="G6" s="2"/>
      <c r="H6" s="2"/>
      <c r="I6" s="2"/>
      <c r="J6" s="2"/>
      <c r="K6" s="2"/>
      <c r="L6" s="2"/>
      <c r="M6" s="2"/>
      <c r="N6" s="2"/>
      <c r="O6" s="2"/>
      <c r="P6" s="2"/>
    </row>
    <row r="7" spans="1:16" ht="21" customHeight="1">
      <c r="A7" s="2" t="s">
        <v>174</v>
      </c>
      <c r="B7" s="2">
        <v>0.1</v>
      </c>
      <c r="C7" s="2"/>
      <c r="D7" s="164">
        <v>46304</v>
      </c>
      <c r="E7" s="2" t="s">
        <v>242</v>
      </c>
      <c r="F7" s="2" t="s">
        <v>557</v>
      </c>
      <c r="G7" s="2" t="s">
        <v>1027</v>
      </c>
      <c r="H7" s="2"/>
      <c r="I7" s="2"/>
      <c r="J7" s="2"/>
      <c r="K7" s="2"/>
      <c r="L7" s="2"/>
      <c r="M7" s="2"/>
      <c r="N7" s="2"/>
      <c r="O7" s="2"/>
      <c r="P7" s="2"/>
    </row>
    <row r="8" spans="1:16" ht="21" customHeight="1">
      <c r="A8" s="2" t="s">
        <v>180</v>
      </c>
      <c r="B8" s="2">
        <v>6.0099999999999997E-3</v>
      </c>
      <c r="C8" s="2"/>
      <c r="D8" s="164">
        <v>46304</v>
      </c>
      <c r="E8" s="2" t="s">
        <v>242</v>
      </c>
      <c r="F8" s="2" t="s">
        <v>557</v>
      </c>
      <c r="G8" s="2" t="s">
        <v>1028</v>
      </c>
      <c r="H8" s="2"/>
      <c r="I8" s="2"/>
      <c r="J8" s="2"/>
      <c r="K8" s="2"/>
      <c r="L8" s="2"/>
      <c r="M8" s="2"/>
      <c r="N8" s="2"/>
      <c r="O8" s="2"/>
      <c r="P8" s="2"/>
    </row>
    <row r="9" spans="1:16" ht="21" customHeight="1">
      <c r="A9" s="2" t="s">
        <v>187</v>
      </c>
      <c r="B9" s="164">
        <v>46304</v>
      </c>
      <c r="C9" s="2"/>
      <c r="D9" s="164">
        <v>46304</v>
      </c>
      <c r="E9" s="2" t="s">
        <v>242</v>
      </c>
      <c r="F9" s="2" t="s">
        <v>557</v>
      </c>
      <c r="G9" s="2" t="s">
        <v>580</v>
      </c>
      <c r="H9" s="2"/>
      <c r="I9" s="2"/>
      <c r="J9" s="2"/>
      <c r="K9" s="2"/>
      <c r="L9" s="2"/>
      <c r="M9" s="2"/>
      <c r="N9" s="2"/>
      <c r="O9" s="2"/>
      <c r="P9" s="2"/>
    </row>
    <row r="10" spans="1:16" ht="21" customHeight="1">
      <c r="A10" s="2" t="s">
        <v>191</v>
      </c>
      <c r="B10" s="166" t="s">
        <v>599</v>
      </c>
      <c r="C10" s="2"/>
      <c r="D10" s="164"/>
      <c r="E10" s="2"/>
      <c r="F10" s="2" t="s">
        <v>600</v>
      </c>
      <c r="G10" s="2"/>
      <c r="H10" s="2"/>
      <c r="I10" s="2"/>
      <c r="J10" s="2"/>
      <c r="K10" s="2"/>
      <c r="L10" s="2"/>
      <c r="M10" s="2"/>
      <c r="N10" s="2"/>
      <c r="O10" s="2"/>
      <c r="P10" s="2"/>
    </row>
    <row r="11" spans="1:16" ht="21" customHeight="1">
      <c r="A11" s="2" t="s">
        <v>197</v>
      </c>
      <c r="B11" s="2" t="s">
        <v>599</v>
      </c>
      <c r="C11" s="2"/>
      <c r="D11" s="164"/>
      <c r="E11" s="2"/>
      <c r="F11" s="2" t="s">
        <v>600</v>
      </c>
      <c r="G11" s="2"/>
      <c r="H11" s="2"/>
      <c r="I11" s="2"/>
      <c r="J11" s="2"/>
      <c r="K11" s="2"/>
      <c r="L11" s="2"/>
      <c r="M11" s="2"/>
      <c r="N11" s="2"/>
      <c r="O11" s="2"/>
      <c r="P11" s="2"/>
    </row>
    <row r="12" spans="1:16" ht="21" customHeight="1">
      <c r="A12" s="2" t="s">
        <v>204</v>
      </c>
      <c r="B12" s="2">
        <v>16.64</v>
      </c>
      <c r="C12" s="2"/>
      <c r="D12" s="164">
        <v>46304</v>
      </c>
      <c r="E12" s="2" t="s">
        <v>242</v>
      </c>
      <c r="F12" s="2" t="s">
        <v>557</v>
      </c>
      <c r="G12" s="2" t="s">
        <v>1026</v>
      </c>
      <c r="H12" s="2"/>
      <c r="I12" s="2"/>
      <c r="J12" s="2"/>
      <c r="K12" s="2"/>
      <c r="L12" s="2"/>
      <c r="M12" s="2"/>
      <c r="N12" s="2"/>
      <c r="O12" s="2"/>
      <c r="P12" s="2"/>
    </row>
    <row r="13" spans="1:16" ht="21" customHeight="1">
      <c r="A13" s="2" t="s">
        <v>211</v>
      </c>
      <c r="B13" s="164" t="s">
        <v>599</v>
      </c>
      <c r="C13" s="2"/>
      <c r="D13" s="164"/>
      <c r="E13" s="2"/>
      <c r="F13" s="2" t="s">
        <v>600</v>
      </c>
      <c r="G13" s="2"/>
      <c r="H13" s="2"/>
      <c r="I13" s="2"/>
      <c r="J13" s="2"/>
      <c r="K13" s="2"/>
      <c r="L13" s="2"/>
      <c r="M13" s="2"/>
      <c r="N13" s="2"/>
      <c r="O13" s="2"/>
      <c r="P13" s="2"/>
    </row>
    <row r="14" spans="1:16" ht="21" customHeight="1">
      <c r="A14" s="2" t="s">
        <v>217</v>
      </c>
      <c r="B14" s="2" t="s">
        <v>599</v>
      </c>
      <c r="C14" s="2"/>
      <c r="D14" s="164"/>
      <c r="E14" s="2"/>
      <c r="F14" s="2" t="s">
        <v>600</v>
      </c>
      <c r="G14" s="2"/>
      <c r="H14" s="2"/>
      <c r="I14" s="2"/>
      <c r="J14" s="2"/>
      <c r="K14" s="2"/>
      <c r="L14" s="2"/>
      <c r="M14" s="2"/>
      <c r="N14" s="2"/>
      <c r="O14" s="2"/>
      <c r="P14" s="2"/>
    </row>
    <row r="15" spans="1:16" ht="21" customHeight="1">
      <c r="A15" s="2" t="s">
        <v>222</v>
      </c>
      <c r="B15" s="2" t="s">
        <v>599</v>
      </c>
      <c r="C15" s="2"/>
      <c r="D15" s="164"/>
      <c r="E15" s="2"/>
      <c r="F15" s="2" t="s">
        <v>600</v>
      </c>
      <c r="G15" s="2"/>
      <c r="H15" s="2"/>
      <c r="I15" s="2"/>
      <c r="J15" s="2"/>
      <c r="K15" s="2"/>
      <c r="L15" s="2"/>
      <c r="M15" s="2"/>
      <c r="N15" s="2"/>
      <c r="O15" s="2"/>
      <c r="P15" s="2"/>
    </row>
    <row r="16" spans="1:16" ht="21" customHeight="1">
      <c r="A16" s="2" t="s">
        <v>228</v>
      </c>
      <c r="B16" s="2" t="s">
        <v>599</v>
      </c>
      <c r="C16" s="2"/>
      <c r="D16" s="164"/>
      <c r="E16" s="2"/>
      <c r="F16" s="2" t="s">
        <v>600</v>
      </c>
      <c r="G16" s="2"/>
      <c r="H16" s="2"/>
      <c r="I16" s="2"/>
      <c r="J16" s="2"/>
      <c r="K16" s="2"/>
      <c r="L16" s="2"/>
      <c r="M16" s="2"/>
      <c r="N16" s="2"/>
      <c r="O16" s="2"/>
      <c r="P16" s="2"/>
    </row>
    <row r="17" spans="1:16" ht="21" customHeight="1">
      <c r="A17" s="2" t="s">
        <v>233</v>
      </c>
      <c r="B17" s="2" t="s">
        <v>599</v>
      </c>
      <c r="C17" s="2"/>
      <c r="D17" s="164"/>
      <c r="E17" s="2"/>
      <c r="F17" s="2" t="s">
        <v>600</v>
      </c>
      <c r="G17" s="2"/>
      <c r="H17" s="2"/>
      <c r="I17" s="2"/>
      <c r="J17" s="2"/>
      <c r="K17" s="2"/>
      <c r="L17" s="2"/>
      <c r="M17" s="2"/>
      <c r="N17" s="2"/>
      <c r="O17" s="2"/>
      <c r="P17" s="2"/>
    </row>
    <row r="18" spans="1:16" ht="21" customHeight="1">
      <c r="A18" s="2" t="s">
        <v>238</v>
      </c>
      <c r="B18" s="2" t="s">
        <v>599</v>
      </c>
      <c r="C18" s="2"/>
      <c r="D18" s="164"/>
      <c r="E18" s="2"/>
      <c r="F18" s="2" t="s">
        <v>600</v>
      </c>
      <c r="G18" s="2"/>
      <c r="H18" s="2"/>
      <c r="I18" s="2"/>
      <c r="J18" s="2"/>
      <c r="K18" s="2"/>
      <c r="L18" s="2"/>
      <c r="M18" s="2"/>
      <c r="N18" s="2"/>
      <c r="O18" s="2"/>
      <c r="P18" s="2"/>
    </row>
    <row r="19" spans="1:16" ht="21" customHeight="1">
      <c r="A19" s="2" t="s">
        <v>243</v>
      </c>
      <c r="B19" s="2" t="s">
        <v>599</v>
      </c>
      <c r="C19" s="2"/>
      <c r="D19" s="164"/>
      <c r="E19" s="2"/>
      <c r="F19" s="2" t="s">
        <v>600</v>
      </c>
      <c r="G19" s="2"/>
      <c r="H19" s="2"/>
      <c r="I19" s="2"/>
      <c r="J19" s="2"/>
      <c r="K19" s="2"/>
      <c r="L19" s="2"/>
      <c r="M19" s="2"/>
      <c r="N19" s="2"/>
      <c r="O19" s="2"/>
      <c r="P19" s="2"/>
    </row>
    <row r="20" spans="1:16" ht="21" customHeight="1">
      <c r="A20" s="2" t="s">
        <v>249</v>
      </c>
      <c r="B20" s="164" t="s">
        <v>599</v>
      </c>
      <c r="C20" s="2"/>
      <c r="D20" s="164"/>
      <c r="E20" s="2"/>
      <c r="F20" s="2" t="s">
        <v>600</v>
      </c>
      <c r="G20" s="2"/>
      <c r="H20" s="2"/>
      <c r="I20" s="2"/>
      <c r="J20" s="2"/>
      <c r="K20" s="2"/>
      <c r="L20" s="2"/>
      <c r="M20" s="2"/>
      <c r="N20" s="2"/>
      <c r="O20" s="2"/>
      <c r="P20" s="2"/>
    </row>
    <row r="21" spans="1:16" ht="21" customHeight="1">
      <c r="A21" s="2" t="s">
        <v>255</v>
      </c>
      <c r="B21" s="2" t="s">
        <v>599</v>
      </c>
      <c r="C21" s="2"/>
      <c r="D21" s="164"/>
      <c r="E21" s="2"/>
      <c r="F21" s="2" t="s">
        <v>600</v>
      </c>
      <c r="G21" s="2"/>
      <c r="H21" s="2"/>
      <c r="I21" s="2"/>
      <c r="J21" s="2"/>
      <c r="K21" s="2"/>
      <c r="L21" s="2"/>
      <c r="M21" s="2"/>
      <c r="N21" s="2"/>
      <c r="O21" s="2"/>
      <c r="P21" s="2"/>
    </row>
    <row r="22" spans="1:16" ht="21" customHeight="1">
      <c r="A22" s="2" t="s">
        <v>262</v>
      </c>
      <c r="B22" s="2" t="s">
        <v>599</v>
      </c>
      <c r="C22" s="2"/>
      <c r="D22" s="164"/>
      <c r="E22" s="2"/>
      <c r="F22" s="2" t="s">
        <v>600</v>
      </c>
      <c r="G22" s="2"/>
      <c r="H22" s="2"/>
      <c r="I22" s="2"/>
      <c r="J22" s="2"/>
      <c r="K22" s="2"/>
      <c r="L22" s="2"/>
      <c r="M22" s="2"/>
      <c r="N22" s="2"/>
      <c r="O22" s="2"/>
      <c r="P22" s="2"/>
    </row>
    <row r="23" spans="1:16" ht="21" customHeight="1">
      <c r="A23" s="2" t="s">
        <v>268</v>
      </c>
      <c r="B23" s="2" t="s">
        <v>599</v>
      </c>
      <c r="C23" s="2"/>
      <c r="D23" s="164"/>
      <c r="E23" s="2"/>
      <c r="F23" s="2" t="s">
        <v>600</v>
      </c>
      <c r="G23" s="2"/>
      <c r="H23" s="2"/>
      <c r="I23" s="2"/>
      <c r="J23" s="2"/>
      <c r="K23" s="2"/>
      <c r="L23" s="2"/>
      <c r="M23" s="2"/>
      <c r="N23" s="2"/>
      <c r="O23" s="2"/>
      <c r="P23" s="2"/>
    </row>
    <row r="24" spans="1:16" ht="21" customHeight="1">
      <c r="A24" s="2" t="s">
        <v>274</v>
      </c>
      <c r="B24" s="2" t="s">
        <v>599</v>
      </c>
      <c r="C24" s="2"/>
      <c r="D24" s="164"/>
      <c r="E24" s="2"/>
      <c r="F24" s="2" t="s">
        <v>600</v>
      </c>
      <c r="G24" s="2"/>
      <c r="H24" s="2"/>
      <c r="I24" s="2"/>
      <c r="J24" s="2"/>
      <c r="K24" s="2"/>
      <c r="L24" s="2"/>
      <c r="M24" s="2"/>
      <c r="N24" s="2"/>
      <c r="O24" s="2"/>
      <c r="P24" s="2"/>
    </row>
    <row r="25" spans="1:16" ht="21" customHeight="1">
      <c r="A25" s="2" t="s">
        <v>280</v>
      </c>
      <c r="B25" s="164" t="s">
        <v>599</v>
      </c>
      <c r="C25" s="2"/>
      <c r="D25" s="164"/>
      <c r="E25" s="2"/>
      <c r="F25" s="2" t="s">
        <v>600</v>
      </c>
      <c r="G25" s="2"/>
      <c r="H25" s="2"/>
      <c r="I25" s="2"/>
      <c r="J25" s="2"/>
      <c r="K25" s="2"/>
      <c r="L25" s="2"/>
      <c r="M25" s="2"/>
      <c r="N25" s="2"/>
      <c r="O25" s="2"/>
      <c r="P25" s="2"/>
    </row>
    <row r="26" spans="1:16" ht="21" customHeight="1">
      <c r="A26" s="2" t="s">
        <v>282</v>
      </c>
      <c r="B26" s="166" t="s">
        <v>599</v>
      </c>
      <c r="C26" s="2"/>
      <c r="D26" s="164"/>
      <c r="E26" s="2"/>
      <c r="F26" s="2" t="s">
        <v>600</v>
      </c>
      <c r="G26" s="2"/>
      <c r="H26" s="2"/>
      <c r="I26" s="2"/>
      <c r="J26" s="2"/>
      <c r="K26" s="2"/>
      <c r="L26" s="2"/>
      <c r="M26" s="2"/>
      <c r="N26" s="2"/>
      <c r="O26" s="2"/>
      <c r="P26" s="2"/>
    </row>
    <row r="27" spans="1:16" ht="21" customHeight="1">
      <c r="A27" s="2" t="s">
        <v>284</v>
      </c>
      <c r="B27" s="164" t="s">
        <v>599</v>
      </c>
      <c r="C27" s="2"/>
      <c r="D27" s="164"/>
      <c r="E27" s="2"/>
      <c r="F27" s="2" t="s">
        <v>600</v>
      </c>
      <c r="G27" s="2"/>
      <c r="H27" s="2"/>
      <c r="I27" s="2"/>
      <c r="J27" s="2"/>
      <c r="K27" s="2"/>
      <c r="L27" s="2"/>
      <c r="M27" s="2"/>
      <c r="N27" s="2"/>
      <c r="O27" s="2"/>
      <c r="P27" s="2"/>
    </row>
    <row r="28" spans="1:16" ht="21" customHeight="1">
      <c r="A28" s="2" t="s">
        <v>286</v>
      </c>
      <c r="B28" s="166" t="s">
        <v>599</v>
      </c>
      <c r="C28" s="2"/>
      <c r="D28" s="164"/>
      <c r="E28" s="2"/>
      <c r="F28" s="2" t="s">
        <v>600</v>
      </c>
      <c r="G28" s="2"/>
      <c r="H28" s="2"/>
      <c r="I28" s="2"/>
      <c r="J28" s="2"/>
      <c r="K28" s="2"/>
      <c r="L28" s="2"/>
      <c r="M28" s="2"/>
      <c r="N28" s="2"/>
      <c r="O28" s="2"/>
      <c r="P28" s="2"/>
    </row>
    <row r="29" spans="1:16" ht="21" customHeight="1">
      <c r="A29" s="2" t="s">
        <v>288</v>
      </c>
      <c r="B29" s="2" t="s">
        <v>599</v>
      </c>
      <c r="C29" s="2"/>
      <c r="D29" s="164"/>
      <c r="E29" s="2"/>
      <c r="F29" s="2" t="s">
        <v>600</v>
      </c>
      <c r="G29" s="2"/>
      <c r="H29" s="2"/>
      <c r="I29" s="2"/>
      <c r="J29" s="2"/>
      <c r="K29" s="2"/>
      <c r="L29" s="2"/>
      <c r="M29" s="2"/>
      <c r="N29" s="2"/>
      <c r="O29" s="2"/>
      <c r="P29" s="2"/>
    </row>
    <row r="30" spans="1:16" ht="21" customHeight="1">
      <c r="A30" s="2" t="s">
        <v>290</v>
      </c>
      <c r="B30" s="2" t="s">
        <v>599</v>
      </c>
      <c r="C30" s="2"/>
      <c r="D30" s="164"/>
      <c r="E30" s="2"/>
      <c r="F30" s="2" t="s">
        <v>600</v>
      </c>
      <c r="G30" s="2"/>
      <c r="H30" s="2"/>
      <c r="I30" s="2"/>
      <c r="J30" s="2"/>
      <c r="K30" s="2"/>
      <c r="L30" s="2"/>
      <c r="M30" s="2"/>
      <c r="N30" s="2"/>
      <c r="O30" s="2"/>
      <c r="P30" s="2"/>
    </row>
    <row r="31" spans="1:16" ht="21" customHeight="1">
      <c r="A31" s="2" t="s">
        <v>292</v>
      </c>
      <c r="B31" s="2" t="s">
        <v>599</v>
      </c>
      <c r="C31" s="2"/>
      <c r="D31" s="164"/>
      <c r="E31" s="2"/>
      <c r="F31" s="2" t="s">
        <v>600</v>
      </c>
      <c r="G31" s="2"/>
      <c r="H31" s="2"/>
      <c r="I31" s="2"/>
      <c r="J31" s="2"/>
      <c r="K31" s="2"/>
      <c r="L31" s="2"/>
      <c r="M31" s="2"/>
      <c r="N31" s="2"/>
      <c r="O31" s="2"/>
      <c r="P31" s="2"/>
    </row>
    <row r="32" spans="1:16" ht="21" customHeight="1">
      <c r="A32" s="2" t="s">
        <v>294</v>
      </c>
      <c r="B32" s="2" t="s">
        <v>599</v>
      </c>
      <c r="C32" s="2"/>
      <c r="D32" s="164"/>
      <c r="E32" s="2"/>
      <c r="F32" s="2" t="s">
        <v>600</v>
      </c>
      <c r="G32" s="2"/>
      <c r="H32" s="2"/>
      <c r="I32" s="2"/>
      <c r="J32" s="2"/>
      <c r="K32" s="2"/>
      <c r="L32" s="2"/>
      <c r="M32" s="2"/>
      <c r="N32" s="2"/>
      <c r="O32" s="2"/>
      <c r="P32" s="2"/>
    </row>
    <row r="33" spans="1:16" ht="21" customHeight="1">
      <c r="A33" s="2" t="s">
        <v>296</v>
      </c>
      <c r="B33" s="164" t="s">
        <v>599</v>
      </c>
      <c r="C33" s="2"/>
      <c r="D33" s="164"/>
      <c r="E33" s="2"/>
      <c r="F33" s="2" t="s">
        <v>600</v>
      </c>
      <c r="G33" s="2"/>
      <c r="H33" s="2"/>
      <c r="I33" s="2"/>
      <c r="J33" s="2"/>
      <c r="K33" s="2"/>
      <c r="L33" s="2"/>
      <c r="M33" s="2"/>
      <c r="N33" s="2"/>
      <c r="O33" s="2"/>
      <c r="P33" s="2"/>
    </row>
    <row r="34" spans="1:16" ht="21" customHeight="1">
      <c r="A34" s="2" t="s">
        <v>298</v>
      </c>
      <c r="B34" s="166" t="s">
        <v>599</v>
      </c>
      <c r="C34" s="2"/>
      <c r="D34" s="164"/>
      <c r="E34" s="2"/>
      <c r="F34" s="2" t="s">
        <v>600</v>
      </c>
      <c r="G34" s="2"/>
      <c r="H34" s="2"/>
      <c r="I34" s="2"/>
      <c r="J34" s="2"/>
      <c r="K34" s="2"/>
      <c r="L34" s="2"/>
      <c r="M34" s="2"/>
      <c r="N34" s="2"/>
      <c r="O34" s="2"/>
      <c r="P34" s="2"/>
    </row>
    <row r="35" spans="1:16" ht="21" customHeight="1">
      <c r="A35" s="2" t="s">
        <v>300</v>
      </c>
      <c r="B35" s="2" t="s">
        <v>599</v>
      </c>
      <c r="C35" s="2"/>
      <c r="D35" s="164"/>
      <c r="E35" s="2"/>
      <c r="F35" s="2" t="s">
        <v>600</v>
      </c>
      <c r="G35" s="2"/>
      <c r="H35" s="2"/>
      <c r="I35" s="2"/>
      <c r="J35" s="2"/>
      <c r="K35" s="2"/>
      <c r="L35" s="2"/>
      <c r="M35" s="2"/>
      <c r="N35" s="2"/>
      <c r="O35" s="2"/>
      <c r="P35" s="2"/>
    </row>
    <row r="36" spans="1:16" ht="21" customHeight="1">
      <c r="A36" s="2" t="s">
        <v>305</v>
      </c>
      <c r="B36" s="2" t="s">
        <v>983</v>
      </c>
      <c r="C36" s="2"/>
      <c r="D36" s="164">
        <v>46295</v>
      </c>
      <c r="E36" s="2" t="s">
        <v>216</v>
      </c>
      <c r="F36" s="2" t="s">
        <v>557</v>
      </c>
      <c r="G36" s="2" t="s">
        <v>984</v>
      </c>
      <c r="H36" s="2"/>
      <c r="I36" s="2"/>
      <c r="J36" s="2"/>
      <c r="K36" s="2"/>
      <c r="L36" s="2"/>
      <c r="M36" s="2"/>
      <c r="N36" s="2"/>
      <c r="O36" s="2"/>
      <c r="P36" s="2"/>
    </row>
    <row r="37" spans="1:16" ht="21" customHeight="1">
      <c r="A37" s="2" t="s">
        <v>309</v>
      </c>
      <c r="B37" s="2" t="s">
        <v>1017</v>
      </c>
      <c r="C37" s="2"/>
      <c r="D37" s="164">
        <v>46295</v>
      </c>
      <c r="E37" s="2" t="s">
        <v>221</v>
      </c>
      <c r="F37" s="2" t="s">
        <v>557</v>
      </c>
      <c r="G37" s="2"/>
      <c r="H37" s="2"/>
      <c r="I37" s="2"/>
      <c r="J37" s="2"/>
      <c r="K37" s="2"/>
      <c r="L37" s="2"/>
      <c r="M37" s="2"/>
      <c r="N37" s="2"/>
      <c r="O37" s="2"/>
      <c r="P37" s="2"/>
    </row>
    <row r="38" spans="1:16" ht="21" customHeight="1">
      <c r="A38" s="2" t="s">
        <v>47</v>
      </c>
      <c r="B38" s="2" t="s">
        <v>599</v>
      </c>
      <c r="C38" s="2"/>
      <c r="D38" s="164"/>
      <c r="E38" s="2"/>
      <c r="F38" s="2" t="s">
        <v>600</v>
      </c>
      <c r="G38" s="2"/>
      <c r="H38" s="2"/>
      <c r="I38" s="2"/>
      <c r="J38" s="2"/>
      <c r="K38" s="2"/>
      <c r="L38" s="2"/>
      <c r="M38" s="2"/>
      <c r="N38" s="2"/>
      <c r="O38" s="2"/>
      <c r="P38" s="2"/>
    </row>
    <row r="39" spans="1:16" ht="21" customHeight="1">
      <c r="A39" s="2" t="s">
        <v>316</v>
      </c>
      <c r="B39" s="2" t="s">
        <v>599</v>
      </c>
      <c r="C39" s="2"/>
      <c r="D39" s="164"/>
      <c r="E39" s="2"/>
      <c r="F39" s="2" t="s">
        <v>600</v>
      </c>
      <c r="G39" s="2"/>
      <c r="H39" s="2"/>
      <c r="I39" s="2"/>
      <c r="J39" s="2"/>
      <c r="K39" s="2"/>
      <c r="L39" s="2"/>
      <c r="M39" s="2"/>
      <c r="N39" s="2"/>
      <c r="O39" s="2"/>
      <c r="P39" s="2"/>
    </row>
    <row r="40" spans="1:16" ht="21" customHeight="1">
      <c r="A40" s="2" t="s">
        <v>320</v>
      </c>
      <c r="B40" s="2" t="s">
        <v>599</v>
      </c>
      <c r="C40" s="2"/>
      <c r="D40" s="164"/>
      <c r="E40" s="2"/>
      <c r="F40" s="2" t="s">
        <v>600</v>
      </c>
      <c r="G40" s="2"/>
      <c r="H40" s="2"/>
      <c r="I40" s="2"/>
      <c r="J40" s="2"/>
      <c r="K40" s="2"/>
      <c r="L40" s="2"/>
      <c r="M40" s="2"/>
      <c r="N40" s="2"/>
      <c r="O40" s="2"/>
      <c r="P40" s="2"/>
    </row>
    <row r="41" spans="1:16" ht="21" customHeight="1">
      <c r="A41" s="2" t="s">
        <v>324</v>
      </c>
      <c r="B41" s="2" t="s">
        <v>599</v>
      </c>
      <c r="C41" s="2"/>
      <c r="D41" s="164"/>
      <c r="E41" s="2"/>
      <c r="F41" s="2" t="s">
        <v>600</v>
      </c>
      <c r="G41" s="2"/>
      <c r="H41" s="2"/>
      <c r="I41" s="2"/>
      <c r="J41" s="2"/>
      <c r="K41" s="2"/>
      <c r="L41" s="2"/>
      <c r="M41" s="2"/>
      <c r="N41" s="2"/>
      <c r="O41" s="2"/>
      <c r="P41" s="2"/>
    </row>
    <row r="42" spans="1:16" ht="21" customHeight="1">
      <c r="A42" s="2" t="s">
        <v>51</v>
      </c>
      <c r="B42" s="2" t="s">
        <v>599</v>
      </c>
      <c r="C42" s="2"/>
      <c r="D42" s="164"/>
      <c r="E42" s="2"/>
      <c r="F42" s="2" t="s">
        <v>600</v>
      </c>
      <c r="G42" s="2"/>
      <c r="H42" s="2"/>
      <c r="I42" s="2"/>
      <c r="J42" s="2"/>
      <c r="K42" s="2"/>
      <c r="L42" s="2"/>
      <c r="M42" s="2"/>
      <c r="N42" s="2"/>
      <c r="O42" s="2"/>
      <c r="P42" s="2"/>
    </row>
    <row r="43" spans="1:16" ht="21" customHeight="1">
      <c r="A43" s="2" t="s">
        <v>331</v>
      </c>
      <c r="B43" s="2" t="s">
        <v>858</v>
      </c>
      <c r="C43" s="2"/>
      <c r="D43" s="164">
        <v>46295</v>
      </c>
      <c r="E43" s="2" t="s">
        <v>216</v>
      </c>
      <c r="F43" s="2" t="s">
        <v>557</v>
      </c>
      <c r="G43" s="2" t="s">
        <v>859</v>
      </c>
      <c r="H43" s="2"/>
      <c r="I43" s="2"/>
      <c r="J43" s="2"/>
      <c r="K43" s="2"/>
      <c r="L43" s="2"/>
      <c r="M43" s="2"/>
      <c r="N43" s="2"/>
      <c r="O43" s="2"/>
      <c r="P43" s="2"/>
    </row>
    <row r="44" spans="1:16" ht="21" customHeight="1">
      <c r="A44" s="2" t="s">
        <v>125</v>
      </c>
      <c r="B44" s="2">
        <v>22860446507.099998</v>
      </c>
      <c r="C44" s="2"/>
      <c r="D44" s="164">
        <v>46295</v>
      </c>
      <c r="E44" s="2" t="s">
        <v>216</v>
      </c>
      <c r="F44" s="2" t="s">
        <v>557</v>
      </c>
      <c r="G44" s="2" t="s">
        <v>991</v>
      </c>
      <c r="H44" s="2"/>
      <c r="I44" s="2"/>
      <c r="J44" s="2"/>
      <c r="K44" s="2"/>
      <c r="L44" s="2"/>
      <c r="M44" s="2"/>
      <c r="N44" s="2"/>
      <c r="O44" s="2"/>
      <c r="P44" s="2"/>
    </row>
    <row r="45" spans="1:16" ht="21" customHeight="1">
      <c r="A45" s="2" t="s">
        <v>340</v>
      </c>
      <c r="B45" s="2" t="s">
        <v>599</v>
      </c>
      <c r="C45" s="2"/>
      <c r="D45" s="164"/>
      <c r="E45" s="2"/>
      <c r="F45" s="2" t="s">
        <v>600</v>
      </c>
      <c r="G45" s="2"/>
      <c r="H45" s="2"/>
      <c r="I45" s="2"/>
      <c r="J45" s="2"/>
      <c r="K45" s="2"/>
      <c r="L45" s="2"/>
      <c r="M45" s="2"/>
      <c r="N45" s="2"/>
      <c r="O45" s="2"/>
      <c r="P45" s="2"/>
    </row>
    <row r="46" spans="1:16" ht="21" customHeight="1">
      <c r="A46" s="2" t="s">
        <v>38</v>
      </c>
      <c r="B46" s="2" t="s">
        <v>599</v>
      </c>
      <c r="C46" s="2"/>
      <c r="D46" s="164"/>
      <c r="E46" s="2"/>
      <c r="F46" s="2" t="s">
        <v>600</v>
      </c>
      <c r="G46" s="2"/>
      <c r="H46" s="2"/>
      <c r="I46" s="2"/>
      <c r="J46" s="2"/>
      <c r="K46" s="2"/>
      <c r="L46" s="2"/>
      <c r="M46" s="2"/>
      <c r="N46" s="2"/>
      <c r="O46" s="2"/>
      <c r="P46" s="2"/>
    </row>
    <row r="47" spans="1:16" ht="21" customHeight="1">
      <c r="A47" s="2" t="s">
        <v>347</v>
      </c>
      <c r="B47" s="2" t="s">
        <v>599</v>
      </c>
      <c r="C47" s="2"/>
      <c r="D47" s="164"/>
      <c r="E47" s="2"/>
      <c r="F47" s="2" t="s">
        <v>600</v>
      </c>
      <c r="G47" s="2"/>
      <c r="H47" s="2"/>
      <c r="I47" s="2"/>
      <c r="J47" s="2"/>
      <c r="K47" s="2"/>
      <c r="L47" s="2"/>
      <c r="M47" s="2"/>
      <c r="N47" s="2"/>
      <c r="O47" s="2"/>
      <c r="P47" s="2"/>
    </row>
    <row r="48" spans="1:16" ht="21" customHeight="1">
      <c r="A48" s="2" t="s">
        <v>351</v>
      </c>
      <c r="B48" s="2">
        <v>9.7987804999999997E-3</v>
      </c>
      <c r="C48" s="2"/>
      <c r="D48" s="164">
        <v>46295</v>
      </c>
      <c r="E48" s="2" t="s">
        <v>216</v>
      </c>
      <c r="F48" s="2" t="s">
        <v>557</v>
      </c>
      <c r="G48" s="2" t="s">
        <v>994</v>
      </c>
      <c r="H48" s="2"/>
      <c r="I48" s="2"/>
      <c r="J48" s="2"/>
      <c r="K48" s="2"/>
      <c r="L48" s="2"/>
      <c r="M48" s="2"/>
      <c r="N48" s="2"/>
      <c r="O48" s="2"/>
      <c r="P48" s="2"/>
    </row>
    <row r="49" spans="1:16" ht="21" customHeight="1">
      <c r="A49" s="2" t="s">
        <v>355</v>
      </c>
      <c r="B49" s="2" t="s">
        <v>599</v>
      </c>
      <c r="C49" s="2"/>
      <c r="D49" s="164"/>
      <c r="E49" s="2"/>
      <c r="F49" s="2" t="s">
        <v>600</v>
      </c>
      <c r="G49" s="2"/>
      <c r="H49" s="2"/>
      <c r="I49" s="2"/>
      <c r="J49" s="2"/>
      <c r="K49" s="2"/>
      <c r="L49" s="2"/>
      <c r="M49" s="2"/>
      <c r="N49" s="2"/>
      <c r="O49" s="2"/>
      <c r="P49" s="2"/>
    </row>
    <row r="50" spans="1:16" ht="21" customHeight="1">
      <c r="A50" s="2" t="s">
        <v>359</v>
      </c>
      <c r="B50" s="2" t="s">
        <v>599</v>
      </c>
      <c r="C50" s="2"/>
      <c r="D50" s="164"/>
      <c r="E50" s="2"/>
      <c r="F50" s="2" t="s">
        <v>600</v>
      </c>
      <c r="G50" s="2"/>
      <c r="H50" s="2"/>
      <c r="I50" s="2"/>
      <c r="J50" s="2"/>
      <c r="K50" s="2"/>
      <c r="L50" s="2"/>
      <c r="M50" s="2"/>
      <c r="N50" s="2"/>
      <c r="O50" s="2"/>
      <c r="P50" s="2"/>
    </row>
    <row r="51" spans="1:16" ht="21" customHeight="1">
      <c r="A51" s="2" t="s">
        <v>363</v>
      </c>
      <c r="B51" s="2">
        <v>0.99745799999999996</v>
      </c>
      <c r="C51" s="2" t="s">
        <v>456</v>
      </c>
      <c r="D51" s="164">
        <v>46295</v>
      </c>
      <c r="E51" s="2" t="s">
        <v>216</v>
      </c>
      <c r="F51" s="2" t="s">
        <v>557</v>
      </c>
      <c r="G51" s="2" t="s">
        <v>998</v>
      </c>
      <c r="H51" s="2"/>
      <c r="I51" s="2"/>
      <c r="J51" s="2"/>
      <c r="K51" s="2"/>
      <c r="L51" s="2"/>
      <c r="M51" s="2"/>
      <c r="N51" s="2"/>
      <c r="O51" s="2"/>
      <c r="P51" s="2"/>
    </row>
    <row r="52" spans="1:16" ht="21" customHeight="1">
      <c r="A52" s="2" t="s">
        <v>367</v>
      </c>
      <c r="B52" s="2" t="s">
        <v>599</v>
      </c>
      <c r="C52" s="2"/>
      <c r="D52" s="164"/>
      <c r="E52" s="2"/>
      <c r="F52" s="2" t="s">
        <v>600</v>
      </c>
      <c r="G52" s="2"/>
      <c r="H52" s="2"/>
      <c r="I52" s="2"/>
      <c r="J52" s="2"/>
      <c r="K52" s="2"/>
      <c r="L52" s="2"/>
      <c r="M52" s="2"/>
      <c r="N52" s="2"/>
      <c r="O52" s="2"/>
      <c r="P52" s="2"/>
    </row>
    <row r="53" spans="1:16" ht="21" customHeight="1">
      <c r="A53" s="2" t="s">
        <v>90</v>
      </c>
      <c r="B53" s="2" t="s">
        <v>981</v>
      </c>
      <c r="C53" s="2"/>
      <c r="D53" s="164">
        <v>46295</v>
      </c>
      <c r="E53" s="2" t="s">
        <v>210</v>
      </c>
      <c r="F53" s="2" t="s">
        <v>557</v>
      </c>
      <c r="G53" s="2" t="s">
        <v>982</v>
      </c>
      <c r="H53" s="2"/>
      <c r="I53" s="2"/>
      <c r="J53" s="2"/>
      <c r="K53" s="2"/>
      <c r="L53" s="2"/>
      <c r="M53" s="2"/>
      <c r="N53" s="2"/>
      <c r="O53" s="2"/>
      <c r="P53" s="2"/>
    </row>
    <row r="54" spans="1:16" ht="21" customHeight="1">
      <c r="A54" s="2" t="s">
        <v>375</v>
      </c>
      <c r="B54" s="2" t="s">
        <v>985</v>
      </c>
      <c r="C54" s="2"/>
      <c r="D54" s="164">
        <v>46295</v>
      </c>
      <c r="E54" s="2" t="s">
        <v>216</v>
      </c>
      <c r="F54" s="2" t="s">
        <v>557</v>
      </c>
      <c r="G54" s="2" t="s">
        <v>986</v>
      </c>
      <c r="H54" s="2"/>
      <c r="I54" s="2"/>
      <c r="J54" s="2"/>
      <c r="K54" s="2"/>
      <c r="L54" s="2"/>
      <c r="M54" s="2"/>
      <c r="N54" s="2"/>
      <c r="O54" s="2"/>
      <c r="P54" s="2"/>
    </row>
    <row r="55" spans="1:16" ht="21" customHeight="1">
      <c r="A55" s="2" t="s">
        <v>378</v>
      </c>
      <c r="B55" s="2" t="s">
        <v>599</v>
      </c>
      <c r="C55" s="2"/>
      <c r="D55" s="2"/>
      <c r="E55" s="2"/>
      <c r="F55" s="2" t="s">
        <v>600</v>
      </c>
      <c r="G55" s="2"/>
      <c r="H55" s="2"/>
      <c r="I55" s="2"/>
      <c r="J55" s="2"/>
      <c r="K55" s="2"/>
      <c r="L55" s="2"/>
      <c r="M55" s="2"/>
      <c r="N55" s="2"/>
      <c r="O55" s="2"/>
      <c r="P55" s="2"/>
    </row>
    <row r="56" spans="1:16" ht="21" customHeight="1">
      <c r="A56" s="2" t="s">
        <v>380</v>
      </c>
      <c r="B56" s="164">
        <v>33330</v>
      </c>
      <c r="C56" s="2"/>
      <c r="D56" s="164">
        <v>46295</v>
      </c>
      <c r="E56" s="2" t="s">
        <v>216</v>
      </c>
      <c r="F56" s="2" t="s">
        <v>557</v>
      </c>
      <c r="G56" s="2" t="s">
        <v>987</v>
      </c>
      <c r="H56" s="2"/>
      <c r="I56" s="2"/>
      <c r="J56" s="2"/>
      <c r="K56" s="2"/>
      <c r="L56" s="2"/>
      <c r="M56" s="2"/>
      <c r="N56" s="2"/>
      <c r="O56" s="2"/>
      <c r="P56" s="2"/>
    </row>
    <row r="57" spans="1:16" ht="21" customHeight="1">
      <c r="A57" s="2" t="s">
        <v>384</v>
      </c>
      <c r="B57" s="2">
        <v>5.0000000000000001E-4</v>
      </c>
      <c r="C57" s="2"/>
      <c r="D57" s="164">
        <v>46295</v>
      </c>
      <c r="E57" s="2" t="s">
        <v>216</v>
      </c>
      <c r="F57" s="2" t="s">
        <v>557</v>
      </c>
      <c r="G57" s="2" t="s">
        <v>988</v>
      </c>
      <c r="H57" s="2"/>
      <c r="I57" s="2"/>
      <c r="J57" s="2"/>
      <c r="K57" s="2"/>
      <c r="L57" s="2"/>
      <c r="M57" s="2"/>
      <c r="N57" s="2"/>
      <c r="O57" s="2"/>
      <c r="P57" s="2"/>
    </row>
    <row r="58" spans="1:16" ht="21" customHeight="1">
      <c r="A58" s="2" t="s">
        <v>388</v>
      </c>
      <c r="B58" s="2">
        <v>5.0000000000000001E-4</v>
      </c>
      <c r="C58" s="2"/>
      <c r="D58" s="164">
        <v>46295</v>
      </c>
      <c r="E58" s="2" t="s">
        <v>216</v>
      </c>
      <c r="F58" s="2" t="s">
        <v>557</v>
      </c>
      <c r="G58" s="2" t="s">
        <v>988</v>
      </c>
      <c r="H58" s="2"/>
      <c r="I58" s="2"/>
      <c r="J58" s="2"/>
      <c r="K58" s="2"/>
      <c r="L58" s="2"/>
      <c r="M58" s="2"/>
      <c r="N58" s="2"/>
      <c r="O58" s="2"/>
      <c r="P58" s="2"/>
    </row>
    <row r="59" spans="1:16" ht="21" customHeight="1">
      <c r="A59" s="2" t="s">
        <v>92</v>
      </c>
      <c r="B59" s="2" t="s">
        <v>989</v>
      </c>
      <c r="C59" s="2"/>
      <c r="D59" s="164">
        <v>46295</v>
      </c>
      <c r="E59" s="2" t="s">
        <v>216</v>
      </c>
      <c r="F59" s="2" t="s">
        <v>557</v>
      </c>
      <c r="G59" s="2" t="s">
        <v>990</v>
      </c>
      <c r="H59" s="2"/>
      <c r="I59" s="2"/>
      <c r="J59" s="2"/>
      <c r="K59" s="2"/>
      <c r="L59" s="2"/>
      <c r="M59" s="2"/>
      <c r="N59" s="2"/>
      <c r="O59" s="2"/>
      <c r="P59" s="2"/>
    </row>
    <row r="60" spans="1:16" ht="21" customHeight="1">
      <c r="A60" s="2" t="s">
        <v>407</v>
      </c>
      <c r="B60" s="2">
        <v>22253680324</v>
      </c>
      <c r="C60" s="2"/>
      <c r="D60" s="164">
        <v>46295</v>
      </c>
      <c r="E60" s="2" t="s">
        <v>216</v>
      </c>
      <c r="F60" s="2" t="s">
        <v>557</v>
      </c>
      <c r="G60" s="2" t="s">
        <v>992</v>
      </c>
      <c r="H60" s="2"/>
      <c r="I60" s="2"/>
      <c r="J60" s="2"/>
      <c r="K60" s="2"/>
      <c r="L60" s="2"/>
      <c r="M60" s="2"/>
      <c r="N60" s="2"/>
      <c r="O60" s="2"/>
      <c r="P60" s="2"/>
    </row>
    <row r="61" spans="1:16" ht="21" customHeight="1">
      <c r="A61" s="2" t="s">
        <v>411</v>
      </c>
      <c r="B61" s="2">
        <v>0.25</v>
      </c>
      <c r="C61" s="2"/>
      <c r="D61" s="164">
        <v>46295</v>
      </c>
      <c r="E61" s="2" t="s">
        <v>216</v>
      </c>
      <c r="F61" s="2" t="s">
        <v>557</v>
      </c>
      <c r="G61" s="2" t="s">
        <v>993</v>
      </c>
      <c r="H61" s="2"/>
      <c r="I61" s="2"/>
      <c r="J61" s="2"/>
      <c r="K61" s="2"/>
      <c r="L61" s="2"/>
      <c r="M61" s="2"/>
      <c r="N61" s="2"/>
      <c r="O61" s="2"/>
      <c r="P61" s="2"/>
    </row>
    <row r="62" spans="1:16" ht="21" customHeight="1">
      <c r="A62" s="2" t="s">
        <v>415</v>
      </c>
      <c r="B62" s="2" t="s">
        <v>599</v>
      </c>
      <c r="C62" s="2"/>
      <c r="D62" s="2"/>
      <c r="E62" s="2" t="s">
        <v>216</v>
      </c>
      <c r="F62" s="2" t="s">
        <v>851</v>
      </c>
      <c r="G62" s="2"/>
      <c r="H62" s="2"/>
      <c r="I62" s="2"/>
      <c r="J62" s="2"/>
      <c r="K62" s="2"/>
      <c r="L62" s="2"/>
      <c r="M62" s="2"/>
      <c r="N62" s="2"/>
      <c r="O62" s="2"/>
      <c r="P62" s="2"/>
    </row>
    <row r="63" spans="1:16" ht="21" customHeight="1">
      <c r="A63" s="2" t="s">
        <v>419</v>
      </c>
      <c r="B63" s="2" t="s">
        <v>599</v>
      </c>
      <c r="C63" s="2"/>
      <c r="D63" s="2"/>
      <c r="E63" s="2" t="s">
        <v>216</v>
      </c>
      <c r="F63" s="2" t="s">
        <v>851</v>
      </c>
      <c r="G63" s="2"/>
      <c r="H63" s="2"/>
      <c r="I63" s="2"/>
      <c r="J63" s="2"/>
      <c r="K63" s="2"/>
      <c r="L63" s="2"/>
      <c r="M63" s="2"/>
      <c r="N63" s="2"/>
      <c r="O63" s="2"/>
      <c r="P63" s="2"/>
    </row>
    <row r="64" spans="1:16" ht="21" customHeight="1">
      <c r="A64" s="2" t="s">
        <v>423</v>
      </c>
      <c r="B64" s="2" t="s">
        <v>599</v>
      </c>
      <c r="C64" s="2"/>
      <c r="D64" s="2"/>
      <c r="E64" s="2" t="s">
        <v>216</v>
      </c>
      <c r="F64" s="2" t="s">
        <v>851</v>
      </c>
      <c r="G64" s="2"/>
      <c r="H64" s="2"/>
      <c r="I64" s="2"/>
      <c r="J64" s="2"/>
      <c r="K64" s="2"/>
      <c r="L64" s="2"/>
      <c r="M64" s="2"/>
      <c r="N64" s="2"/>
      <c r="O64" s="2"/>
      <c r="P64" s="2"/>
    </row>
    <row r="65" spans="1:16" ht="21" customHeight="1">
      <c r="A65" s="2" t="s">
        <v>427</v>
      </c>
      <c r="B65" s="2" t="s">
        <v>599</v>
      </c>
      <c r="C65" s="2"/>
      <c r="D65" s="2"/>
      <c r="E65" s="2" t="s">
        <v>216</v>
      </c>
      <c r="F65" s="2" t="s">
        <v>851</v>
      </c>
      <c r="G65" s="2"/>
      <c r="H65" s="2"/>
      <c r="I65" s="2"/>
      <c r="J65" s="2"/>
      <c r="K65" s="2"/>
      <c r="L65" s="2"/>
      <c r="M65" s="2"/>
      <c r="N65" s="2"/>
      <c r="O65" s="2"/>
      <c r="P65" s="2"/>
    </row>
    <row r="66" spans="1:16" ht="21" customHeight="1">
      <c r="A66" s="2" t="s">
        <v>431</v>
      </c>
      <c r="B66" s="2" t="s">
        <v>599</v>
      </c>
      <c r="C66" s="2"/>
      <c r="D66" s="2"/>
      <c r="E66" s="2" t="s">
        <v>216</v>
      </c>
      <c r="F66" s="2" t="s">
        <v>851</v>
      </c>
      <c r="G66" s="2"/>
      <c r="H66" s="2"/>
      <c r="I66" s="2"/>
      <c r="J66" s="2"/>
      <c r="K66" s="2"/>
      <c r="L66" s="2"/>
      <c r="M66" s="2"/>
      <c r="N66" s="2"/>
      <c r="O66" s="2"/>
      <c r="P66" s="2"/>
    </row>
    <row r="67" spans="1:16" ht="21" customHeight="1">
      <c r="A67" s="2" t="s">
        <v>435</v>
      </c>
      <c r="B67" s="2" t="s">
        <v>599</v>
      </c>
      <c r="C67" s="2"/>
      <c r="D67" s="164"/>
      <c r="E67" s="2" t="s">
        <v>216</v>
      </c>
      <c r="F67" s="2" t="s">
        <v>851</v>
      </c>
      <c r="G67" s="2"/>
      <c r="H67" s="2"/>
      <c r="I67" s="2"/>
      <c r="J67" s="2"/>
      <c r="K67" s="2"/>
      <c r="L67" s="2"/>
      <c r="M67" s="2"/>
      <c r="N67" s="2"/>
      <c r="O67" s="2"/>
      <c r="P67" s="2"/>
    </row>
    <row r="68" spans="1:16" ht="21" customHeight="1">
      <c r="A68" s="2" t="s">
        <v>442</v>
      </c>
      <c r="B68" s="2">
        <v>2.6706428298895042</v>
      </c>
      <c r="C68" s="2"/>
      <c r="D68" s="164">
        <v>46295</v>
      </c>
      <c r="E68" s="2" t="s">
        <v>216</v>
      </c>
      <c r="F68" s="2" t="s">
        <v>557</v>
      </c>
      <c r="G68" s="2" t="s">
        <v>995</v>
      </c>
      <c r="H68" s="2"/>
      <c r="I68" s="2"/>
      <c r="J68" s="2"/>
      <c r="K68" s="2"/>
      <c r="L68" s="2"/>
      <c r="M68" s="2"/>
      <c r="N68" s="2"/>
      <c r="O68" s="2"/>
      <c r="P68" s="2"/>
    </row>
    <row r="69" spans="1:16" ht="21" customHeight="1">
      <c r="A69" s="2" t="s">
        <v>446</v>
      </c>
      <c r="B69" s="2">
        <v>2.92134918</v>
      </c>
      <c r="C69" s="2"/>
      <c r="D69" s="164">
        <v>46295</v>
      </c>
      <c r="E69" s="2" t="s">
        <v>216</v>
      </c>
      <c r="F69" s="2" t="s">
        <v>557</v>
      </c>
      <c r="G69" s="2" t="s">
        <v>996</v>
      </c>
      <c r="H69" s="2"/>
      <c r="I69" s="2"/>
      <c r="J69" s="2"/>
      <c r="K69" s="2"/>
      <c r="L69" s="2"/>
      <c r="M69" s="2"/>
      <c r="N69" s="2"/>
      <c r="O69" s="2"/>
      <c r="P69" s="2"/>
    </row>
    <row r="70" spans="1:16" ht="21" customHeight="1">
      <c r="A70" s="2" t="s">
        <v>450</v>
      </c>
      <c r="B70" s="2">
        <v>0.98181706000000002</v>
      </c>
      <c r="C70" s="2"/>
      <c r="D70" s="164">
        <v>46295</v>
      </c>
      <c r="E70" s="2" t="s">
        <v>216</v>
      </c>
      <c r="F70" s="2" t="s">
        <v>557</v>
      </c>
      <c r="G70" s="2" t="s">
        <v>997</v>
      </c>
      <c r="H70" s="2"/>
      <c r="I70" s="2"/>
      <c r="J70" s="2"/>
      <c r="K70" s="2"/>
      <c r="L70" s="2"/>
      <c r="M70" s="2"/>
      <c r="N70" s="2"/>
      <c r="O70" s="2"/>
      <c r="P70" s="2"/>
    </row>
    <row r="71" spans="1:16" ht="21" customHeight="1">
      <c r="A71" s="2" t="s">
        <v>458</v>
      </c>
      <c r="B71" s="2">
        <v>0.14872827999999999</v>
      </c>
      <c r="C71" s="2"/>
      <c r="D71" s="164">
        <v>46295</v>
      </c>
      <c r="E71" s="2" t="s">
        <v>216</v>
      </c>
      <c r="F71" s="2" t="s">
        <v>557</v>
      </c>
      <c r="G71" s="2" t="s">
        <v>999</v>
      </c>
      <c r="H71" s="2"/>
      <c r="I71" s="2"/>
      <c r="J71" s="2"/>
      <c r="K71" s="2"/>
      <c r="L71" s="2"/>
      <c r="M71" s="2"/>
      <c r="N71" s="2"/>
      <c r="O71" s="2"/>
      <c r="P71" s="2"/>
    </row>
    <row r="72" spans="1:16" ht="21" customHeight="1">
      <c r="A72" s="2" t="s">
        <v>462</v>
      </c>
      <c r="B72" s="2">
        <v>0.92198800000000003</v>
      </c>
      <c r="C72" s="2" t="s">
        <v>456</v>
      </c>
      <c r="D72" s="164">
        <v>46295</v>
      </c>
      <c r="E72" s="2" t="s">
        <v>216</v>
      </c>
      <c r="F72" s="2" t="s">
        <v>557</v>
      </c>
      <c r="G72" s="2" t="s">
        <v>1000</v>
      </c>
      <c r="H72" s="2"/>
      <c r="I72" s="2"/>
      <c r="J72" s="2"/>
      <c r="K72" s="2"/>
      <c r="L72" s="2"/>
      <c r="M72" s="2"/>
      <c r="N72" s="2"/>
      <c r="O72" s="2"/>
      <c r="P72" s="2"/>
    </row>
    <row r="73" spans="1:16" ht="21" customHeight="1">
      <c r="A73" s="2" t="s">
        <v>471</v>
      </c>
      <c r="B73" s="2">
        <v>16.739999999999998</v>
      </c>
      <c r="C73" s="2"/>
      <c r="D73" s="164">
        <v>46304</v>
      </c>
      <c r="E73" s="2" t="s">
        <v>242</v>
      </c>
      <c r="F73" s="2" t="s">
        <v>557</v>
      </c>
      <c r="G73" s="2" t="s">
        <v>1025</v>
      </c>
      <c r="H73" s="2"/>
      <c r="I73" s="2"/>
      <c r="J73" s="2"/>
      <c r="K73" s="2"/>
      <c r="L73" s="2"/>
      <c r="M73" s="2"/>
      <c r="N73" s="2"/>
      <c r="O73" s="2"/>
      <c r="P73" s="2"/>
    </row>
    <row r="74" spans="1:16" ht="21" customHeight="1">
      <c r="A74" s="2" t="s">
        <v>481</v>
      </c>
      <c r="B74" s="2" t="s">
        <v>599</v>
      </c>
      <c r="C74" s="2"/>
      <c r="D74" s="164"/>
      <c r="E74" s="2"/>
      <c r="F74" s="2" t="s">
        <v>600</v>
      </c>
      <c r="G74" s="2"/>
      <c r="H74" s="2"/>
      <c r="I74" s="2"/>
      <c r="J74" s="2"/>
      <c r="K74" s="2"/>
      <c r="L74" s="2"/>
      <c r="M74" s="2"/>
      <c r="N74" s="2"/>
      <c r="O74" s="2"/>
      <c r="P74" s="2"/>
    </row>
    <row r="75" spans="1:16" ht="21" customHeight="1">
      <c r="A75" s="2" t="s">
        <v>486</v>
      </c>
      <c r="B75" s="2" t="s">
        <v>599</v>
      </c>
      <c r="C75" s="2"/>
      <c r="D75" s="164"/>
      <c r="E75" s="2"/>
      <c r="F75" s="2" t="s">
        <v>600</v>
      </c>
      <c r="G75" s="2"/>
      <c r="H75" s="2"/>
      <c r="I75" s="2"/>
      <c r="J75" s="2"/>
      <c r="K75" s="2"/>
      <c r="L75" s="2"/>
      <c r="M75" s="2"/>
      <c r="N75" s="2"/>
      <c r="O75" s="2"/>
      <c r="P75" s="2"/>
    </row>
    <row r="76" spans="1:16" ht="21" customHeight="1">
      <c r="A76" s="2" t="s">
        <v>491</v>
      </c>
      <c r="B76" s="2" t="s">
        <v>599</v>
      </c>
      <c r="C76" s="2"/>
      <c r="D76" s="164"/>
      <c r="E76" s="2"/>
      <c r="F76" s="2" t="s">
        <v>600</v>
      </c>
      <c r="G76" s="2"/>
      <c r="H76" s="2"/>
      <c r="I76" s="2"/>
      <c r="J76" s="2"/>
      <c r="K76" s="2"/>
      <c r="L76" s="2"/>
      <c r="M76" s="2"/>
      <c r="N76" s="2"/>
      <c r="O76" s="2"/>
      <c r="P76" s="2"/>
    </row>
    <row r="77" spans="1:16" ht="21" customHeight="1">
      <c r="A77" s="2" t="s">
        <v>494</v>
      </c>
      <c r="B77" s="2" t="s">
        <v>599</v>
      </c>
      <c r="C77" s="2"/>
      <c r="D77" s="2"/>
      <c r="E77" s="2"/>
      <c r="F77" s="2" t="s">
        <v>600</v>
      </c>
      <c r="G77" s="2"/>
      <c r="H77" s="2"/>
      <c r="I77" s="2"/>
      <c r="J77" s="2"/>
      <c r="K77" s="2"/>
      <c r="L77" s="2"/>
      <c r="M77" s="2"/>
      <c r="N77" s="2"/>
      <c r="O77" s="2"/>
      <c r="P77" s="2"/>
    </row>
    <row r="78" spans="1:16" ht="21" customHeight="1">
      <c r="A78" s="2" t="s">
        <v>497</v>
      </c>
      <c r="B78" s="2" t="s">
        <v>599</v>
      </c>
      <c r="C78" s="2"/>
      <c r="D78" s="164"/>
      <c r="E78" s="2"/>
      <c r="F78" s="2" t="s">
        <v>600</v>
      </c>
      <c r="G78" s="2"/>
      <c r="H78" s="2"/>
      <c r="I78" s="2"/>
      <c r="J78" s="2"/>
      <c r="K78" s="2"/>
      <c r="L78" s="2"/>
      <c r="M78" s="2"/>
      <c r="N78" s="2"/>
      <c r="O78" s="2"/>
      <c r="P78" s="2"/>
    </row>
    <row r="79" spans="1:16" ht="21" customHeight="1">
      <c r="A79" s="2" t="s">
        <v>505</v>
      </c>
      <c r="B79" s="164" t="s">
        <v>599</v>
      </c>
      <c r="C79" s="2"/>
      <c r="D79" s="2"/>
      <c r="E79" s="2"/>
      <c r="F79" s="2" t="s">
        <v>600</v>
      </c>
      <c r="G79" s="2"/>
      <c r="H79" s="2"/>
      <c r="I79" s="2"/>
      <c r="J79" s="2"/>
      <c r="K79" s="2"/>
      <c r="L79" s="2"/>
      <c r="M79" s="2"/>
      <c r="N79" s="2"/>
      <c r="O79" s="2"/>
      <c r="P79" s="2"/>
    </row>
    <row r="80" spans="1:16" ht="21" customHeight="1">
      <c r="A80" s="2" t="s">
        <v>507</v>
      </c>
      <c r="B80" s="2" t="s">
        <v>599</v>
      </c>
      <c r="C80" s="2"/>
      <c r="D80" s="2"/>
      <c r="E80" s="2"/>
      <c r="F80" s="2" t="s">
        <v>600</v>
      </c>
      <c r="G80" s="2"/>
      <c r="H80" s="2"/>
      <c r="I80" s="2"/>
      <c r="J80" s="2"/>
      <c r="K80" s="2"/>
      <c r="L80" s="2"/>
      <c r="M80" s="2"/>
      <c r="N80" s="2"/>
      <c r="O80" s="2"/>
      <c r="P80" s="2"/>
    </row>
    <row r="81" spans="1:16" ht="21" customHeight="1">
      <c r="A81" s="2" t="s">
        <v>509</v>
      </c>
      <c r="B81" s="2" t="s">
        <v>599</v>
      </c>
      <c r="C81" s="2"/>
      <c r="D81" s="2"/>
      <c r="E81" s="2"/>
      <c r="F81" s="2" t="s">
        <v>600</v>
      </c>
      <c r="G81" s="2"/>
      <c r="H81" s="2"/>
      <c r="I81" s="2"/>
      <c r="J81" s="2"/>
      <c r="K81" s="2"/>
      <c r="L81" s="2"/>
      <c r="M81" s="2"/>
      <c r="N81" s="2"/>
      <c r="O81" s="2"/>
      <c r="P81" s="2"/>
    </row>
    <row r="82" spans="1:16" ht="21" customHeight="1">
      <c r="A82" s="2" t="s">
        <v>511</v>
      </c>
      <c r="B82" s="2" t="s">
        <v>599</v>
      </c>
      <c r="C82" s="2"/>
      <c r="D82" s="2"/>
      <c r="E82" s="2"/>
      <c r="F82" s="2" t="s">
        <v>600</v>
      </c>
      <c r="G82" s="2"/>
      <c r="H82" s="2"/>
      <c r="I82" s="2"/>
      <c r="J82" s="2"/>
      <c r="K82" s="2"/>
      <c r="L82" s="2"/>
      <c r="M82" s="2"/>
      <c r="N82" s="2"/>
      <c r="O82" s="2"/>
      <c r="P82" s="2"/>
    </row>
    <row r="83" spans="1:16" ht="21" customHeight="1">
      <c r="A83" s="2" t="s">
        <v>513</v>
      </c>
      <c r="B83" s="2" t="s">
        <v>599</v>
      </c>
      <c r="C83" s="2"/>
      <c r="D83" s="164"/>
      <c r="E83" s="2"/>
      <c r="F83" s="2" t="s">
        <v>600</v>
      </c>
      <c r="G83" s="2"/>
      <c r="H83" s="2"/>
      <c r="I83" s="2"/>
      <c r="J83" s="2"/>
      <c r="K83" s="2"/>
      <c r="L83" s="2"/>
      <c r="M83" s="2"/>
      <c r="N83" s="2"/>
      <c r="O83" s="2"/>
      <c r="P83" s="2"/>
    </row>
    <row r="84" spans="1:16" ht="21" customHeight="1">
      <c r="A84" s="2" t="s">
        <v>516</v>
      </c>
      <c r="B84" s="2" t="s">
        <v>599</v>
      </c>
      <c r="C84" s="2"/>
      <c r="D84" s="164"/>
      <c r="E84" s="2"/>
      <c r="F84" s="2" t="s">
        <v>600</v>
      </c>
      <c r="G84" s="2"/>
      <c r="H84" s="2"/>
      <c r="I84" s="2"/>
      <c r="J84" s="2"/>
      <c r="K84" s="2"/>
      <c r="L84" s="2"/>
      <c r="M84" s="2"/>
      <c r="N84" s="2"/>
      <c r="O84" s="2"/>
      <c r="P84" s="2"/>
    </row>
    <row r="85" spans="1:16" ht="21" customHeight="1">
      <c r="A85" s="2" t="s">
        <v>518</v>
      </c>
      <c r="B85" s="2" t="s">
        <v>599</v>
      </c>
      <c r="C85" s="2"/>
      <c r="D85" s="164"/>
      <c r="E85" s="2"/>
      <c r="F85" s="2" t="s">
        <v>600</v>
      </c>
      <c r="G85" s="2"/>
      <c r="H85" s="2"/>
      <c r="I85" s="2"/>
      <c r="J85" s="2"/>
      <c r="K85" s="2"/>
      <c r="L85" s="2"/>
      <c r="M85" s="2"/>
      <c r="N85" s="2"/>
      <c r="O85" s="2"/>
      <c r="P85" s="2"/>
    </row>
    <row r="86" spans="1:16" ht="21" customHeight="1">
      <c r="A86" s="2" t="s">
        <v>520</v>
      </c>
      <c r="B86" s="2" t="s">
        <v>599</v>
      </c>
      <c r="C86" s="2"/>
      <c r="D86" s="164"/>
      <c r="E86" s="2"/>
      <c r="F86" s="2" t="s">
        <v>600</v>
      </c>
      <c r="G86" s="2"/>
      <c r="H86" s="2"/>
      <c r="I86" s="2"/>
      <c r="J86" s="2"/>
      <c r="K86" s="2"/>
      <c r="L86" s="2"/>
      <c r="M86" s="2"/>
      <c r="N86" s="2"/>
      <c r="O86" s="2"/>
      <c r="P86" s="2"/>
    </row>
    <row r="87" spans="1:16" ht="21" customHeight="1">
      <c r="A87" s="2" t="s">
        <v>522</v>
      </c>
      <c r="B87" s="2" t="s">
        <v>599</v>
      </c>
      <c r="C87" s="2"/>
      <c r="D87" s="164"/>
      <c r="E87" s="2"/>
      <c r="F87" s="2" t="s">
        <v>600</v>
      </c>
      <c r="G87" s="2"/>
      <c r="H87" s="2"/>
      <c r="I87" s="2"/>
      <c r="J87" s="2"/>
      <c r="K87" s="2"/>
      <c r="L87" s="2"/>
      <c r="M87" s="2"/>
      <c r="N87" s="2"/>
      <c r="O87" s="2"/>
      <c r="P87" s="2"/>
    </row>
    <row r="88" spans="1:16" ht="21" customHeight="1">
      <c r="A88" s="2" t="s">
        <v>86</v>
      </c>
      <c r="B88" s="2" t="s">
        <v>979</v>
      </c>
      <c r="C88" s="2"/>
      <c r="D88" s="2"/>
      <c r="E88" s="2" t="s">
        <v>878</v>
      </c>
      <c r="F88" s="2" t="s">
        <v>608</v>
      </c>
      <c r="G88" s="2"/>
      <c r="H88" s="2"/>
      <c r="I88" s="2"/>
      <c r="J88" s="2"/>
      <c r="K88" s="2"/>
      <c r="L88" s="2"/>
      <c r="M88" s="2"/>
      <c r="N88" s="2"/>
      <c r="O88" s="2"/>
      <c r="P88" s="2"/>
    </row>
    <row r="89" spans="1:16" ht="21" customHeight="1">
      <c r="A89" s="2" t="s">
        <v>609</v>
      </c>
      <c r="B89" s="2" t="s">
        <v>225</v>
      </c>
      <c r="C89" s="2"/>
      <c r="D89" s="2"/>
      <c r="E89" s="2" t="s">
        <v>878</v>
      </c>
      <c r="F89" s="2" t="s">
        <v>608</v>
      </c>
      <c r="G89" s="2"/>
      <c r="H89" s="2"/>
      <c r="I89" s="2"/>
      <c r="J89" s="2"/>
      <c r="K89" s="2"/>
      <c r="L89" s="2"/>
      <c r="M89" s="2"/>
      <c r="N89" s="2"/>
      <c r="O89" s="2"/>
      <c r="P89" s="2"/>
    </row>
    <row r="90" spans="1:16" ht="21" customHeight="1">
      <c r="A90" s="2" t="s">
        <v>556</v>
      </c>
      <c r="B90" s="13">
        <v>46307.769432870373</v>
      </c>
      <c r="C90" s="2" t="s">
        <v>892</v>
      </c>
      <c r="D90" s="2"/>
      <c r="E90" s="2" t="s">
        <v>893</v>
      </c>
      <c r="F90" s="2" t="s">
        <v>611</v>
      </c>
      <c r="G90" s="2"/>
      <c r="H90" s="2"/>
      <c r="I90" s="2"/>
      <c r="J90" s="2"/>
      <c r="K90" s="2"/>
      <c r="L90" s="2"/>
      <c r="M90" s="2"/>
      <c r="N90" s="2"/>
      <c r="O90" s="2"/>
      <c r="P90" s="2"/>
    </row>
    <row r="91" spans="1:16" ht="21" customHeight="1">
      <c r="A91" s="2" t="s">
        <v>612</v>
      </c>
      <c r="B91" s="164">
        <v>46265</v>
      </c>
      <c r="C91" s="2"/>
      <c r="D91" s="164">
        <v>46265</v>
      </c>
      <c r="E91" s="2" t="s">
        <v>227</v>
      </c>
      <c r="F91" s="2" t="s">
        <v>557</v>
      </c>
      <c r="G91" s="2"/>
      <c r="H91" s="2"/>
      <c r="I91" s="2"/>
      <c r="J91" s="2"/>
      <c r="K91" s="2"/>
      <c r="L91" s="2"/>
      <c r="M91" s="2"/>
      <c r="N91" s="2"/>
      <c r="O91" s="2"/>
      <c r="P91" s="2"/>
    </row>
    <row r="92" spans="1:16" ht="21" customHeight="1">
      <c r="A92" s="2" t="s">
        <v>613</v>
      </c>
      <c r="B92" s="164">
        <v>46295</v>
      </c>
      <c r="C92" s="2"/>
      <c r="D92" s="164">
        <v>46295</v>
      </c>
      <c r="E92" s="2" t="s">
        <v>232</v>
      </c>
      <c r="F92" s="2" t="s">
        <v>557</v>
      </c>
      <c r="G92" s="2"/>
      <c r="H92" s="2"/>
      <c r="I92" s="2"/>
      <c r="J92" s="2"/>
      <c r="K92" s="2"/>
      <c r="L92" s="2"/>
      <c r="M92" s="2"/>
      <c r="N92" s="2"/>
      <c r="O92" s="2"/>
      <c r="P92" s="2"/>
    </row>
    <row r="93" spans="1:16" ht="21" customHeight="1">
      <c r="A93" s="2" t="s">
        <v>614</v>
      </c>
      <c r="B93" s="2" t="s">
        <v>599</v>
      </c>
      <c r="C93" s="2"/>
      <c r="D93" s="2"/>
      <c r="E93" s="2"/>
      <c r="F93" s="2" t="s">
        <v>600</v>
      </c>
      <c r="G93" s="2"/>
      <c r="H93" s="2"/>
      <c r="I93" s="2"/>
      <c r="J93" s="2"/>
      <c r="K93" s="2"/>
      <c r="L93" s="2"/>
      <c r="M93" s="2"/>
      <c r="N93" s="2"/>
      <c r="O93" s="2"/>
      <c r="P93" s="2"/>
    </row>
    <row r="94" spans="1:16" ht="21" customHeight="1">
      <c r="A94" s="2" t="s">
        <v>615</v>
      </c>
      <c r="B94" s="164">
        <v>46295</v>
      </c>
      <c r="C94" s="2"/>
      <c r="D94" s="164">
        <v>46295</v>
      </c>
      <c r="E94" s="2" t="s">
        <v>221</v>
      </c>
      <c r="F94" s="2" t="s">
        <v>557</v>
      </c>
      <c r="G94" s="2"/>
      <c r="H94" s="2"/>
      <c r="I94" s="2"/>
      <c r="J94" s="2"/>
      <c r="K94" s="2"/>
      <c r="L94" s="2"/>
      <c r="M94" s="2"/>
      <c r="N94" s="2"/>
      <c r="O94" s="2"/>
      <c r="P94" s="2"/>
    </row>
    <row r="95" spans="1:16" ht="21" customHeight="1">
      <c r="A95" s="2" t="s">
        <v>616</v>
      </c>
      <c r="B95" s="2" t="s">
        <v>1030</v>
      </c>
      <c r="C95" s="2"/>
      <c r="D95" s="2"/>
      <c r="E95" s="2" t="s">
        <v>889</v>
      </c>
      <c r="F95" s="2" t="s">
        <v>618</v>
      </c>
      <c r="G95" s="2"/>
      <c r="H95" s="2"/>
      <c r="I95" s="2"/>
      <c r="J95" s="2"/>
      <c r="K95" s="2"/>
      <c r="L95" s="2"/>
      <c r="M95" s="2"/>
      <c r="N95" s="2"/>
      <c r="O95" s="2"/>
      <c r="P95" s="2"/>
    </row>
    <row r="96" spans="1:16" ht="21" customHeight="1">
      <c r="A96" s="2" t="s">
        <v>619</v>
      </c>
      <c r="B96" s="2" t="s">
        <v>620</v>
      </c>
      <c r="C96" s="2"/>
      <c r="D96" s="2"/>
      <c r="E96" s="2" t="s">
        <v>890</v>
      </c>
      <c r="F96" s="2" t="s">
        <v>621</v>
      </c>
      <c r="G96" s="2"/>
      <c r="H96" s="2"/>
      <c r="I96" s="2"/>
      <c r="J96" s="2"/>
      <c r="K96" s="2"/>
      <c r="L96" s="2"/>
      <c r="M96" s="2"/>
      <c r="N96" s="2"/>
      <c r="O96" s="2"/>
      <c r="P96" s="2"/>
    </row>
    <row r="97" spans="1:16" ht="21" customHeight="1">
      <c r="A97" s="2" t="s">
        <v>622</v>
      </c>
      <c r="B97" s="2" t="s">
        <v>860</v>
      </c>
      <c r="C97" s="2"/>
      <c r="D97" s="2"/>
      <c r="E97" s="2" t="s">
        <v>891</v>
      </c>
      <c r="F97" s="2" t="s">
        <v>617</v>
      </c>
      <c r="G97" s="2"/>
      <c r="H97" s="2"/>
      <c r="I97" s="2"/>
      <c r="J97" s="2"/>
      <c r="K97" s="2"/>
      <c r="L97" s="2"/>
      <c r="M97" s="2"/>
      <c r="N97" s="2"/>
      <c r="O97" s="2"/>
      <c r="P97" s="2"/>
    </row>
    <row r="98" spans="1:16" ht="21" customHeight="1">
      <c r="A98" s="2" t="s">
        <v>624</v>
      </c>
      <c r="B98" s="2" t="s">
        <v>599</v>
      </c>
      <c r="C98" s="2"/>
      <c r="D98" s="2"/>
      <c r="E98" s="2"/>
      <c r="F98" s="2" t="s">
        <v>600</v>
      </c>
      <c r="G98" s="2"/>
      <c r="H98" s="2"/>
      <c r="I98" s="2"/>
      <c r="J98" s="2"/>
      <c r="K98" s="2"/>
      <c r="L98" s="2"/>
      <c r="M98" s="2"/>
      <c r="N98" s="2"/>
      <c r="O98" s="2"/>
      <c r="P98" s="2"/>
    </row>
    <row r="99" spans="1:16" ht="21" customHeight="1">
      <c r="A99" s="2" t="s">
        <v>625</v>
      </c>
      <c r="B99" s="2" t="s">
        <v>599</v>
      </c>
      <c r="C99" s="2"/>
      <c r="D99" s="2"/>
      <c r="E99" s="2"/>
      <c r="F99" s="2" t="s">
        <v>600</v>
      </c>
      <c r="G99" s="2"/>
      <c r="H99" s="2"/>
      <c r="I99" s="2"/>
      <c r="J99" s="2"/>
      <c r="K99" s="2"/>
      <c r="L99" s="2"/>
      <c r="M99" s="2"/>
      <c r="N99" s="2"/>
      <c r="O99" s="2"/>
      <c r="P99" s="2"/>
    </row>
    <row r="100" spans="1:16" ht="21" customHeight="1">
      <c r="A100" s="2" t="s">
        <v>626</v>
      </c>
      <c r="B100" s="2" t="s">
        <v>599</v>
      </c>
      <c r="C100" s="2"/>
      <c r="D100" s="2"/>
      <c r="E100" s="2"/>
      <c r="F100" s="2" t="s">
        <v>600</v>
      </c>
      <c r="G100" s="2"/>
      <c r="H100" s="2"/>
      <c r="I100" s="2"/>
      <c r="J100" s="2"/>
      <c r="K100" s="2"/>
      <c r="L100" s="2"/>
      <c r="M100" s="2"/>
      <c r="N100" s="2"/>
      <c r="O100" s="2"/>
      <c r="P100" s="2"/>
    </row>
    <row r="101" spans="1:16" ht="21" customHeight="1">
      <c r="A101" s="2" t="s">
        <v>627</v>
      </c>
      <c r="B101" s="2" t="s">
        <v>628</v>
      </c>
      <c r="C101" s="2"/>
      <c r="D101" s="2"/>
      <c r="E101" s="2" t="s">
        <v>629</v>
      </c>
      <c r="F101" s="2" t="s">
        <v>630</v>
      </c>
      <c r="G101" s="2"/>
      <c r="H101" s="2"/>
      <c r="I101" s="2"/>
      <c r="J101" s="2"/>
      <c r="K101" s="2"/>
      <c r="L101" s="2"/>
      <c r="M101" s="2"/>
      <c r="N101" s="2"/>
      <c r="O101" s="2"/>
      <c r="P101" s="2"/>
    </row>
    <row r="102" spans="1:16" ht="21" customHeight="1">
      <c r="A102" s="2" t="s">
        <v>631</v>
      </c>
      <c r="B102" s="2" t="s">
        <v>628</v>
      </c>
      <c r="C102" s="2"/>
      <c r="D102" s="2"/>
      <c r="E102" s="2" t="s">
        <v>629</v>
      </c>
      <c r="F102" s="2" t="s">
        <v>630</v>
      </c>
      <c r="G102" s="2"/>
      <c r="H102" s="2"/>
      <c r="I102" s="2"/>
      <c r="J102" s="2"/>
      <c r="K102" s="2"/>
      <c r="L102" s="2"/>
      <c r="M102" s="2"/>
      <c r="N102" s="2"/>
      <c r="O102" s="2"/>
      <c r="P102" s="2"/>
    </row>
    <row r="103" spans="1:16" ht="21" customHeight="1">
      <c r="A103" s="2" t="s">
        <v>632</v>
      </c>
      <c r="B103" s="2" t="s">
        <v>557</v>
      </c>
      <c r="C103" s="2" t="s">
        <v>880</v>
      </c>
      <c r="D103" s="162">
        <v>45810.757372685184</v>
      </c>
      <c r="E103" s="2" t="s">
        <v>589</v>
      </c>
      <c r="F103" s="2" t="s">
        <v>566</v>
      </c>
      <c r="G103" s="2"/>
      <c r="H103" s="2"/>
      <c r="I103" s="2"/>
      <c r="J103" s="2"/>
      <c r="K103" s="2"/>
      <c r="L103" s="2"/>
      <c r="M103" s="2"/>
      <c r="N103" s="2"/>
      <c r="O103" s="2"/>
      <c r="P103" s="2"/>
    </row>
    <row r="104" spans="1:16" ht="21" customHeight="1">
      <c r="A104" s="2" t="s">
        <v>633</v>
      </c>
      <c r="B104" s="2" t="s">
        <v>979</v>
      </c>
      <c r="C104" s="2"/>
      <c r="D104" s="2"/>
      <c r="E104" s="2" t="s">
        <v>589</v>
      </c>
      <c r="F104" s="2" t="s">
        <v>879</v>
      </c>
      <c r="G104" s="2"/>
      <c r="H104" s="2"/>
      <c r="I104" s="2"/>
      <c r="J104" s="2"/>
      <c r="K104" s="2"/>
      <c r="L104" s="2"/>
      <c r="M104" s="2"/>
      <c r="N104" s="2"/>
      <c r="O104" s="2"/>
      <c r="P104" s="2"/>
    </row>
    <row r="105" spans="1:16" ht="21" customHeight="1">
      <c r="A105" s="2" t="s">
        <v>634</v>
      </c>
      <c r="B105" s="2" t="s">
        <v>847</v>
      </c>
      <c r="C105" s="2" t="s">
        <v>880</v>
      </c>
      <c r="D105" s="2"/>
      <c r="E105" s="2" t="s">
        <v>589</v>
      </c>
      <c r="F105" s="2" t="s">
        <v>557</v>
      </c>
      <c r="G105" s="2"/>
      <c r="H105" s="2"/>
      <c r="I105" s="2"/>
      <c r="J105" s="2"/>
      <c r="K105" s="2"/>
      <c r="L105" s="2"/>
      <c r="M105" s="2"/>
      <c r="N105" s="2"/>
      <c r="O105" s="2"/>
      <c r="P105" s="2"/>
    </row>
    <row r="106" spans="1:16" ht="21" customHeight="1">
      <c r="A106" s="2" t="s">
        <v>636</v>
      </c>
      <c r="B106" s="162">
        <v>45810.757372685184</v>
      </c>
      <c r="C106" s="2" t="s">
        <v>610</v>
      </c>
      <c r="D106" s="162">
        <v>45810.757372685184</v>
      </c>
      <c r="E106" s="2" t="s">
        <v>589</v>
      </c>
      <c r="F106" s="2" t="s">
        <v>557</v>
      </c>
      <c r="G106" s="2"/>
      <c r="H106" s="2"/>
      <c r="I106" s="2"/>
      <c r="J106" s="2"/>
      <c r="K106" s="2"/>
      <c r="L106" s="2"/>
      <c r="M106" s="2"/>
      <c r="N106" s="2"/>
      <c r="O106" s="2"/>
      <c r="P106" s="2"/>
    </row>
    <row r="107" spans="1:16" ht="21" customHeight="1">
      <c r="A107" s="2" t="s">
        <v>637</v>
      </c>
      <c r="B107" s="2" t="s">
        <v>589</v>
      </c>
      <c r="C107" s="2"/>
      <c r="D107" s="2"/>
      <c r="E107" s="2" t="s">
        <v>638</v>
      </c>
      <c r="F107" s="2" t="s">
        <v>611</v>
      </c>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P600"/>
  <sheetViews>
    <sheetView showGridLines="0" workbookViewId="0">
      <pane ySplit="1" topLeftCell="A2" activePane="bottomLeft" state="frozen"/>
      <selection pane="bottomLeft"/>
    </sheetView>
  </sheetViews>
  <sheetFormatPr defaultRowHeight="14.25"/>
  <cols>
    <col min="1" max="1" width="20" customWidth="1"/>
    <col min="2" max="2" width="55" customWidth="1"/>
    <col min="3" max="7" width="20" customWidth="1"/>
  </cols>
  <sheetData>
    <row r="1" spans="1:16" ht="21" customHeight="1">
      <c r="A1" s="6" t="s">
        <v>86</v>
      </c>
      <c r="B1" s="6" t="s">
        <v>530</v>
      </c>
      <c r="C1" s="6" t="s">
        <v>88</v>
      </c>
      <c r="D1" s="6" t="s">
        <v>527</v>
      </c>
      <c r="E1" s="6" t="s">
        <v>128</v>
      </c>
      <c r="F1" s="2"/>
      <c r="G1" s="2"/>
      <c r="H1" s="2"/>
      <c r="I1" s="2"/>
      <c r="J1" s="2"/>
      <c r="K1" s="2"/>
      <c r="L1" s="2"/>
      <c r="M1" s="2"/>
      <c r="N1" s="2"/>
      <c r="O1" s="2"/>
      <c r="P1" s="2"/>
    </row>
    <row r="2" spans="1:16" ht="21" customHeight="1">
      <c r="A2" s="2" t="s">
        <v>639</v>
      </c>
      <c r="B2" s="2" t="s">
        <v>848</v>
      </c>
      <c r="C2" s="7">
        <v>7.46E-2</v>
      </c>
      <c r="D2" s="164">
        <v>46265</v>
      </c>
      <c r="E2" s="2" t="s">
        <v>227</v>
      </c>
      <c r="F2" s="2"/>
      <c r="G2" s="2"/>
      <c r="H2" s="2"/>
      <c r="I2" s="2"/>
      <c r="J2" s="2"/>
      <c r="K2" s="2"/>
      <c r="L2" s="2"/>
      <c r="M2" s="2"/>
      <c r="N2" s="2"/>
      <c r="O2" s="2"/>
      <c r="P2" s="2"/>
    </row>
    <row r="3" spans="1:16" ht="21" customHeight="1">
      <c r="A3" s="2" t="s">
        <v>643</v>
      </c>
      <c r="B3" s="2" t="s">
        <v>853</v>
      </c>
      <c r="C3" s="7">
        <v>6.5000000000000002E-2</v>
      </c>
      <c r="D3" s="164">
        <v>46265</v>
      </c>
      <c r="E3" s="2" t="s">
        <v>227</v>
      </c>
      <c r="F3" s="2"/>
      <c r="G3" s="2"/>
      <c r="H3" s="2"/>
      <c r="I3" s="2"/>
      <c r="J3" s="2"/>
      <c r="K3" s="2"/>
      <c r="L3" s="2"/>
      <c r="M3" s="2"/>
      <c r="N3" s="2"/>
      <c r="O3" s="2"/>
      <c r="P3" s="2"/>
    </row>
    <row r="4" spans="1:16" ht="21" customHeight="1">
      <c r="A4" s="2" t="s">
        <v>648</v>
      </c>
      <c r="B4" s="2" t="s">
        <v>1018</v>
      </c>
      <c r="C4" s="7">
        <v>5.2600000000000001E-2</v>
      </c>
      <c r="D4" s="164">
        <v>46265</v>
      </c>
      <c r="E4" s="2" t="s">
        <v>227</v>
      </c>
      <c r="F4" s="2"/>
      <c r="G4" s="2"/>
      <c r="H4" s="2"/>
      <c r="I4" s="2"/>
      <c r="J4" s="2"/>
      <c r="K4" s="2"/>
      <c r="L4" s="2"/>
      <c r="M4" s="2"/>
      <c r="N4" s="2"/>
      <c r="O4" s="2"/>
      <c r="P4" s="2"/>
    </row>
    <row r="5" spans="1:16" ht="21" customHeight="1">
      <c r="A5" s="2" t="s">
        <v>651</v>
      </c>
      <c r="B5" s="2" t="s">
        <v>856</v>
      </c>
      <c r="C5" s="7">
        <v>3.5499999999999997E-2</v>
      </c>
      <c r="D5" s="164">
        <v>46265</v>
      </c>
      <c r="E5" s="2" t="s">
        <v>227</v>
      </c>
      <c r="F5" s="2"/>
      <c r="G5" s="2"/>
      <c r="H5" s="2"/>
      <c r="I5" s="2"/>
      <c r="J5" s="2"/>
      <c r="K5" s="2"/>
      <c r="L5" s="2"/>
      <c r="M5" s="2"/>
      <c r="N5" s="2"/>
      <c r="O5" s="2"/>
      <c r="P5" s="2"/>
    </row>
    <row r="6" spans="1:16" ht="21" customHeight="1">
      <c r="A6" s="2" t="s">
        <v>654</v>
      </c>
      <c r="B6" s="2" t="s">
        <v>1019</v>
      </c>
      <c r="C6" s="7">
        <v>2.7799999999999998E-2</v>
      </c>
      <c r="D6" s="164">
        <v>46265</v>
      </c>
      <c r="E6" s="2" t="s">
        <v>227</v>
      </c>
      <c r="F6" s="2"/>
      <c r="G6" s="2"/>
      <c r="H6" s="2"/>
      <c r="I6" s="2"/>
      <c r="J6" s="2"/>
      <c r="K6" s="2"/>
      <c r="L6" s="2"/>
      <c r="M6" s="2"/>
      <c r="N6" s="2"/>
      <c r="O6" s="2"/>
      <c r="P6" s="2"/>
    </row>
    <row r="7" spans="1:16" ht="21" customHeight="1">
      <c r="A7" s="2" t="s">
        <v>657</v>
      </c>
      <c r="B7" s="2" t="s">
        <v>658</v>
      </c>
      <c r="C7" s="7">
        <v>2.4500000000000001E-2</v>
      </c>
      <c r="D7" s="164">
        <v>46265</v>
      </c>
      <c r="E7" s="2" t="s">
        <v>227</v>
      </c>
      <c r="F7" s="2"/>
      <c r="G7" s="2"/>
      <c r="H7" s="2"/>
      <c r="I7" s="2"/>
      <c r="J7" s="2"/>
      <c r="K7" s="2"/>
      <c r="L7" s="2"/>
      <c r="M7" s="2"/>
      <c r="N7" s="2"/>
      <c r="O7" s="2"/>
      <c r="P7" s="2"/>
    </row>
    <row r="8" spans="1:16" ht="21" customHeight="1">
      <c r="A8" s="2" t="s">
        <v>660</v>
      </c>
      <c r="B8" s="2" t="s">
        <v>1020</v>
      </c>
      <c r="C8" s="7">
        <v>2.2099999999999998E-2</v>
      </c>
      <c r="D8" s="164">
        <v>46265</v>
      </c>
      <c r="E8" s="2" t="s">
        <v>227</v>
      </c>
      <c r="F8" s="2"/>
      <c r="G8" s="2"/>
      <c r="H8" s="2"/>
      <c r="I8" s="2"/>
      <c r="J8" s="2"/>
      <c r="K8" s="2"/>
      <c r="L8" s="2"/>
      <c r="M8" s="2"/>
      <c r="N8" s="2"/>
      <c r="O8" s="2"/>
      <c r="P8" s="2"/>
    </row>
    <row r="9" spans="1:16" ht="21" customHeight="1">
      <c r="A9" s="2" t="s">
        <v>662</v>
      </c>
      <c r="B9" s="2" t="s">
        <v>1021</v>
      </c>
      <c r="C9" s="7">
        <v>1.7500000000000002E-2</v>
      </c>
      <c r="D9" s="164">
        <v>46265</v>
      </c>
      <c r="E9" s="2" t="s">
        <v>227</v>
      </c>
      <c r="F9" s="2"/>
      <c r="G9" s="2"/>
      <c r="H9" s="2"/>
      <c r="I9" s="2"/>
      <c r="J9" s="2"/>
      <c r="K9" s="2"/>
      <c r="L9" s="2"/>
      <c r="M9" s="2"/>
      <c r="N9" s="2"/>
      <c r="O9" s="2"/>
      <c r="P9" s="2"/>
    </row>
    <row r="10" spans="1:16" ht="21" customHeight="1">
      <c r="A10" s="2" t="s">
        <v>665</v>
      </c>
      <c r="B10" s="2" t="s">
        <v>1022</v>
      </c>
      <c r="C10" s="7">
        <v>1.5100000000000001E-2</v>
      </c>
      <c r="D10" s="164">
        <v>46265</v>
      </c>
      <c r="E10" s="2" t="s">
        <v>227</v>
      </c>
      <c r="F10" s="2"/>
      <c r="G10" s="2"/>
      <c r="H10" s="2"/>
      <c r="I10" s="2"/>
      <c r="J10" s="2"/>
      <c r="K10" s="2"/>
      <c r="L10" s="2"/>
      <c r="M10" s="2"/>
      <c r="N10" s="2"/>
      <c r="O10" s="2"/>
      <c r="P10" s="2"/>
    </row>
    <row r="11" spans="1:16" ht="21" customHeight="1">
      <c r="A11" s="2" t="s">
        <v>667</v>
      </c>
      <c r="B11" s="2" t="s">
        <v>668</v>
      </c>
      <c r="C11" s="7">
        <v>1.4499999999999999E-2</v>
      </c>
      <c r="D11" s="164">
        <v>46265</v>
      </c>
      <c r="E11" s="2" t="s">
        <v>227</v>
      </c>
      <c r="F11" s="2"/>
      <c r="G11" s="2"/>
      <c r="H11" s="2"/>
      <c r="I11" s="2"/>
      <c r="J11" s="2"/>
      <c r="K11" s="2"/>
      <c r="L11" s="2"/>
      <c r="M11" s="2"/>
      <c r="N11" s="2"/>
      <c r="O11" s="2"/>
      <c r="P11" s="2"/>
    </row>
    <row r="12" spans="1:16" ht="21" customHeight="1">
      <c r="A12" s="2"/>
      <c r="B12" s="2"/>
      <c r="C12" s="7"/>
      <c r="D12" s="164"/>
      <c r="E12" s="2"/>
      <c r="F12" s="2"/>
      <c r="G12" s="2"/>
      <c r="H12" s="2"/>
      <c r="I12" s="2"/>
      <c r="J12" s="2"/>
      <c r="K12" s="2"/>
      <c r="L12" s="2"/>
      <c r="M12" s="2"/>
      <c r="N12" s="2"/>
      <c r="O12" s="2"/>
      <c r="P12" s="2"/>
    </row>
    <row r="13" spans="1:16" ht="21" customHeight="1">
      <c r="A13" s="2"/>
      <c r="B13" s="2"/>
      <c r="C13" s="7"/>
      <c r="D13" s="164"/>
      <c r="E13" s="2"/>
      <c r="F13" s="2"/>
      <c r="G13" s="2"/>
      <c r="H13" s="2"/>
      <c r="I13" s="2"/>
      <c r="J13" s="2"/>
      <c r="K13" s="2"/>
      <c r="L13" s="2"/>
      <c r="M13" s="2"/>
      <c r="N13" s="2"/>
      <c r="O13" s="2"/>
      <c r="P13" s="2"/>
    </row>
    <row r="14" spans="1:16" ht="21" customHeight="1">
      <c r="A14" s="2"/>
      <c r="B14" s="2"/>
      <c r="C14" s="7"/>
      <c r="D14" s="164"/>
      <c r="E14" s="2"/>
      <c r="F14" s="2"/>
      <c r="G14" s="2"/>
      <c r="H14" s="2"/>
      <c r="I14" s="2"/>
      <c r="J14" s="2"/>
      <c r="K14" s="2"/>
      <c r="L14" s="2"/>
      <c r="M14" s="2"/>
      <c r="N14" s="2"/>
      <c r="O14" s="2"/>
      <c r="P14" s="2"/>
    </row>
    <row r="15" spans="1:16" ht="21" customHeight="1">
      <c r="A15" s="2"/>
      <c r="B15" s="2"/>
      <c r="C15" s="7"/>
      <c r="D15" s="164"/>
      <c r="E15" s="2"/>
      <c r="F15" s="2"/>
      <c r="G15" s="2"/>
      <c r="H15" s="2"/>
      <c r="I15" s="2"/>
      <c r="J15" s="2"/>
      <c r="K15" s="2"/>
      <c r="L15" s="2"/>
      <c r="M15" s="2"/>
      <c r="N15" s="2"/>
      <c r="O15" s="2"/>
      <c r="P15" s="2"/>
    </row>
    <row r="16" spans="1:16" ht="21" customHeight="1">
      <c r="A16" s="2"/>
      <c r="B16" s="2"/>
      <c r="C16" s="7"/>
      <c r="D16" s="164"/>
      <c r="E16" s="2"/>
      <c r="F16" s="2"/>
      <c r="G16" s="2"/>
      <c r="H16" s="2"/>
      <c r="I16" s="2"/>
      <c r="J16" s="2"/>
      <c r="K16" s="2"/>
      <c r="L16" s="2"/>
      <c r="M16" s="2"/>
      <c r="N16" s="2"/>
      <c r="O16" s="2"/>
      <c r="P16" s="2"/>
    </row>
    <row r="17" spans="1:16" ht="21" customHeight="1">
      <c r="A17" s="2"/>
      <c r="B17" s="2"/>
      <c r="C17" s="7"/>
      <c r="D17" s="164"/>
      <c r="E17" s="2"/>
      <c r="F17" s="2"/>
      <c r="G17" s="2"/>
      <c r="H17" s="2"/>
      <c r="I17" s="2"/>
      <c r="J17" s="2"/>
      <c r="K17" s="2"/>
      <c r="L17" s="2"/>
      <c r="M17" s="2"/>
      <c r="N17" s="2"/>
      <c r="O17" s="2"/>
      <c r="P17" s="2"/>
    </row>
    <row r="18" spans="1:16" ht="21" customHeight="1">
      <c r="A18" s="2"/>
      <c r="B18" s="2"/>
      <c r="C18" s="7"/>
      <c r="D18" s="164"/>
      <c r="E18" s="2"/>
      <c r="F18" s="2"/>
      <c r="G18" s="2"/>
      <c r="H18" s="2"/>
      <c r="I18" s="2"/>
      <c r="J18" s="2"/>
      <c r="K18" s="2"/>
      <c r="L18" s="2"/>
      <c r="M18" s="2"/>
      <c r="N18" s="2"/>
      <c r="O18" s="2"/>
      <c r="P18" s="2"/>
    </row>
    <row r="19" spans="1:16" ht="21" customHeight="1">
      <c r="A19" s="2"/>
      <c r="B19" s="2"/>
      <c r="C19" s="7"/>
      <c r="D19" s="164"/>
      <c r="E19" s="2"/>
      <c r="F19" s="2"/>
      <c r="G19" s="2"/>
      <c r="H19" s="2"/>
      <c r="I19" s="2"/>
      <c r="J19" s="2"/>
      <c r="K19" s="2"/>
      <c r="L19" s="2"/>
      <c r="M19" s="2"/>
      <c r="N19" s="2"/>
      <c r="O19" s="2"/>
      <c r="P19" s="2"/>
    </row>
    <row r="20" spans="1:16" ht="21" customHeight="1">
      <c r="A20" s="2"/>
      <c r="B20" s="2"/>
      <c r="C20" s="7"/>
      <c r="D20" s="164"/>
      <c r="E20" s="2"/>
      <c r="F20" s="2"/>
      <c r="G20" s="2"/>
      <c r="H20" s="2"/>
      <c r="I20" s="2"/>
      <c r="J20" s="2"/>
      <c r="K20" s="2"/>
      <c r="L20" s="2"/>
      <c r="M20" s="2"/>
      <c r="N20" s="2"/>
      <c r="O20" s="2"/>
      <c r="P20" s="2"/>
    </row>
    <row r="21" spans="1:16" ht="21" customHeight="1">
      <c r="A21" s="2"/>
      <c r="B21" s="2"/>
      <c r="C21" s="7"/>
      <c r="D21" s="164"/>
      <c r="E21" s="2"/>
      <c r="F21" s="2"/>
      <c r="G21" s="2"/>
      <c r="H21" s="2"/>
      <c r="I21" s="2"/>
      <c r="J21" s="2"/>
      <c r="K21" s="2"/>
      <c r="L21" s="2"/>
      <c r="M21" s="2"/>
      <c r="N21" s="2"/>
      <c r="O21" s="2"/>
      <c r="P21" s="2"/>
    </row>
    <row r="22" spans="1:16" ht="21" customHeight="1">
      <c r="A22" s="2"/>
      <c r="B22" s="2"/>
      <c r="C22" s="7"/>
      <c r="D22" s="164"/>
      <c r="E22" s="2"/>
      <c r="F22" s="2"/>
      <c r="G22" s="2"/>
      <c r="H22" s="2"/>
      <c r="I22" s="2"/>
      <c r="J22" s="2"/>
      <c r="K22" s="2"/>
      <c r="L22" s="2"/>
      <c r="M22" s="2"/>
      <c r="N22" s="2"/>
      <c r="O22" s="2"/>
      <c r="P22" s="2"/>
    </row>
    <row r="23" spans="1:16" ht="21" customHeight="1">
      <c r="A23" s="2"/>
      <c r="B23" s="2"/>
      <c r="C23" s="7"/>
      <c r="D23" s="164"/>
      <c r="E23" s="2"/>
      <c r="F23" s="2"/>
      <c r="G23" s="2"/>
      <c r="H23" s="2"/>
      <c r="I23" s="2"/>
      <c r="J23" s="2"/>
      <c r="K23" s="2"/>
      <c r="L23" s="2"/>
      <c r="M23" s="2"/>
      <c r="N23" s="2"/>
      <c r="O23" s="2"/>
      <c r="P23" s="2"/>
    </row>
    <row r="24" spans="1:16" ht="21" customHeight="1">
      <c r="A24" s="2"/>
      <c r="B24" s="2"/>
      <c r="C24" s="7"/>
      <c r="D24" s="164"/>
      <c r="E24" s="2"/>
      <c r="F24" s="2"/>
      <c r="G24" s="2"/>
      <c r="H24" s="2"/>
      <c r="I24" s="2"/>
      <c r="J24" s="2"/>
      <c r="K24" s="2"/>
      <c r="L24" s="2"/>
      <c r="M24" s="2"/>
      <c r="N24" s="2"/>
      <c r="O24" s="2"/>
      <c r="P24" s="2"/>
    </row>
    <row r="25" spans="1:16" ht="21" customHeight="1">
      <c r="A25" s="2"/>
      <c r="B25" s="2"/>
      <c r="C25" s="7"/>
      <c r="D25" s="164"/>
      <c r="E25" s="2"/>
      <c r="F25" s="2"/>
      <c r="G25" s="2"/>
      <c r="H25" s="2"/>
      <c r="I25" s="2"/>
      <c r="J25" s="2"/>
      <c r="K25" s="2"/>
      <c r="L25" s="2"/>
      <c r="M25" s="2"/>
      <c r="N25" s="2"/>
      <c r="O25" s="2"/>
      <c r="P25" s="2"/>
    </row>
    <row r="26" spans="1:16" ht="21" customHeight="1">
      <c r="A26" s="2"/>
      <c r="B26" s="2"/>
      <c r="C26" s="7"/>
      <c r="D26" s="164"/>
      <c r="E26" s="2"/>
      <c r="F26" s="2"/>
      <c r="G26" s="2"/>
      <c r="H26" s="2"/>
      <c r="I26" s="2"/>
      <c r="J26" s="2"/>
      <c r="K26" s="2"/>
      <c r="L26" s="2"/>
      <c r="M26" s="2"/>
      <c r="N26" s="2"/>
      <c r="O26" s="2"/>
      <c r="P26" s="2"/>
    </row>
    <row r="27" spans="1:16" ht="21" customHeight="1">
      <c r="A27" s="2"/>
      <c r="B27" s="2"/>
      <c r="C27" s="7"/>
      <c r="D27" s="164"/>
      <c r="E27" s="2"/>
      <c r="F27" s="2"/>
      <c r="G27" s="2"/>
      <c r="H27" s="2"/>
      <c r="I27" s="2"/>
      <c r="J27" s="2"/>
      <c r="K27" s="2"/>
      <c r="L27" s="2"/>
      <c r="M27" s="2"/>
      <c r="N27" s="2"/>
      <c r="O27" s="2"/>
      <c r="P27" s="2"/>
    </row>
    <row r="28" spans="1:16" ht="21" customHeight="1">
      <c r="A28" s="2"/>
      <c r="B28" s="2"/>
      <c r="C28" s="7"/>
      <c r="D28" s="164"/>
      <c r="E28" s="2"/>
      <c r="F28" s="2"/>
      <c r="G28" s="2"/>
      <c r="H28" s="2"/>
      <c r="I28" s="2"/>
      <c r="J28" s="2"/>
      <c r="K28" s="2"/>
      <c r="L28" s="2"/>
      <c r="M28" s="2"/>
      <c r="N28" s="2"/>
      <c r="O28" s="2"/>
      <c r="P28" s="2"/>
    </row>
    <row r="29" spans="1:16" ht="21" customHeight="1">
      <c r="A29" s="2"/>
      <c r="B29" s="2"/>
      <c r="C29" s="7"/>
      <c r="D29" s="164"/>
      <c r="E29" s="2"/>
      <c r="F29" s="2"/>
      <c r="G29" s="2"/>
      <c r="H29" s="2"/>
      <c r="I29" s="2"/>
      <c r="J29" s="2"/>
      <c r="K29" s="2"/>
      <c r="L29" s="2"/>
      <c r="M29" s="2"/>
      <c r="N29" s="2"/>
      <c r="O29" s="2"/>
      <c r="P29" s="2"/>
    </row>
    <row r="30" spans="1:16" ht="21" customHeight="1">
      <c r="A30" s="2"/>
      <c r="B30" s="2"/>
      <c r="C30" s="7"/>
      <c r="D30" s="164"/>
      <c r="E30" s="2"/>
      <c r="F30" s="2"/>
      <c r="G30" s="2"/>
      <c r="H30" s="2"/>
      <c r="I30" s="2"/>
      <c r="J30" s="2"/>
      <c r="K30" s="2"/>
      <c r="L30" s="2"/>
      <c r="M30" s="2"/>
      <c r="N30" s="2"/>
      <c r="O30" s="2"/>
      <c r="P30" s="2"/>
    </row>
    <row r="31" spans="1:16" ht="21" customHeight="1">
      <c r="A31" s="2"/>
      <c r="B31" s="2"/>
      <c r="C31" s="7"/>
      <c r="D31" s="164"/>
      <c r="E31" s="2"/>
      <c r="F31" s="2"/>
      <c r="G31" s="2"/>
      <c r="H31" s="2"/>
      <c r="I31" s="2"/>
      <c r="J31" s="2"/>
      <c r="K31" s="2"/>
      <c r="L31" s="2"/>
      <c r="M31" s="2"/>
      <c r="N31" s="2"/>
      <c r="O31" s="2"/>
      <c r="P31" s="2"/>
    </row>
    <row r="32" spans="1:16" ht="21" customHeight="1">
      <c r="A32" s="2"/>
      <c r="B32" s="2"/>
      <c r="C32" s="7"/>
      <c r="D32" s="164"/>
      <c r="E32" s="2"/>
      <c r="F32" s="2"/>
      <c r="G32" s="2"/>
      <c r="H32" s="2"/>
      <c r="I32" s="2"/>
      <c r="J32" s="2"/>
      <c r="K32" s="2"/>
      <c r="L32" s="2"/>
      <c r="M32" s="2"/>
      <c r="N32" s="2"/>
      <c r="O32" s="2"/>
      <c r="P32" s="2"/>
    </row>
    <row r="33" spans="1:16" ht="21" customHeight="1">
      <c r="A33" s="2"/>
      <c r="B33" s="2"/>
      <c r="C33" s="7"/>
      <c r="D33" s="164"/>
      <c r="E33" s="2"/>
      <c r="F33" s="2"/>
      <c r="G33" s="2"/>
      <c r="H33" s="2"/>
      <c r="I33" s="2"/>
      <c r="J33" s="2"/>
      <c r="K33" s="2"/>
      <c r="L33" s="2"/>
      <c r="M33" s="2"/>
      <c r="N33" s="2"/>
      <c r="O33" s="2"/>
      <c r="P33" s="2"/>
    </row>
    <row r="34" spans="1:16" ht="21" customHeight="1">
      <c r="A34" s="2"/>
      <c r="B34" s="2"/>
      <c r="C34" s="7"/>
      <c r="D34" s="164"/>
      <c r="E34" s="2"/>
      <c r="F34" s="2"/>
      <c r="G34" s="2"/>
      <c r="H34" s="2"/>
      <c r="I34" s="2"/>
      <c r="J34" s="2"/>
      <c r="K34" s="2"/>
      <c r="L34" s="2"/>
      <c r="M34" s="2"/>
      <c r="N34" s="2"/>
      <c r="O34" s="2"/>
      <c r="P34" s="2"/>
    </row>
    <row r="35" spans="1:16" ht="21" customHeight="1">
      <c r="A35" s="2"/>
      <c r="B35" s="2"/>
      <c r="C35" s="7"/>
      <c r="D35" s="164"/>
      <c r="E35" s="2"/>
      <c r="F35" s="2"/>
      <c r="G35" s="2"/>
      <c r="H35" s="2"/>
      <c r="I35" s="2"/>
      <c r="J35" s="2"/>
      <c r="K35" s="2"/>
      <c r="L35" s="2"/>
      <c r="M35" s="2"/>
      <c r="N35" s="2"/>
      <c r="O35" s="2"/>
      <c r="P35" s="2"/>
    </row>
    <row r="36" spans="1:16" ht="21" customHeight="1">
      <c r="A36" s="2"/>
      <c r="B36" s="2"/>
      <c r="C36" s="7"/>
      <c r="D36" s="164"/>
      <c r="E36" s="2"/>
      <c r="F36" s="2"/>
      <c r="G36" s="2"/>
      <c r="H36" s="2"/>
      <c r="I36" s="2"/>
      <c r="J36" s="2"/>
      <c r="K36" s="2"/>
      <c r="L36" s="2"/>
      <c r="M36" s="2"/>
      <c r="N36" s="2"/>
      <c r="O36" s="2"/>
      <c r="P36" s="2"/>
    </row>
    <row r="37" spans="1:16" ht="21" customHeight="1">
      <c r="A37" s="2"/>
      <c r="B37" s="2"/>
      <c r="C37" s="7"/>
      <c r="D37" s="164"/>
      <c r="E37" s="2"/>
      <c r="F37" s="2"/>
      <c r="G37" s="2"/>
      <c r="H37" s="2"/>
      <c r="I37" s="2"/>
      <c r="J37" s="2"/>
      <c r="K37" s="2"/>
      <c r="L37" s="2"/>
      <c r="M37" s="2"/>
      <c r="N37" s="2"/>
      <c r="O37" s="2"/>
      <c r="P37" s="2"/>
    </row>
    <row r="38" spans="1:16" ht="21" customHeight="1">
      <c r="A38" s="2"/>
      <c r="B38" s="2"/>
      <c r="C38" s="7"/>
      <c r="D38" s="164"/>
      <c r="E38" s="2"/>
      <c r="F38" s="2"/>
      <c r="G38" s="2"/>
      <c r="H38" s="2"/>
      <c r="I38" s="2"/>
      <c r="J38" s="2"/>
      <c r="K38" s="2"/>
      <c r="L38" s="2"/>
      <c r="M38" s="2"/>
      <c r="N38" s="2"/>
      <c r="O38" s="2"/>
      <c r="P38" s="2"/>
    </row>
    <row r="39" spans="1:16" ht="21" customHeight="1">
      <c r="A39" s="2"/>
      <c r="B39" s="2"/>
      <c r="C39" s="7"/>
      <c r="D39" s="164"/>
      <c r="E39" s="2"/>
      <c r="F39" s="2"/>
      <c r="G39" s="2"/>
      <c r="H39" s="2"/>
      <c r="I39" s="2"/>
      <c r="J39" s="2"/>
      <c r="K39" s="2"/>
      <c r="L39" s="2"/>
      <c r="M39" s="2"/>
      <c r="N39" s="2"/>
      <c r="O39" s="2"/>
      <c r="P39" s="2"/>
    </row>
    <row r="40" spans="1:16" ht="21" customHeight="1">
      <c r="A40" s="2"/>
      <c r="B40" s="2"/>
      <c r="C40" s="7"/>
      <c r="D40" s="164"/>
      <c r="E40" s="2"/>
      <c r="F40" s="2"/>
      <c r="G40" s="2"/>
      <c r="H40" s="2"/>
      <c r="I40" s="2"/>
      <c r="J40" s="2"/>
      <c r="K40" s="2"/>
      <c r="L40" s="2"/>
      <c r="M40" s="2"/>
      <c r="N40" s="2"/>
      <c r="O40" s="2"/>
      <c r="P40" s="2"/>
    </row>
    <row r="41" spans="1:16" ht="21" customHeight="1">
      <c r="A41" s="2"/>
      <c r="B41" s="2"/>
      <c r="C41" s="7"/>
      <c r="D41" s="164"/>
      <c r="E41" s="2"/>
      <c r="F41" s="2"/>
      <c r="G41" s="2"/>
      <c r="H41" s="2"/>
      <c r="I41" s="2"/>
      <c r="J41" s="2"/>
      <c r="K41" s="2"/>
      <c r="L41" s="2"/>
      <c r="M41" s="2"/>
      <c r="N41" s="2"/>
      <c r="O41" s="2"/>
      <c r="P41" s="2"/>
    </row>
    <row r="42" spans="1:16" ht="21" customHeight="1">
      <c r="A42" s="2"/>
      <c r="B42" s="2"/>
      <c r="C42" s="7"/>
      <c r="D42" s="164"/>
      <c r="E42" s="2"/>
      <c r="F42" s="2"/>
      <c r="G42" s="2"/>
      <c r="H42" s="2"/>
      <c r="I42" s="2"/>
      <c r="J42" s="2"/>
      <c r="K42" s="2"/>
      <c r="L42" s="2"/>
      <c r="M42" s="2"/>
      <c r="N42" s="2"/>
      <c r="O42" s="2"/>
      <c r="P42" s="2"/>
    </row>
    <row r="43" spans="1:16" ht="21" customHeight="1">
      <c r="A43" s="2"/>
      <c r="B43" s="2"/>
      <c r="C43" s="7"/>
      <c r="D43" s="164"/>
      <c r="E43" s="2"/>
      <c r="F43" s="2"/>
      <c r="G43" s="2"/>
      <c r="H43" s="2"/>
      <c r="I43" s="2"/>
      <c r="J43" s="2"/>
      <c r="K43" s="2"/>
      <c r="L43" s="2"/>
      <c r="M43" s="2"/>
      <c r="N43" s="2"/>
      <c r="O43" s="2"/>
      <c r="P43" s="2"/>
    </row>
    <row r="44" spans="1:16" ht="21" customHeight="1">
      <c r="A44" s="2"/>
      <c r="B44" s="2"/>
      <c r="C44" s="7"/>
      <c r="D44" s="164"/>
      <c r="E44" s="2"/>
      <c r="F44" s="2"/>
      <c r="G44" s="2"/>
      <c r="H44" s="2"/>
      <c r="I44" s="2"/>
      <c r="J44" s="2"/>
      <c r="K44" s="2"/>
      <c r="L44" s="2"/>
      <c r="M44" s="2"/>
      <c r="N44" s="2"/>
      <c r="O44" s="2"/>
      <c r="P44" s="2"/>
    </row>
    <row r="45" spans="1:16" ht="21" customHeight="1">
      <c r="A45" s="2"/>
      <c r="B45" s="2"/>
      <c r="C45" s="7"/>
      <c r="D45" s="164"/>
      <c r="E45" s="2"/>
      <c r="F45" s="2"/>
      <c r="G45" s="2"/>
      <c r="H45" s="2"/>
      <c r="I45" s="2"/>
      <c r="J45" s="2"/>
      <c r="K45" s="2"/>
      <c r="L45" s="2"/>
      <c r="M45" s="2"/>
      <c r="N45" s="2"/>
      <c r="O45" s="2"/>
      <c r="P45" s="2"/>
    </row>
    <row r="46" spans="1:16" ht="21" customHeight="1">
      <c r="A46" s="2"/>
      <c r="B46" s="2"/>
      <c r="C46" s="7"/>
      <c r="D46" s="164"/>
      <c r="E46" s="2"/>
      <c r="F46" s="2"/>
      <c r="G46" s="2"/>
      <c r="H46" s="2"/>
      <c r="I46" s="2"/>
      <c r="J46" s="2"/>
      <c r="K46" s="2"/>
      <c r="L46" s="2"/>
      <c r="M46" s="2"/>
      <c r="N46" s="2"/>
      <c r="O46" s="2"/>
      <c r="P46" s="2"/>
    </row>
    <row r="47" spans="1:16" ht="21" customHeight="1">
      <c r="A47" s="2"/>
      <c r="B47" s="2"/>
      <c r="C47" s="7"/>
      <c r="D47" s="164"/>
      <c r="E47" s="2"/>
      <c r="F47" s="2"/>
      <c r="G47" s="2"/>
      <c r="H47" s="2"/>
      <c r="I47" s="2"/>
      <c r="J47" s="2"/>
      <c r="K47" s="2"/>
      <c r="L47" s="2"/>
      <c r="M47" s="2"/>
      <c r="N47" s="2"/>
      <c r="O47" s="2"/>
      <c r="P47" s="2"/>
    </row>
    <row r="48" spans="1:16" ht="21" customHeight="1">
      <c r="A48" s="2"/>
      <c r="B48" s="2"/>
      <c r="C48" s="7"/>
      <c r="D48" s="164"/>
      <c r="E48" s="2"/>
      <c r="F48" s="2"/>
      <c r="G48" s="2"/>
      <c r="H48" s="2"/>
      <c r="I48" s="2"/>
      <c r="J48" s="2"/>
      <c r="K48" s="2"/>
      <c r="L48" s="2"/>
      <c r="M48" s="2"/>
      <c r="N48" s="2"/>
      <c r="O48" s="2"/>
      <c r="P48" s="2"/>
    </row>
    <row r="49" spans="1:16" ht="21" customHeight="1">
      <c r="A49" s="2"/>
      <c r="B49" s="2"/>
      <c r="C49" s="7"/>
      <c r="D49" s="164"/>
      <c r="E49" s="2"/>
      <c r="F49" s="2"/>
      <c r="G49" s="2"/>
      <c r="H49" s="2"/>
      <c r="I49" s="2"/>
      <c r="J49" s="2"/>
      <c r="K49" s="2"/>
      <c r="L49" s="2"/>
      <c r="M49" s="2"/>
      <c r="N49" s="2"/>
      <c r="O49" s="2"/>
      <c r="P49" s="2"/>
    </row>
    <row r="50" spans="1:16" ht="21" customHeight="1">
      <c r="A50" s="2"/>
      <c r="B50" s="2"/>
      <c r="C50" s="7"/>
      <c r="D50" s="164"/>
      <c r="E50" s="2"/>
      <c r="F50" s="2"/>
      <c r="G50" s="2"/>
      <c r="H50" s="2"/>
      <c r="I50" s="2"/>
      <c r="J50" s="2"/>
      <c r="K50" s="2"/>
      <c r="L50" s="2"/>
      <c r="M50" s="2"/>
      <c r="N50" s="2"/>
      <c r="O50" s="2"/>
      <c r="P50" s="2"/>
    </row>
    <row r="51" spans="1:16" ht="21" customHeight="1">
      <c r="A51" s="2"/>
      <c r="B51" s="2"/>
      <c r="C51" s="7"/>
      <c r="D51" s="164"/>
      <c r="E51" s="2"/>
      <c r="F51" s="2"/>
      <c r="G51" s="2"/>
      <c r="H51" s="2"/>
      <c r="I51" s="2"/>
      <c r="J51" s="2"/>
      <c r="K51" s="2"/>
      <c r="L51" s="2"/>
      <c r="M51" s="2"/>
      <c r="N51" s="2"/>
      <c r="O51" s="2"/>
      <c r="P51" s="2"/>
    </row>
    <row r="52" spans="1:16" ht="21" customHeight="1">
      <c r="A52" s="2"/>
      <c r="B52" s="2"/>
      <c r="C52" s="7"/>
      <c r="D52" s="164"/>
      <c r="E52" s="2"/>
      <c r="F52" s="2"/>
      <c r="G52" s="2"/>
      <c r="H52" s="2"/>
      <c r="I52" s="2"/>
      <c r="J52" s="2"/>
      <c r="K52" s="2"/>
      <c r="L52" s="2"/>
      <c r="M52" s="2"/>
      <c r="N52" s="2"/>
      <c r="O52" s="2"/>
      <c r="P52" s="2"/>
    </row>
    <row r="53" spans="1:16" ht="21" customHeight="1">
      <c r="A53" s="2"/>
      <c r="B53" s="2"/>
      <c r="C53" s="7"/>
      <c r="D53" s="164"/>
      <c r="E53" s="2"/>
      <c r="F53" s="2"/>
      <c r="G53" s="2"/>
      <c r="H53" s="2"/>
      <c r="I53" s="2"/>
      <c r="J53" s="2"/>
      <c r="K53" s="2"/>
      <c r="L53" s="2"/>
      <c r="M53" s="2"/>
      <c r="N53" s="2"/>
      <c r="O53" s="2"/>
      <c r="P53" s="2"/>
    </row>
    <row r="54" spans="1:16" ht="21" customHeight="1">
      <c r="A54" s="2"/>
      <c r="B54" s="2"/>
      <c r="C54" s="7"/>
      <c r="D54" s="164"/>
      <c r="E54" s="2"/>
      <c r="F54" s="2"/>
      <c r="G54" s="2"/>
      <c r="H54" s="2"/>
      <c r="I54" s="2"/>
      <c r="J54" s="2"/>
      <c r="K54" s="2"/>
      <c r="L54" s="2"/>
      <c r="M54" s="2"/>
      <c r="N54" s="2"/>
      <c r="O54" s="2"/>
      <c r="P54" s="2"/>
    </row>
    <row r="55" spans="1:16" ht="21" customHeight="1">
      <c r="A55" s="2"/>
      <c r="B55" s="2"/>
      <c r="C55" s="7"/>
      <c r="D55" s="164"/>
      <c r="E55" s="2"/>
      <c r="F55" s="2"/>
      <c r="G55" s="2"/>
      <c r="H55" s="2"/>
      <c r="I55" s="2"/>
      <c r="J55" s="2"/>
      <c r="K55" s="2"/>
      <c r="L55" s="2"/>
      <c r="M55" s="2"/>
      <c r="N55" s="2"/>
      <c r="O55" s="2"/>
      <c r="P55" s="2"/>
    </row>
    <row r="56" spans="1:16" ht="21" customHeight="1">
      <c r="A56" s="2"/>
      <c r="B56" s="2"/>
      <c r="C56" s="7"/>
      <c r="D56" s="164"/>
      <c r="E56" s="2"/>
      <c r="F56" s="2"/>
      <c r="G56" s="2"/>
      <c r="H56" s="2"/>
      <c r="I56" s="2"/>
      <c r="J56" s="2"/>
      <c r="K56" s="2"/>
      <c r="L56" s="2"/>
      <c r="M56" s="2"/>
      <c r="N56" s="2"/>
      <c r="O56" s="2"/>
      <c r="P56" s="2"/>
    </row>
    <row r="57" spans="1:16" ht="21" customHeight="1">
      <c r="A57" s="2"/>
      <c r="B57" s="2"/>
      <c r="C57" s="7"/>
      <c r="D57" s="164"/>
      <c r="E57" s="2"/>
      <c r="F57" s="2"/>
      <c r="G57" s="2"/>
      <c r="H57" s="2"/>
      <c r="I57" s="2"/>
      <c r="J57" s="2"/>
      <c r="K57" s="2"/>
      <c r="L57" s="2"/>
      <c r="M57" s="2"/>
      <c r="N57" s="2"/>
      <c r="O57" s="2"/>
      <c r="P57" s="2"/>
    </row>
    <row r="58" spans="1:16" ht="21" customHeight="1">
      <c r="A58" s="2"/>
      <c r="B58" s="2"/>
      <c r="C58" s="7"/>
      <c r="D58" s="164"/>
      <c r="E58" s="2"/>
      <c r="F58" s="2"/>
      <c r="G58" s="2"/>
      <c r="H58" s="2"/>
      <c r="I58" s="2"/>
      <c r="J58" s="2"/>
      <c r="K58" s="2"/>
      <c r="L58" s="2"/>
      <c r="M58" s="2"/>
      <c r="N58" s="2"/>
      <c r="O58" s="2"/>
      <c r="P58" s="2"/>
    </row>
    <row r="59" spans="1:16" ht="21" customHeight="1">
      <c r="A59" s="2"/>
      <c r="B59" s="2"/>
      <c r="C59" s="7"/>
      <c r="D59" s="164"/>
      <c r="E59" s="2"/>
      <c r="F59" s="2"/>
      <c r="G59" s="2"/>
      <c r="H59" s="2"/>
      <c r="I59" s="2"/>
      <c r="J59" s="2"/>
      <c r="K59" s="2"/>
      <c r="L59" s="2"/>
      <c r="M59" s="2"/>
      <c r="N59" s="2"/>
      <c r="O59" s="2"/>
      <c r="P59" s="2"/>
    </row>
    <row r="60" spans="1:16" ht="21" customHeight="1">
      <c r="A60" s="2"/>
      <c r="B60" s="2"/>
      <c r="C60" s="7"/>
      <c r="D60" s="164"/>
      <c r="E60" s="2"/>
      <c r="F60" s="2"/>
      <c r="G60" s="2"/>
      <c r="H60" s="2"/>
      <c r="I60" s="2"/>
      <c r="J60" s="2"/>
      <c r="K60" s="2"/>
      <c r="L60" s="2"/>
      <c r="M60" s="2"/>
      <c r="N60" s="2"/>
      <c r="O60" s="2"/>
      <c r="P60" s="2"/>
    </row>
    <row r="61" spans="1:16" ht="21" customHeight="1">
      <c r="A61" s="2"/>
      <c r="B61" s="2"/>
      <c r="C61" s="7"/>
      <c r="D61" s="164"/>
      <c r="E61" s="2"/>
      <c r="F61" s="2"/>
      <c r="G61" s="2"/>
      <c r="H61" s="2"/>
      <c r="I61" s="2"/>
      <c r="J61" s="2"/>
      <c r="K61" s="2"/>
      <c r="L61" s="2"/>
      <c r="M61" s="2"/>
      <c r="N61" s="2"/>
      <c r="O61" s="2"/>
      <c r="P61" s="2"/>
    </row>
    <row r="62" spans="1:16" ht="21" customHeight="1">
      <c r="A62" s="2"/>
      <c r="B62" s="2"/>
      <c r="C62" s="7"/>
      <c r="D62" s="164"/>
      <c r="E62" s="2"/>
      <c r="F62" s="2"/>
      <c r="G62" s="2"/>
      <c r="H62" s="2"/>
      <c r="I62" s="2"/>
      <c r="J62" s="2"/>
      <c r="K62" s="2"/>
      <c r="L62" s="2"/>
      <c r="M62" s="2"/>
      <c r="N62" s="2"/>
      <c r="O62" s="2"/>
      <c r="P62" s="2"/>
    </row>
    <row r="63" spans="1:16" ht="21" customHeight="1">
      <c r="A63" s="2"/>
      <c r="B63" s="2"/>
      <c r="C63" s="7"/>
      <c r="D63" s="164"/>
      <c r="E63" s="2"/>
      <c r="F63" s="2"/>
      <c r="G63" s="2"/>
      <c r="H63" s="2"/>
      <c r="I63" s="2"/>
      <c r="J63" s="2"/>
      <c r="K63" s="2"/>
      <c r="L63" s="2"/>
      <c r="M63" s="2"/>
      <c r="N63" s="2"/>
      <c r="O63" s="2"/>
      <c r="P63" s="2"/>
    </row>
    <row r="64" spans="1:16" ht="21" customHeight="1">
      <c r="A64" s="2"/>
      <c r="B64" s="2"/>
      <c r="C64" s="7"/>
      <c r="D64" s="164"/>
      <c r="E64" s="2"/>
      <c r="F64" s="2"/>
      <c r="G64" s="2"/>
      <c r="H64" s="2"/>
      <c r="I64" s="2"/>
      <c r="J64" s="2"/>
      <c r="K64" s="2"/>
      <c r="L64" s="2"/>
      <c r="M64" s="2"/>
      <c r="N64" s="2"/>
      <c r="O64" s="2"/>
      <c r="P64" s="2"/>
    </row>
    <row r="65" spans="1:16" ht="21" customHeight="1">
      <c r="A65" s="2"/>
      <c r="B65" s="2"/>
      <c r="C65" s="7"/>
      <c r="D65" s="164"/>
      <c r="E65" s="2"/>
      <c r="F65" s="2"/>
      <c r="G65" s="2"/>
      <c r="H65" s="2"/>
      <c r="I65" s="2"/>
      <c r="J65" s="2"/>
      <c r="K65" s="2"/>
      <c r="L65" s="2"/>
      <c r="M65" s="2"/>
      <c r="N65" s="2"/>
      <c r="O65" s="2"/>
      <c r="P65" s="2"/>
    </row>
    <row r="66" spans="1:16" ht="21" customHeight="1">
      <c r="A66" s="2"/>
      <c r="B66" s="2"/>
      <c r="C66" s="7"/>
      <c r="D66" s="164"/>
      <c r="E66" s="2"/>
      <c r="F66" s="2"/>
      <c r="G66" s="2"/>
      <c r="H66" s="2"/>
      <c r="I66" s="2"/>
      <c r="J66" s="2"/>
      <c r="K66" s="2"/>
      <c r="L66" s="2"/>
      <c r="M66" s="2"/>
      <c r="N66" s="2"/>
      <c r="O66" s="2"/>
      <c r="P66" s="2"/>
    </row>
    <row r="67" spans="1:16" ht="21" customHeight="1">
      <c r="A67" s="2"/>
      <c r="B67" s="2"/>
      <c r="C67" s="7"/>
      <c r="D67" s="164"/>
      <c r="E67" s="2"/>
      <c r="F67" s="2"/>
      <c r="G67" s="2"/>
      <c r="H67" s="2"/>
      <c r="I67" s="2"/>
      <c r="J67" s="2"/>
      <c r="K67" s="2"/>
      <c r="L67" s="2"/>
      <c r="M67" s="2"/>
      <c r="N67" s="2"/>
      <c r="O67" s="2"/>
      <c r="P67" s="2"/>
    </row>
    <row r="68" spans="1:16" ht="21" customHeight="1">
      <c r="A68" s="2"/>
      <c r="B68" s="2"/>
      <c r="C68" s="7"/>
      <c r="D68" s="164"/>
      <c r="E68" s="2"/>
      <c r="F68" s="2"/>
      <c r="G68" s="2"/>
      <c r="H68" s="2"/>
      <c r="I68" s="2"/>
      <c r="J68" s="2"/>
      <c r="K68" s="2"/>
      <c r="L68" s="2"/>
      <c r="M68" s="2"/>
      <c r="N68" s="2"/>
      <c r="O68" s="2"/>
      <c r="P68" s="2"/>
    </row>
    <row r="69" spans="1:16" ht="21" customHeight="1">
      <c r="A69" s="2"/>
      <c r="B69" s="2"/>
      <c r="C69" s="7"/>
      <c r="D69" s="164"/>
      <c r="E69" s="2"/>
      <c r="F69" s="2"/>
      <c r="G69" s="2"/>
      <c r="H69" s="2"/>
      <c r="I69" s="2"/>
      <c r="J69" s="2"/>
      <c r="K69" s="2"/>
      <c r="L69" s="2"/>
      <c r="M69" s="2"/>
      <c r="N69" s="2"/>
      <c r="O69" s="2"/>
      <c r="P69" s="2"/>
    </row>
    <row r="70" spans="1:16" ht="21" customHeight="1">
      <c r="A70" s="2"/>
      <c r="B70" s="2"/>
      <c r="C70" s="7"/>
      <c r="D70" s="164"/>
      <c r="E70" s="2"/>
      <c r="F70" s="2"/>
      <c r="G70" s="2"/>
      <c r="H70" s="2"/>
      <c r="I70" s="2"/>
      <c r="J70" s="2"/>
      <c r="K70" s="2"/>
      <c r="L70" s="2"/>
      <c r="M70" s="2"/>
      <c r="N70" s="2"/>
      <c r="O70" s="2"/>
      <c r="P70" s="2"/>
    </row>
    <row r="71" spans="1:16" ht="21" customHeight="1">
      <c r="A71" s="2"/>
      <c r="B71" s="2"/>
      <c r="C71" s="7"/>
      <c r="D71" s="164"/>
      <c r="E71" s="2"/>
      <c r="F71" s="2"/>
      <c r="G71" s="2"/>
      <c r="H71" s="2"/>
      <c r="I71" s="2"/>
      <c r="J71" s="2"/>
      <c r="K71" s="2"/>
      <c r="L71" s="2"/>
      <c r="M71" s="2"/>
      <c r="N71" s="2"/>
      <c r="O71" s="2"/>
      <c r="P71" s="2"/>
    </row>
    <row r="72" spans="1:16" ht="21" customHeight="1">
      <c r="A72" s="2"/>
      <c r="B72" s="2"/>
      <c r="C72" s="7"/>
      <c r="D72" s="164"/>
      <c r="E72" s="2"/>
      <c r="F72" s="2"/>
      <c r="G72" s="2"/>
      <c r="H72" s="2"/>
      <c r="I72" s="2"/>
      <c r="J72" s="2"/>
      <c r="K72" s="2"/>
      <c r="L72" s="2"/>
      <c r="M72" s="2"/>
      <c r="N72" s="2"/>
      <c r="O72" s="2"/>
      <c r="P72" s="2"/>
    </row>
    <row r="73" spans="1:16" ht="21" customHeight="1">
      <c r="A73" s="2"/>
      <c r="B73" s="2"/>
      <c r="C73" s="7"/>
      <c r="D73" s="164"/>
      <c r="E73" s="2"/>
      <c r="F73" s="2"/>
      <c r="G73" s="2"/>
      <c r="H73" s="2"/>
      <c r="I73" s="2"/>
      <c r="J73" s="2"/>
      <c r="K73" s="2"/>
      <c r="L73" s="2"/>
      <c r="M73" s="2"/>
      <c r="N73" s="2"/>
      <c r="O73" s="2"/>
      <c r="P73" s="2"/>
    </row>
    <row r="74" spans="1:16" ht="21" customHeight="1">
      <c r="A74" s="2"/>
      <c r="B74" s="2"/>
      <c r="C74" s="7"/>
      <c r="D74" s="164"/>
      <c r="E74" s="2"/>
      <c r="F74" s="2"/>
      <c r="G74" s="2"/>
      <c r="H74" s="2"/>
      <c r="I74" s="2"/>
      <c r="J74" s="2"/>
      <c r="K74" s="2"/>
      <c r="L74" s="2"/>
      <c r="M74" s="2"/>
      <c r="N74" s="2"/>
      <c r="O74" s="2"/>
      <c r="P74" s="2"/>
    </row>
    <row r="75" spans="1:16" ht="21" customHeight="1">
      <c r="A75" s="2"/>
      <c r="B75" s="2"/>
      <c r="C75" s="7"/>
      <c r="D75" s="164"/>
      <c r="E75" s="2"/>
      <c r="F75" s="2"/>
      <c r="G75" s="2"/>
      <c r="H75" s="2"/>
      <c r="I75" s="2"/>
      <c r="J75" s="2"/>
      <c r="K75" s="2"/>
      <c r="L75" s="2"/>
      <c r="M75" s="2"/>
      <c r="N75" s="2"/>
      <c r="O75" s="2"/>
      <c r="P75" s="2"/>
    </row>
    <row r="76" spans="1:16" ht="21" customHeight="1">
      <c r="A76" s="2"/>
      <c r="B76" s="2"/>
      <c r="C76" s="7"/>
      <c r="D76" s="164"/>
      <c r="E76" s="2"/>
      <c r="F76" s="2"/>
      <c r="G76" s="2"/>
      <c r="H76" s="2"/>
      <c r="I76" s="2"/>
      <c r="J76" s="2"/>
      <c r="K76" s="2"/>
      <c r="L76" s="2"/>
      <c r="M76" s="2"/>
      <c r="N76" s="2"/>
      <c r="O76" s="2"/>
      <c r="P76" s="2"/>
    </row>
    <row r="77" spans="1:16" ht="21" customHeight="1">
      <c r="A77" s="2"/>
      <c r="B77" s="2"/>
      <c r="C77" s="7"/>
      <c r="D77" s="164"/>
      <c r="E77" s="2"/>
      <c r="F77" s="2"/>
      <c r="G77" s="2"/>
      <c r="H77" s="2"/>
      <c r="I77" s="2"/>
      <c r="J77" s="2"/>
      <c r="K77" s="2"/>
      <c r="L77" s="2"/>
      <c r="M77" s="2"/>
      <c r="N77" s="2"/>
      <c r="O77" s="2"/>
      <c r="P77" s="2"/>
    </row>
    <row r="78" spans="1:16" ht="21" customHeight="1">
      <c r="A78" s="2"/>
      <c r="B78" s="2"/>
      <c r="C78" s="7"/>
      <c r="D78" s="164"/>
      <c r="E78" s="2"/>
      <c r="F78" s="2"/>
      <c r="G78" s="2"/>
      <c r="H78" s="2"/>
      <c r="I78" s="2"/>
      <c r="J78" s="2"/>
      <c r="K78" s="2"/>
      <c r="L78" s="2"/>
      <c r="M78" s="2"/>
      <c r="N78" s="2"/>
      <c r="O78" s="2"/>
      <c r="P78" s="2"/>
    </row>
    <row r="79" spans="1:16" ht="21" customHeight="1">
      <c r="A79" s="2"/>
      <c r="B79" s="2"/>
      <c r="C79" s="7"/>
      <c r="D79" s="164"/>
      <c r="E79" s="2"/>
      <c r="F79" s="2"/>
      <c r="G79" s="2"/>
      <c r="H79" s="2"/>
      <c r="I79" s="2"/>
      <c r="J79" s="2"/>
      <c r="K79" s="2"/>
      <c r="L79" s="2"/>
      <c r="M79" s="2"/>
      <c r="N79" s="2"/>
      <c r="O79" s="2"/>
      <c r="P79" s="2"/>
    </row>
    <row r="80" spans="1:16" ht="21" customHeight="1">
      <c r="A80" s="2"/>
      <c r="B80" s="2"/>
      <c r="C80" s="7"/>
      <c r="D80" s="164"/>
      <c r="E80" s="2"/>
      <c r="F80" s="2"/>
      <c r="G80" s="2"/>
      <c r="H80" s="2"/>
      <c r="I80" s="2"/>
      <c r="J80" s="2"/>
      <c r="K80" s="2"/>
      <c r="L80" s="2"/>
      <c r="M80" s="2"/>
      <c r="N80" s="2"/>
      <c r="O80" s="2"/>
      <c r="P80" s="2"/>
    </row>
    <row r="81" spans="1:16" ht="21" customHeight="1">
      <c r="A81" s="2"/>
      <c r="B81" s="2"/>
      <c r="C81" s="7"/>
      <c r="D81" s="164"/>
      <c r="E81" s="2"/>
      <c r="F81" s="2"/>
      <c r="G81" s="2"/>
      <c r="H81" s="2"/>
      <c r="I81" s="2"/>
      <c r="J81" s="2"/>
      <c r="K81" s="2"/>
      <c r="L81" s="2"/>
      <c r="M81" s="2"/>
      <c r="N81" s="2"/>
      <c r="O81" s="2"/>
      <c r="P81" s="2"/>
    </row>
    <row r="82" spans="1:16" ht="21" customHeight="1">
      <c r="A82" s="2"/>
      <c r="B82" s="2"/>
      <c r="C82" s="7"/>
      <c r="D82" s="164"/>
      <c r="E82" s="2"/>
      <c r="F82" s="2"/>
      <c r="G82" s="2"/>
      <c r="H82" s="2"/>
      <c r="I82" s="2"/>
      <c r="J82" s="2"/>
      <c r="K82" s="2"/>
      <c r="L82" s="2"/>
      <c r="M82" s="2"/>
      <c r="N82" s="2"/>
      <c r="O82" s="2"/>
      <c r="P82" s="2"/>
    </row>
    <row r="83" spans="1:16" ht="21" customHeight="1">
      <c r="A83" s="2"/>
      <c r="B83" s="2"/>
      <c r="C83" s="7"/>
      <c r="D83" s="164"/>
      <c r="E83" s="2"/>
      <c r="F83" s="2"/>
      <c r="G83" s="2"/>
      <c r="H83" s="2"/>
      <c r="I83" s="2"/>
      <c r="J83" s="2"/>
      <c r="K83" s="2"/>
      <c r="L83" s="2"/>
      <c r="M83" s="2"/>
      <c r="N83" s="2"/>
      <c r="O83" s="2"/>
      <c r="P83" s="2"/>
    </row>
    <row r="84" spans="1:16" ht="21" customHeight="1">
      <c r="A84" s="2"/>
      <c r="B84" s="2"/>
      <c r="C84" s="7"/>
      <c r="D84" s="164"/>
      <c r="E84" s="2"/>
      <c r="F84" s="2"/>
      <c r="G84" s="2"/>
      <c r="H84" s="2"/>
      <c r="I84" s="2"/>
      <c r="J84" s="2"/>
      <c r="K84" s="2"/>
      <c r="L84" s="2"/>
      <c r="M84" s="2"/>
      <c r="N84" s="2"/>
      <c r="O84" s="2"/>
      <c r="P84" s="2"/>
    </row>
    <row r="85" spans="1:16" ht="21" customHeight="1">
      <c r="A85" s="2"/>
      <c r="B85" s="2"/>
      <c r="C85" s="7"/>
      <c r="D85" s="164"/>
      <c r="E85" s="2"/>
      <c r="F85" s="2"/>
      <c r="G85" s="2"/>
      <c r="H85" s="2"/>
      <c r="I85" s="2"/>
      <c r="J85" s="2"/>
      <c r="K85" s="2"/>
      <c r="L85" s="2"/>
      <c r="M85" s="2"/>
      <c r="N85" s="2"/>
      <c r="O85" s="2"/>
      <c r="P85" s="2"/>
    </row>
    <row r="86" spans="1:16" ht="21" customHeight="1">
      <c r="A86" s="2"/>
      <c r="B86" s="2"/>
      <c r="C86" s="7"/>
      <c r="D86" s="164"/>
      <c r="E86" s="2"/>
      <c r="F86" s="2"/>
      <c r="G86" s="2"/>
      <c r="H86" s="2"/>
      <c r="I86" s="2"/>
      <c r="J86" s="2"/>
      <c r="K86" s="2"/>
      <c r="L86" s="2"/>
      <c r="M86" s="2"/>
      <c r="N86" s="2"/>
      <c r="O86" s="2"/>
      <c r="P86" s="2"/>
    </row>
    <row r="87" spans="1:16" ht="21" customHeight="1">
      <c r="A87" s="2"/>
      <c r="B87" s="2"/>
      <c r="C87" s="7"/>
      <c r="D87" s="164"/>
      <c r="E87" s="2"/>
      <c r="F87" s="2"/>
      <c r="G87" s="2"/>
      <c r="H87" s="2"/>
      <c r="I87" s="2"/>
      <c r="J87" s="2"/>
      <c r="K87" s="2"/>
      <c r="L87" s="2"/>
      <c r="M87" s="2"/>
      <c r="N87" s="2"/>
      <c r="O87" s="2"/>
      <c r="P87" s="2"/>
    </row>
    <row r="88" spans="1:16" ht="21" customHeight="1">
      <c r="A88" s="2"/>
      <c r="B88" s="2"/>
      <c r="C88" s="7"/>
      <c r="D88" s="164"/>
      <c r="E88" s="2"/>
      <c r="F88" s="2"/>
      <c r="G88" s="2"/>
      <c r="H88" s="2"/>
      <c r="I88" s="2"/>
      <c r="J88" s="2"/>
      <c r="K88" s="2"/>
      <c r="L88" s="2"/>
      <c r="M88" s="2"/>
      <c r="N88" s="2"/>
      <c r="O88" s="2"/>
      <c r="P88" s="2"/>
    </row>
    <row r="89" spans="1:16" ht="21" customHeight="1">
      <c r="A89" s="2"/>
      <c r="B89" s="2"/>
      <c r="C89" s="7"/>
      <c r="D89" s="164"/>
      <c r="E89" s="2"/>
      <c r="F89" s="2"/>
      <c r="G89" s="2"/>
      <c r="H89" s="2"/>
      <c r="I89" s="2"/>
      <c r="J89" s="2"/>
      <c r="K89" s="2"/>
      <c r="L89" s="2"/>
      <c r="M89" s="2"/>
      <c r="N89" s="2"/>
      <c r="O89" s="2"/>
      <c r="P89" s="2"/>
    </row>
    <row r="90" spans="1:16" ht="21" customHeight="1">
      <c r="A90" s="2"/>
      <c r="B90" s="2"/>
      <c r="C90" s="7"/>
      <c r="D90" s="164"/>
      <c r="E90" s="2"/>
      <c r="F90" s="2"/>
      <c r="G90" s="2"/>
      <c r="H90" s="2"/>
      <c r="I90" s="2"/>
      <c r="J90" s="2"/>
      <c r="K90" s="2"/>
      <c r="L90" s="2"/>
      <c r="M90" s="2"/>
      <c r="N90" s="2"/>
      <c r="O90" s="2"/>
      <c r="P90" s="2"/>
    </row>
    <row r="91" spans="1:16" ht="21" customHeight="1">
      <c r="A91" s="2"/>
      <c r="B91" s="2"/>
      <c r="C91" s="7"/>
      <c r="D91" s="164"/>
      <c r="E91" s="2"/>
      <c r="F91" s="2"/>
      <c r="G91" s="2"/>
      <c r="H91" s="2"/>
      <c r="I91" s="2"/>
      <c r="J91" s="2"/>
      <c r="K91" s="2"/>
      <c r="L91" s="2"/>
      <c r="M91" s="2"/>
      <c r="N91" s="2"/>
      <c r="O91" s="2"/>
      <c r="P91" s="2"/>
    </row>
    <row r="92" spans="1:16" ht="21" customHeight="1">
      <c r="A92" s="2"/>
      <c r="B92" s="2"/>
      <c r="C92" s="7"/>
      <c r="D92" s="164"/>
      <c r="E92" s="2"/>
      <c r="F92" s="2"/>
      <c r="G92" s="2"/>
      <c r="H92" s="2"/>
      <c r="I92" s="2"/>
      <c r="J92" s="2"/>
      <c r="K92" s="2"/>
      <c r="L92" s="2"/>
      <c r="M92" s="2"/>
      <c r="N92" s="2"/>
      <c r="O92" s="2"/>
      <c r="P92" s="2"/>
    </row>
    <row r="93" spans="1:16" ht="21" customHeight="1">
      <c r="A93" s="2"/>
      <c r="B93" s="2"/>
      <c r="C93" s="7"/>
      <c r="D93" s="164"/>
      <c r="E93" s="2"/>
      <c r="F93" s="2"/>
      <c r="G93" s="2"/>
      <c r="H93" s="2"/>
      <c r="I93" s="2"/>
      <c r="J93" s="2"/>
      <c r="K93" s="2"/>
      <c r="L93" s="2"/>
      <c r="M93" s="2"/>
      <c r="N93" s="2"/>
      <c r="O93" s="2"/>
      <c r="P93" s="2"/>
    </row>
    <row r="94" spans="1:16" ht="21" customHeight="1">
      <c r="A94" s="2"/>
      <c r="B94" s="2"/>
      <c r="C94" s="7"/>
      <c r="D94" s="164"/>
      <c r="E94" s="2"/>
      <c r="F94" s="2"/>
      <c r="G94" s="2"/>
      <c r="H94" s="2"/>
      <c r="I94" s="2"/>
      <c r="J94" s="2"/>
      <c r="K94" s="2"/>
      <c r="L94" s="2"/>
      <c r="M94" s="2"/>
      <c r="N94" s="2"/>
      <c r="O94" s="2"/>
      <c r="P94" s="2"/>
    </row>
    <row r="95" spans="1:16" ht="21" customHeight="1">
      <c r="A95" s="2"/>
      <c r="B95" s="2"/>
      <c r="C95" s="7"/>
      <c r="D95" s="164"/>
      <c r="E95" s="2"/>
      <c r="F95" s="2"/>
      <c r="G95" s="2"/>
      <c r="H95" s="2"/>
      <c r="I95" s="2"/>
      <c r="J95" s="2"/>
      <c r="K95" s="2"/>
      <c r="L95" s="2"/>
      <c r="M95" s="2"/>
      <c r="N95" s="2"/>
      <c r="O95" s="2"/>
      <c r="P95" s="2"/>
    </row>
    <row r="96" spans="1:16" ht="21" customHeight="1">
      <c r="A96" s="2"/>
      <c r="B96" s="2"/>
      <c r="C96" s="7"/>
      <c r="D96" s="164"/>
      <c r="E96" s="2"/>
      <c r="F96" s="2"/>
      <c r="G96" s="2"/>
      <c r="H96" s="2"/>
      <c r="I96" s="2"/>
      <c r="J96" s="2"/>
      <c r="K96" s="2"/>
      <c r="L96" s="2"/>
      <c r="M96" s="2"/>
      <c r="N96" s="2"/>
      <c r="O96" s="2"/>
      <c r="P96" s="2"/>
    </row>
    <row r="97" spans="1:16" ht="21" customHeight="1">
      <c r="A97" s="2"/>
      <c r="B97" s="2"/>
      <c r="C97" s="7"/>
      <c r="D97" s="164"/>
      <c r="E97" s="2"/>
      <c r="F97" s="2"/>
      <c r="G97" s="2"/>
      <c r="H97" s="2"/>
      <c r="I97" s="2"/>
      <c r="J97" s="2"/>
      <c r="K97" s="2"/>
      <c r="L97" s="2"/>
      <c r="M97" s="2"/>
      <c r="N97" s="2"/>
      <c r="O97" s="2"/>
      <c r="P97" s="2"/>
    </row>
    <row r="98" spans="1:16" ht="21" customHeight="1">
      <c r="A98" s="2"/>
      <c r="B98" s="2"/>
      <c r="C98" s="7"/>
      <c r="D98" s="164"/>
      <c r="E98" s="2"/>
      <c r="F98" s="2"/>
      <c r="G98" s="2"/>
      <c r="H98" s="2"/>
      <c r="I98" s="2"/>
      <c r="J98" s="2"/>
      <c r="K98" s="2"/>
      <c r="L98" s="2"/>
      <c r="M98" s="2"/>
      <c r="N98" s="2"/>
      <c r="O98" s="2"/>
      <c r="P98" s="2"/>
    </row>
    <row r="99" spans="1:16" ht="21" customHeight="1">
      <c r="A99" s="2"/>
      <c r="B99" s="2"/>
      <c r="C99" s="7"/>
      <c r="D99" s="164"/>
      <c r="E99" s="2"/>
      <c r="F99" s="2"/>
      <c r="G99" s="2"/>
      <c r="H99" s="2"/>
      <c r="I99" s="2"/>
      <c r="J99" s="2"/>
      <c r="K99" s="2"/>
      <c r="L99" s="2"/>
      <c r="M99" s="2"/>
      <c r="N99" s="2"/>
      <c r="O99" s="2"/>
      <c r="P99" s="2"/>
    </row>
    <row r="100" spans="1:16" ht="21" customHeight="1">
      <c r="A100" s="2"/>
      <c r="B100" s="2"/>
      <c r="C100" s="7"/>
      <c r="D100" s="164"/>
      <c r="E100" s="2"/>
      <c r="F100" s="2"/>
      <c r="G100" s="2"/>
      <c r="H100" s="2"/>
      <c r="I100" s="2"/>
      <c r="J100" s="2"/>
      <c r="K100" s="2"/>
      <c r="L100" s="2"/>
      <c r="M100" s="2"/>
      <c r="N100" s="2"/>
      <c r="O100" s="2"/>
      <c r="P100" s="2"/>
    </row>
    <row r="101" spans="1:16" ht="21" customHeight="1">
      <c r="A101" s="2"/>
      <c r="B101" s="2"/>
      <c r="C101" s="7"/>
      <c r="D101" s="164"/>
      <c r="E101" s="2"/>
      <c r="F101" s="2"/>
      <c r="G101" s="2"/>
      <c r="H101" s="2"/>
      <c r="I101" s="2"/>
      <c r="J101" s="2"/>
      <c r="K101" s="2"/>
      <c r="L101" s="2"/>
      <c r="M101" s="2"/>
      <c r="N101" s="2"/>
      <c r="O101" s="2"/>
      <c r="P101" s="2"/>
    </row>
    <row r="102" spans="1:16" ht="21" customHeight="1">
      <c r="A102" s="2"/>
      <c r="B102" s="2"/>
      <c r="C102" s="7"/>
      <c r="D102" s="2"/>
      <c r="E102" s="2"/>
      <c r="F102" s="2"/>
      <c r="G102" s="2"/>
      <c r="H102" s="2"/>
      <c r="I102" s="2"/>
      <c r="J102" s="2"/>
      <c r="K102" s="2"/>
      <c r="L102" s="2"/>
      <c r="M102" s="2"/>
      <c r="N102" s="2"/>
      <c r="O102" s="2"/>
      <c r="P102" s="2"/>
    </row>
    <row r="103" spans="1:16" ht="21" customHeight="1">
      <c r="A103" s="2"/>
      <c r="B103" s="2"/>
      <c r="C103" s="7"/>
      <c r="D103" s="2"/>
      <c r="E103" s="2"/>
      <c r="F103" s="2"/>
      <c r="G103" s="2"/>
      <c r="H103" s="2"/>
      <c r="I103" s="2"/>
      <c r="J103" s="2"/>
      <c r="K103" s="2"/>
      <c r="L103" s="2"/>
      <c r="M103" s="2"/>
      <c r="N103" s="2"/>
      <c r="O103" s="2"/>
      <c r="P103" s="2"/>
    </row>
    <row r="104" spans="1:16" ht="21" customHeight="1">
      <c r="A104" s="2"/>
      <c r="B104" s="2"/>
      <c r="C104" s="7"/>
      <c r="D104" s="2"/>
      <c r="E104" s="2"/>
      <c r="F104" s="2"/>
      <c r="G104" s="2"/>
      <c r="H104" s="2"/>
      <c r="I104" s="2"/>
      <c r="J104" s="2"/>
      <c r="K104" s="2"/>
      <c r="L104" s="2"/>
      <c r="M104" s="2"/>
      <c r="N104" s="2"/>
      <c r="O104" s="2"/>
      <c r="P104" s="2"/>
    </row>
    <row r="105" spans="1:16" ht="21" customHeight="1">
      <c r="A105" s="2"/>
      <c r="B105" s="2"/>
      <c r="C105" s="7"/>
      <c r="D105" s="2"/>
      <c r="E105" s="2"/>
      <c r="F105" s="2"/>
      <c r="G105" s="2"/>
      <c r="H105" s="2"/>
      <c r="I105" s="2"/>
      <c r="J105" s="2"/>
      <c r="K105" s="2"/>
      <c r="L105" s="2"/>
      <c r="M105" s="2"/>
      <c r="N105" s="2"/>
      <c r="O105" s="2"/>
      <c r="P105" s="2"/>
    </row>
    <row r="106" spans="1:16" ht="21" customHeight="1">
      <c r="A106" s="2"/>
      <c r="B106" s="2"/>
      <c r="C106" s="7"/>
      <c r="D106" s="2"/>
      <c r="E106" s="2"/>
      <c r="F106" s="2"/>
      <c r="G106" s="2"/>
      <c r="H106" s="2"/>
      <c r="I106" s="2"/>
      <c r="J106" s="2"/>
      <c r="K106" s="2"/>
      <c r="L106" s="2"/>
      <c r="M106" s="2"/>
      <c r="N106" s="2"/>
      <c r="O106" s="2"/>
      <c r="P106" s="2"/>
    </row>
    <row r="107" spans="1:16" ht="21" customHeight="1">
      <c r="A107" s="2"/>
      <c r="B107" s="2"/>
      <c r="C107" s="7"/>
      <c r="D107" s="2"/>
      <c r="E107" s="2"/>
      <c r="F107" s="2"/>
      <c r="G107" s="2"/>
      <c r="H107" s="2"/>
      <c r="I107" s="2"/>
      <c r="J107" s="2"/>
      <c r="K107" s="2"/>
      <c r="L107" s="2"/>
      <c r="M107" s="2"/>
      <c r="N107" s="2"/>
      <c r="O107" s="2"/>
      <c r="P107" s="2"/>
    </row>
    <row r="108" spans="1:16" ht="21" customHeight="1">
      <c r="A108" s="2"/>
      <c r="B108" s="2"/>
      <c r="C108" s="7"/>
      <c r="D108" s="2"/>
      <c r="E108" s="2"/>
      <c r="F108" s="2"/>
      <c r="G108" s="2"/>
      <c r="H108" s="2"/>
      <c r="I108" s="2"/>
      <c r="J108" s="2"/>
      <c r="K108" s="2"/>
      <c r="L108" s="2"/>
      <c r="M108" s="2"/>
      <c r="N108" s="2"/>
      <c r="O108" s="2"/>
      <c r="P108" s="2"/>
    </row>
    <row r="109" spans="1:16" ht="21" customHeight="1">
      <c r="A109" s="2"/>
      <c r="B109" s="2"/>
      <c r="C109" s="7"/>
      <c r="D109" s="2"/>
      <c r="E109" s="2"/>
      <c r="F109" s="2"/>
      <c r="G109" s="2"/>
      <c r="H109" s="2"/>
      <c r="I109" s="2"/>
      <c r="J109" s="2"/>
      <c r="K109" s="2"/>
      <c r="L109" s="2"/>
      <c r="M109" s="2"/>
      <c r="N109" s="2"/>
      <c r="O109" s="2"/>
      <c r="P109" s="2"/>
    </row>
    <row r="110" spans="1:16" ht="21" customHeight="1">
      <c r="A110" s="2"/>
      <c r="B110" s="2"/>
      <c r="C110" s="7"/>
      <c r="D110" s="2"/>
      <c r="E110" s="2"/>
      <c r="F110" s="2"/>
      <c r="G110" s="2"/>
      <c r="H110" s="2"/>
      <c r="I110" s="2"/>
      <c r="J110" s="2"/>
      <c r="K110" s="2"/>
      <c r="L110" s="2"/>
      <c r="M110" s="2"/>
      <c r="N110" s="2"/>
      <c r="O110" s="2"/>
      <c r="P110" s="2"/>
    </row>
    <row r="111" spans="1:16" ht="21" customHeight="1">
      <c r="A111" s="2"/>
      <c r="B111" s="2"/>
      <c r="C111" s="7"/>
      <c r="D111" s="2"/>
      <c r="E111" s="2"/>
      <c r="F111" s="2"/>
      <c r="G111" s="2"/>
      <c r="H111" s="2"/>
      <c r="I111" s="2"/>
      <c r="J111" s="2"/>
      <c r="K111" s="2"/>
      <c r="L111" s="2"/>
      <c r="M111" s="2"/>
      <c r="N111" s="2"/>
      <c r="O111" s="2"/>
      <c r="P111" s="2"/>
    </row>
    <row r="112" spans="1:16" ht="21" customHeight="1">
      <c r="A112" s="2"/>
      <c r="B112" s="2"/>
      <c r="C112" s="7"/>
      <c r="D112" s="2"/>
      <c r="E112" s="2"/>
      <c r="F112" s="2"/>
      <c r="G112" s="2"/>
      <c r="H112" s="2"/>
      <c r="I112" s="2"/>
      <c r="J112" s="2"/>
      <c r="K112" s="2"/>
      <c r="L112" s="2"/>
      <c r="M112" s="2"/>
      <c r="N112" s="2"/>
      <c r="O112" s="2"/>
      <c r="P112" s="2"/>
    </row>
    <row r="113" spans="1:16" ht="21" customHeight="1">
      <c r="A113" s="2"/>
      <c r="B113" s="2"/>
      <c r="C113" s="7"/>
      <c r="D113" s="2"/>
      <c r="E113" s="2"/>
      <c r="F113" s="2"/>
      <c r="G113" s="2"/>
      <c r="H113" s="2"/>
      <c r="I113" s="2"/>
      <c r="J113" s="2"/>
      <c r="K113" s="2"/>
      <c r="L113" s="2"/>
      <c r="M113" s="2"/>
      <c r="N113" s="2"/>
      <c r="O113" s="2"/>
      <c r="P113" s="2"/>
    </row>
    <row r="114" spans="1:16" ht="21" customHeight="1">
      <c r="A114" s="2"/>
      <c r="B114" s="2"/>
      <c r="C114" s="7"/>
      <c r="D114" s="2"/>
      <c r="E114" s="2"/>
      <c r="F114" s="2"/>
      <c r="G114" s="2"/>
      <c r="H114" s="2"/>
      <c r="I114" s="2"/>
      <c r="J114" s="2"/>
      <c r="K114" s="2"/>
      <c r="L114" s="2"/>
      <c r="M114" s="2"/>
      <c r="N114" s="2"/>
      <c r="O114" s="2"/>
      <c r="P114" s="2"/>
    </row>
    <row r="115" spans="1:16" ht="21" customHeight="1">
      <c r="A115" s="2"/>
      <c r="B115" s="2"/>
      <c r="C115" s="7"/>
      <c r="D115" s="2"/>
      <c r="E115" s="2"/>
      <c r="F115" s="2"/>
      <c r="G115" s="2"/>
      <c r="H115" s="2"/>
      <c r="I115" s="2"/>
      <c r="J115" s="2"/>
      <c r="K115" s="2"/>
      <c r="L115" s="2"/>
      <c r="M115" s="2"/>
      <c r="N115" s="2"/>
      <c r="O115" s="2"/>
      <c r="P115" s="2"/>
    </row>
    <row r="116" spans="1:16" ht="21" customHeight="1">
      <c r="A116" s="2"/>
      <c r="B116" s="2"/>
      <c r="C116" s="7"/>
      <c r="D116" s="2"/>
      <c r="E116" s="2"/>
      <c r="F116" s="2"/>
      <c r="G116" s="2"/>
      <c r="H116" s="2"/>
      <c r="I116" s="2"/>
      <c r="J116" s="2"/>
      <c r="K116" s="2"/>
      <c r="L116" s="2"/>
      <c r="M116" s="2"/>
      <c r="N116" s="2"/>
      <c r="O116" s="2"/>
      <c r="P116" s="2"/>
    </row>
    <row r="117" spans="1:16" ht="21" customHeight="1">
      <c r="A117" s="2"/>
      <c r="B117" s="2"/>
      <c r="C117" s="7"/>
      <c r="D117" s="2"/>
      <c r="E117" s="2"/>
      <c r="F117" s="2"/>
      <c r="G117" s="2"/>
      <c r="H117" s="2"/>
      <c r="I117" s="2"/>
      <c r="J117" s="2"/>
      <c r="K117" s="2"/>
      <c r="L117" s="2"/>
      <c r="M117" s="2"/>
      <c r="N117" s="2"/>
      <c r="O117" s="2"/>
      <c r="P117" s="2"/>
    </row>
    <row r="118" spans="1:16" ht="21" customHeight="1">
      <c r="A118" s="2"/>
      <c r="B118" s="2"/>
      <c r="C118" s="7"/>
      <c r="D118" s="2"/>
      <c r="E118" s="2"/>
      <c r="F118" s="2"/>
      <c r="G118" s="2"/>
      <c r="H118" s="2"/>
      <c r="I118" s="2"/>
      <c r="J118" s="2"/>
      <c r="K118" s="2"/>
      <c r="L118" s="2"/>
      <c r="M118" s="2"/>
      <c r="N118" s="2"/>
      <c r="O118" s="2"/>
      <c r="P118" s="2"/>
    </row>
    <row r="119" spans="1:16" ht="21" customHeight="1">
      <c r="A119" s="2"/>
      <c r="B119" s="2"/>
      <c r="C119" s="7"/>
      <c r="D119" s="2"/>
      <c r="E119" s="2"/>
      <c r="F119" s="2"/>
      <c r="G119" s="2"/>
      <c r="H119" s="2"/>
      <c r="I119" s="2"/>
      <c r="J119" s="2"/>
      <c r="K119" s="2"/>
      <c r="L119" s="2"/>
      <c r="M119" s="2"/>
      <c r="N119" s="2"/>
      <c r="O119" s="2"/>
      <c r="P119" s="2"/>
    </row>
    <row r="120" spans="1:16" ht="21" customHeight="1">
      <c r="A120" s="2"/>
      <c r="B120" s="2"/>
      <c r="C120" s="7"/>
      <c r="D120" s="2"/>
      <c r="E120" s="2"/>
      <c r="F120" s="2"/>
      <c r="G120" s="2"/>
      <c r="H120" s="2"/>
      <c r="I120" s="2"/>
      <c r="J120" s="2"/>
      <c r="K120" s="2"/>
      <c r="L120" s="2"/>
      <c r="M120" s="2"/>
      <c r="N120" s="2"/>
      <c r="O120" s="2"/>
      <c r="P120" s="2"/>
    </row>
    <row r="121" spans="1:16" ht="21" customHeight="1">
      <c r="C121" s="8"/>
    </row>
    <row r="122" spans="1:16" ht="21" customHeight="1">
      <c r="C122" s="8"/>
    </row>
    <row r="123" spans="1:16" ht="21" customHeight="1">
      <c r="C123" s="8"/>
    </row>
    <row r="124" spans="1:16" ht="21" customHeight="1">
      <c r="C124" s="8"/>
    </row>
    <row r="125" spans="1:16" ht="21" customHeight="1">
      <c r="C125" s="8"/>
    </row>
    <row r="126" spans="1:16" ht="21" customHeight="1">
      <c r="C126" s="8"/>
    </row>
    <row r="127" spans="1:16" ht="21" customHeight="1">
      <c r="C127" s="8"/>
    </row>
    <row r="128" spans="1:16" ht="21" customHeight="1">
      <c r="C128" s="8"/>
    </row>
    <row r="129" spans="3:3" ht="21" customHeight="1">
      <c r="C129" s="8"/>
    </row>
    <row r="130" spans="3:3" ht="21" customHeight="1">
      <c r="C130" s="8"/>
    </row>
    <row r="131" spans="3:3" ht="21" customHeight="1">
      <c r="C131" s="8"/>
    </row>
    <row r="132" spans="3:3" ht="21" customHeight="1">
      <c r="C132" s="8"/>
    </row>
    <row r="133" spans="3:3" ht="21" customHeight="1">
      <c r="C133" s="8"/>
    </row>
    <row r="134" spans="3:3" ht="21" customHeight="1">
      <c r="C134" s="8"/>
    </row>
    <row r="135" spans="3:3" ht="21" customHeight="1">
      <c r="C135" s="8"/>
    </row>
    <row r="136" spans="3:3" ht="21" customHeight="1">
      <c r="C136" s="8"/>
    </row>
    <row r="137" spans="3:3" ht="21" customHeight="1">
      <c r="C137" s="8"/>
    </row>
    <row r="138" spans="3:3" ht="21" customHeight="1">
      <c r="C138" s="8"/>
    </row>
    <row r="139" spans="3:3" ht="21" customHeight="1">
      <c r="C139" s="8"/>
    </row>
    <row r="140" spans="3:3" ht="21" customHeight="1">
      <c r="C140" s="8"/>
    </row>
    <row r="141" spans="3:3" ht="21" customHeight="1">
      <c r="C141" s="8"/>
    </row>
    <row r="142" spans="3:3" ht="21" customHeight="1">
      <c r="C142" s="8"/>
    </row>
    <row r="143" spans="3:3" ht="21" customHeight="1">
      <c r="C143" s="8"/>
    </row>
    <row r="144" spans="3:3" ht="21" customHeight="1">
      <c r="C144" s="8"/>
    </row>
    <row r="145" spans="3:3" ht="21" customHeight="1">
      <c r="C145" s="8"/>
    </row>
    <row r="146" spans="3:3" ht="21" customHeight="1">
      <c r="C146" s="8"/>
    </row>
    <row r="147" spans="3:3" ht="21" customHeight="1">
      <c r="C147" s="8"/>
    </row>
    <row r="148" spans="3:3" ht="21" customHeight="1">
      <c r="C148" s="8"/>
    </row>
    <row r="149" spans="3:3" ht="21" customHeight="1">
      <c r="C149" s="8"/>
    </row>
    <row r="150" spans="3:3" ht="21" customHeight="1">
      <c r="C150" s="8"/>
    </row>
    <row r="151" spans="3:3" ht="21" customHeight="1">
      <c r="C151" s="8"/>
    </row>
    <row r="152" spans="3:3" ht="21" customHeight="1">
      <c r="C152" s="8"/>
    </row>
    <row r="153" spans="3:3" ht="21" customHeight="1">
      <c r="C153" s="8"/>
    </row>
    <row r="154" spans="3:3" ht="21" customHeight="1">
      <c r="C154" s="8"/>
    </row>
    <row r="155" spans="3:3" ht="21" customHeight="1">
      <c r="C155" s="8"/>
    </row>
    <row r="156" spans="3:3" ht="21" customHeight="1">
      <c r="C156" s="8"/>
    </row>
    <row r="157" spans="3:3" ht="21" customHeight="1">
      <c r="C157" s="8"/>
    </row>
    <row r="158" spans="3:3" ht="21" customHeight="1">
      <c r="C158" s="8"/>
    </row>
    <row r="159" spans="3:3" ht="21" customHeight="1">
      <c r="C159" s="8"/>
    </row>
    <row r="160" spans="3:3" ht="21" customHeight="1">
      <c r="C160" s="8"/>
    </row>
    <row r="161" spans="3:3" ht="21" customHeight="1">
      <c r="C161" s="8"/>
    </row>
    <row r="162" spans="3:3" ht="21" customHeight="1">
      <c r="C162" s="8"/>
    </row>
    <row r="163" spans="3:3" ht="21" customHeight="1">
      <c r="C163" s="8"/>
    </row>
    <row r="164" spans="3:3" ht="21" customHeight="1">
      <c r="C164" s="8"/>
    </row>
    <row r="165" spans="3:3" ht="21" customHeight="1">
      <c r="C165" s="8"/>
    </row>
    <row r="166" spans="3:3" ht="21" customHeight="1">
      <c r="C166" s="8"/>
    </row>
    <row r="167" spans="3:3" ht="21" customHeight="1">
      <c r="C167" s="8"/>
    </row>
    <row r="168" spans="3:3" ht="21" customHeight="1">
      <c r="C168" s="8"/>
    </row>
    <row r="169" spans="3:3" ht="21" customHeight="1">
      <c r="C169" s="8"/>
    </row>
    <row r="170" spans="3:3" ht="21" customHeight="1">
      <c r="C170" s="8"/>
    </row>
    <row r="171" spans="3:3" ht="21" customHeight="1">
      <c r="C171" s="8"/>
    </row>
    <row r="172" spans="3:3" ht="21" customHeight="1">
      <c r="C172" s="8"/>
    </row>
    <row r="173" spans="3:3" ht="21" customHeight="1">
      <c r="C173" s="8"/>
    </row>
    <row r="174" spans="3:3" ht="21" customHeight="1">
      <c r="C174" s="8"/>
    </row>
    <row r="175" spans="3:3" ht="21" customHeight="1">
      <c r="C175" s="8"/>
    </row>
    <row r="176" spans="3:3" ht="21" customHeight="1">
      <c r="C176" s="8"/>
    </row>
    <row r="177" spans="3:3" ht="21" customHeight="1">
      <c r="C177" s="8"/>
    </row>
    <row r="178" spans="3:3" ht="21" customHeight="1">
      <c r="C178" s="8"/>
    </row>
    <row r="179" spans="3:3" ht="21" customHeight="1">
      <c r="C179" s="8"/>
    </row>
    <row r="180" spans="3:3" ht="21" customHeight="1">
      <c r="C180" s="8"/>
    </row>
    <row r="181" spans="3:3" ht="21" customHeight="1">
      <c r="C181" s="8"/>
    </row>
    <row r="182" spans="3:3" ht="21" customHeight="1">
      <c r="C182" s="8"/>
    </row>
    <row r="183" spans="3:3" ht="21" customHeight="1">
      <c r="C183" s="8"/>
    </row>
    <row r="184" spans="3:3" ht="21" customHeight="1">
      <c r="C184" s="8"/>
    </row>
    <row r="185" spans="3:3" ht="21" customHeight="1">
      <c r="C185" s="8"/>
    </row>
    <row r="186" spans="3:3" ht="21" customHeight="1">
      <c r="C186" s="8"/>
    </row>
    <row r="187" spans="3:3" ht="21" customHeight="1">
      <c r="C187" s="8"/>
    </row>
    <row r="188" spans="3:3" ht="21" customHeight="1">
      <c r="C188" s="8"/>
    </row>
    <row r="189" spans="3:3" ht="21" customHeight="1">
      <c r="C189" s="8"/>
    </row>
    <row r="190" spans="3:3" ht="21" customHeight="1">
      <c r="C190" s="8"/>
    </row>
    <row r="191" spans="3:3" ht="21" customHeight="1">
      <c r="C191" s="8"/>
    </row>
    <row r="192" spans="3:3" ht="21" customHeight="1">
      <c r="C192" s="8"/>
    </row>
    <row r="193" spans="3:3" ht="21" customHeight="1">
      <c r="C193" s="8"/>
    </row>
    <row r="194" spans="3:3" ht="21" customHeight="1">
      <c r="C194" s="8"/>
    </row>
    <row r="195" spans="3:3" ht="21" customHeight="1">
      <c r="C195" s="8"/>
    </row>
    <row r="196" spans="3:3" ht="21" customHeight="1">
      <c r="C196" s="8"/>
    </row>
    <row r="197" spans="3:3" ht="21" customHeight="1">
      <c r="C197" s="8"/>
    </row>
    <row r="198" spans="3:3" ht="21" customHeight="1">
      <c r="C198" s="8"/>
    </row>
    <row r="199" spans="3:3" ht="21" customHeight="1">
      <c r="C199" s="8"/>
    </row>
    <row r="200" spans="3:3" ht="21" customHeight="1">
      <c r="C200" s="8"/>
    </row>
    <row r="201" spans="3:3" ht="21" customHeight="1">
      <c r="C201" s="8"/>
    </row>
    <row r="202" spans="3:3" ht="21" customHeight="1">
      <c r="C202" s="8"/>
    </row>
    <row r="203" spans="3:3" ht="21" customHeight="1">
      <c r="C203" s="8"/>
    </row>
    <row r="204" spans="3:3" ht="21" customHeight="1">
      <c r="C204" s="8"/>
    </row>
    <row r="205" spans="3:3" ht="21" customHeight="1">
      <c r="C205" s="8"/>
    </row>
    <row r="206" spans="3:3" ht="21" customHeight="1">
      <c r="C206" s="8"/>
    </row>
    <row r="207" spans="3:3" ht="21" customHeight="1">
      <c r="C207" s="8"/>
    </row>
    <row r="208" spans="3:3" ht="21" customHeight="1">
      <c r="C208" s="8"/>
    </row>
    <row r="209" spans="3:3" ht="21" customHeight="1">
      <c r="C209" s="8"/>
    </row>
    <row r="210" spans="3:3" ht="21" customHeight="1">
      <c r="C210" s="8"/>
    </row>
    <row r="211" spans="3:3" ht="21" customHeight="1">
      <c r="C211" s="8"/>
    </row>
    <row r="212" spans="3:3" ht="21" customHeight="1">
      <c r="C212" s="8"/>
    </row>
    <row r="213" spans="3:3" ht="21" customHeight="1">
      <c r="C213" s="8"/>
    </row>
    <row r="214" spans="3:3" ht="21" customHeight="1">
      <c r="C214" s="8"/>
    </row>
    <row r="215" spans="3:3" ht="21" customHeight="1">
      <c r="C215" s="8"/>
    </row>
    <row r="216" spans="3:3" ht="21" customHeight="1">
      <c r="C216" s="8"/>
    </row>
    <row r="217" spans="3:3" ht="21" customHeight="1">
      <c r="C217" s="8"/>
    </row>
    <row r="218" spans="3:3" ht="21" customHeight="1">
      <c r="C218" s="8"/>
    </row>
    <row r="219" spans="3:3" ht="21" customHeight="1">
      <c r="C219" s="8"/>
    </row>
    <row r="220" spans="3:3" ht="21" customHeight="1">
      <c r="C220" s="8"/>
    </row>
    <row r="221" spans="3:3" ht="21" customHeight="1">
      <c r="C221" s="8"/>
    </row>
    <row r="222" spans="3:3" ht="21" customHeight="1">
      <c r="C222" s="8"/>
    </row>
    <row r="223" spans="3:3" ht="21" customHeight="1">
      <c r="C223" s="8"/>
    </row>
    <row r="224" spans="3:3" ht="21" customHeight="1">
      <c r="C224" s="8"/>
    </row>
    <row r="225" spans="3:3" ht="21" customHeight="1">
      <c r="C225" s="8"/>
    </row>
    <row r="226" spans="3:3" ht="21" customHeight="1">
      <c r="C226" s="8"/>
    </row>
    <row r="227" spans="3:3" ht="21" customHeight="1">
      <c r="C227" s="8"/>
    </row>
    <row r="228" spans="3:3" ht="21" customHeight="1">
      <c r="C228" s="8"/>
    </row>
    <row r="229" spans="3:3" ht="21" customHeight="1">
      <c r="C229" s="8"/>
    </row>
    <row r="230" spans="3:3" ht="21" customHeight="1">
      <c r="C230" s="8"/>
    </row>
    <row r="231" spans="3:3" ht="21" customHeight="1">
      <c r="C231" s="8"/>
    </row>
    <row r="232" spans="3:3" ht="21" customHeight="1">
      <c r="C232" s="8"/>
    </row>
    <row r="233" spans="3:3" ht="21" customHeight="1">
      <c r="C233" s="8"/>
    </row>
    <row r="234" spans="3:3" ht="21" customHeight="1">
      <c r="C234" s="8"/>
    </row>
    <row r="235" spans="3:3" ht="21" customHeight="1">
      <c r="C235" s="8"/>
    </row>
    <row r="236" spans="3:3" ht="21" customHeight="1">
      <c r="C236" s="8"/>
    </row>
    <row r="237" spans="3:3" ht="21" customHeight="1">
      <c r="C237" s="8"/>
    </row>
    <row r="238" spans="3:3" ht="21" customHeight="1">
      <c r="C238" s="8"/>
    </row>
    <row r="239" spans="3:3" ht="21" customHeight="1">
      <c r="C239" s="8"/>
    </row>
    <row r="240" spans="3:3" ht="21" customHeight="1">
      <c r="C240" s="8"/>
    </row>
    <row r="241" spans="3:3" ht="21" customHeight="1">
      <c r="C241" s="8"/>
    </row>
    <row r="242" spans="3:3" ht="21" customHeight="1">
      <c r="C242" s="8"/>
    </row>
    <row r="243" spans="3:3" ht="21" customHeight="1">
      <c r="C243" s="8"/>
    </row>
    <row r="244" spans="3:3" ht="21" customHeight="1">
      <c r="C244" s="8"/>
    </row>
    <row r="245" spans="3:3" ht="21" customHeight="1">
      <c r="C245" s="8"/>
    </row>
    <row r="246" spans="3:3" ht="21" customHeight="1">
      <c r="C246" s="8"/>
    </row>
    <row r="247" spans="3:3" ht="21" customHeight="1">
      <c r="C247" s="8"/>
    </row>
    <row r="248" spans="3:3" ht="21" customHeight="1">
      <c r="C248" s="8"/>
    </row>
    <row r="249" spans="3:3" ht="21" customHeight="1">
      <c r="C249" s="8"/>
    </row>
    <row r="250" spans="3:3" ht="21" customHeight="1">
      <c r="C250" s="8"/>
    </row>
    <row r="251" spans="3:3" ht="21" customHeight="1">
      <c r="C251" s="8"/>
    </row>
    <row r="252" spans="3:3" ht="21" customHeight="1">
      <c r="C252" s="8"/>
    </row>
    <row r="253" spans="3:3" ht="21" customHeight="1">
      <c r="C253" s="8"/>
    </row>
    <row r="254" spans="3:3" ht="21" customHeight="1">
      <c r="C254" s="8"/>
    </row>
    <row r="255" spans="3:3" ht="21" customHeight="1">
      <c r="C255" s="8"/>
    </row>
    <row r="256" spans="3:3" ht="21" customHeight="1">
      <c r="C256" s="8"/>
    </row>
    <row r="257" spans="3:3" ht="21" customHeight="1">
      <c r="C257" s="8"/>
    </row>
    <row r="258" spans="3:3" ht="21" customHeight="1">
      <c r="C258" s="8"/>
    </row>
    <row r="259" spans="3:3" ht="21" customHeight="1">
      <c r="C259" s="8"/>
    </row>
    <row r="260" spans="3:3" ht="21" customHeight="1">
      <c r="C260" s="8"/>
    </row>
    <row r="261" spans="3:3" ht="21" customHeight="1">
      <c r="C261" s="8"/>
    </row>
    <row r="262" spans="3:3" ht="21" customHeight="1">
      <c r="C262" s="8"/>
    </row>
    <row r="263" spans="3:3" ht="21" customHeight="1">
      <c r="C263" s="8"/>
    </row>
    <row r="264" spans="3:3" ht="21" customHeight="1">
      <c r="C264" s="8"/>
    </row>
    <row r="265" spans="3:3" ht="21" customHeight="1">
      <c r="C265" s="8"/>
    </row>
    <row r="266" spans="3:3" ht="21" customHeight="1">
      <c r="C266" s="8"/>
    </row>
    <row r="267" spans="3:3" ht="21" customHeight="1">
      <c r="C267" s="8"/>
    </row>
    <row r="268" spans="3:3" ht="21" customHeight="1">
      <c r="C268" s="8"/>
    </row>
    <row r="269" spans="3:3" ht="21" customHeight="1">
      <c r="C269" s="8"/>
    </row>
    <row r="270" spans="3:3" ht="21" customHeight="1">
      <c r="C270" s="8"/>
    </row>
    <row r="271" spans="3:3" ht="21" customHeight="1">
      <c r="C271" s="8"/>
    </row>
    <row r="272" spans="3:3" ht="21" customHeight="1">
      <c r="C272" s="8"/>
    </row>
    <row r="273" spans="3:3" ht="21" customHeight="1">
      <c r="C273" s="8"/>
    </row>
    <row r="274" spans="3:3" ht="21" customHeight="1">
      <c r="C274" s="8"/>
    </row>
    <row r="275" spans="3:3" ht="21" customHeight="1">
      <c r="C275" s="8"/>
    </row>
    <row r="276" spans="3:3" ht="21" customHeight="1">
      <c r="C276" s="8"/>
    </row>
    <row r="277" spans="3:3" ht="21" customHeight="1">
      <c r="C277" s="8"/>
    </row>
    <row r="278" spans="3:3" ht="21" customHeight="1">
      <c r="C278" s="8"/>
    </row>
    <row r="279" spans="3:3" ht="21" customHeight="1">
      <c r="C279" s="8"/>
    </row>
    <row r="280" spans="3:3" ht="21" customHeight="1">
      <c r="C280" s="8"/>
    </row>
    <row r="281" spans="3:3" ht="21" customHeight="1">
      <c r="C281" s="8"/>
    </row>
    <row r="282" spans="3:3" ht="21" customHeight="1">
      <c r="C282" s="8"/>
    </row>
    <row r="283" spans="3:3" ht="21" customHeight="1">
      <c r="C283" s="8"/>
    </row>
    <row r="284" spans="3:3" ht="21" customHeight="1">
      <c r="C284" s="8"/>
    </row>
    <row r="285" spans="3:3" ht="21" customHeight="1">
      <c r="C285" s="8"/>
    </row>
    <row r="286" spans="3:3" ht="21" customHeight="1">
      <c r="C286" s="8"/>
    </row>
    <row r="287" spans="3:3" ht="21" customHeight="1">
      <c r="C287" s="8"/>
    </row>
    <row r="288" spans="3:3" ht="21" customHeight="1">
      <c r="C288" s="8"/>
    </row>
    <row r="289" spans="3:3" ht="21" customHeight="1">
      <c r="C289" s="8"/>
    </row>
    <row r="290" spans="3:3" ht="21" customHeight="1">
      <c r="C290" s="8"/>
    </row>
    <row r="291" spans="3:3" ht="21" customHeight="1">
      <c r="C291" s="8"/>
    </row>
    <row r="292" spans="3:3" ht="21" customHeight="1">
      <c r="C292" s="8"/>
    </row>
    <row r="293" spans="3:3" ht="21" customHeight="1">
      <c r="C293" s="8"/>
    </row>
    <row r="294" spans="3:3" ht="21" customHeight="1">
      <c r="C294" s="8"/>
    </row>
    <row r="295" spans="3:3" ht="21" customHeight="1">
      <c r="C295" s="8"/>
    </row>
    <row r="296" spans="3:3" ht="21" customHeight="1">
      <c r="C296" s="8"/>
    </row>
    <row r="297" spans="3:3" ht="21" customHeight="1">
      <c r="C297" s="8"/>
    </row>
    <row r="298" spans="3:3" ht="21" customHeight="1">
      <c r="C298" s="8"/>
    </row>
    <row r="299" spans="3:3" ht="21" customHeight="1">
      <c r="C299" s="8"/>
    </row>
    <row r="300" spans="3:3" ht="21" customHeight="1">
      <c r="C300" s="8"/>
    </row>
    <row r="301" spans="3:3" ht="21" customHeight="1"/>
    <row r="302" spans="3:3" ht="21" customHeight="1"/>
    <row r="303" spans="3:3" ht="21" customHeight="1"/>
    <row r="304" spans="3:3"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sortState xmlns:xlrd2="http://schemas.microsoft.com/office/spreadsheetml/2017/richdata2" ref="A2:E11">
    <sortCondition descending="1" ref="C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P600"/>
  <sheetViews>
    <sheetView showGridLines="0" workbookViewId="0">
      <pane ySplit="1" topLeftCell="A2" activePane="bottomLeft" state="frozen"/>
      <selection pane="bottomLeft"/>
    </sheetView>
  </sheetViews>
  <sheetFormatPr defaultRowHeight="14.25"/>
  <cols>
    <col min="1" max="2" width="20" customWidth="1"/>
    <col min="3" max="3" width="39" customWidth="1"/>
    <col min="4" max="4" width="20" customWidth="1"/>
    <col min="5" max="5" width="59" customWidth="1"/>
    <col min="6" max="7" width="20" customWidth="1"/>
  </cols>
  <sheetData>
    <row r="1" spans="1:16" ht="21" customHeight="1">
      <c r="A1" s="6" t="s">
        <v>531</v>
      </c>
      <c r="B1" s="6" t="s">
        <v>532</v>
      </c>
      <c r="C1" s="6" t="s">
        <v>533</v>
      </c>
      <c r="D1" s="6" t="s">
        <v>527</v>
      </c>
      <c r="E1" s="6" t="s">
        <v>128</v>
      </c>
      <c r="F1" s="2"/>
      <c r="G1" s="2"/>
      <c r="H1" s="2"/>
      <c r="I1" s="2"/>
      <c r="J1" s="2"/>
      <c r="K1" s="2"/>
      <c r="L1" s="2"/>
      <c r="M1" s="2"/>
      <c r="N1" s="2"/>
      <c r="O1" s="2"/>
      <c r="P1" s="2"/>
    </row>
    <row r="2" spans="1:16" ht="21" customHeight="1">
      <c r="A2" s="2" t="s">
        <v>559</v>
      </c>
      <c r="B2" s="7">
        <v>0.12328799999999999</v>
      </c>
      <c r="C2" s="2" t="s">
        <v>849</v>
      </c>
      <c r="D2" s="164">
        <v>46295</v>
      </c>
      <c r="E2" s="2" t="s">
        <v>232</v>
      </c>
      <c r="F2" s="2"/>
      <c r="G2" s="2"/>
      <c r="H2" s="2"/>
      <c r="I2" s="2"/>
      <c r="J2" s="2"/>
      <c r="K2" s="2"/>
      <c r="L2" s="2"/>
      <c r="M2" s="2"/>
      <c r="N2" s="2"/>
      <c r="O2" s="2"/>
      <c r="P2" s="2"/>
    </row>
    <row r="3" spans="1:16" ht="21" customHeight="1">
      <c r="A3" s="2" t="s">
        <v>645</v>
      </c>
      <c r="B3" s="7">
        <v>0.15387999999999999</v>
      </c>
      <c r="C3" s="2" t="s">
        <v>849</v>
      </c>
      <c r="D3" s="164">
        <v>46295</v>
      </c>
      <c r="E3" s="2" t="s">
        <v>232</v>
      </c>
      <c r="F3" s="2"/>
      <c r="G3" s="2"/>
      <c r="H3" s="2"/>
      <c r="I3" s="2"/>
      <c r="J3" s="2"/>
      <c r="K3" s="2"/>
      <c r="L3" s="2"/>
      <c r="M3" s="2"/>
      <c r="N3" s="2"/>
      <c r="O3" s="2"/>
      <c r="P3" s="2"/>
    </row>
    <row r="4" spans="1:16" ht="21" customHeight="1">
      <c r="A4" s="2" t="s">
        <v>650</v>
      </c>
      <c r="B4" s="7">
        <v>0.225296</v>
      </c>
      <c r="C4" s="2" t="s">
        <v>849</v>
      </c>
      <c r="D4" s="164">
        <v>46295</v>
      </c>
      <c r="E4" s="2" t="s">
        <v>232</v>
      </c>
      <c r="F4" s="2"/>
      <c r="G4" s="2"/>
      <c r="H4" s="2"/>
      <c r="I4" s="2"/>
      <c r="J4" s="2"/>
      <c r="K4" s="2"/>
      <c r="L4" s="2"/>
      <c r="M4" s="2"/>
      <c r="N4" s="2"/>
      <c r="O4" s="2"/>
      <c r="P4" s="2"/>
    </row>
    <row r="5" spans="1:16" ht="21" customHeight="1">
      <c r="A5" s="2" t="s">
        <v>653</v>
      </c>
      <c r="B5" s="7">
        <v>0.129523</v>
      </c>
      <c r="C5" s="2" t="s">
        <v>849</v>
      </c>
      <c r="D5" s="164">
        <v>46295</v>
      </c>
      <c r="E5" s="2" t="s">
        <v>232</v>
      </c>
      <c r="F5" s="2"/>
      <c r="G5" s="2"/>
      <c r="H5" s="2"/>
      <c r="I5" s="2"/>
      <c r="J5" s="2"/>
      <c r="K5" s="2"/>
      <c r="L5" s="2"/>
      <c r="M5" s="2"/>
      <c r="N5" s="2"/>
      <c r="O5" s="2"/>
      <c r="P5" s="2"/>
    </row>
    <row r="6" spans="1:16" ht="21" customHeight="1">
      <c r="A6" s="2" t="s">
        <v>656</v>
      </c>
      <c r="B6" s="7">
        <v>0.14933099999999999</v>
      </c>
      <c r="C6" s="2" t="s">
        <v>849</v>
      </c>
      <c r="D6" s="164">
        <v>46295</v>
      </c>
      <c r="E6" s="2" t="s">
        <v>232</v>
      </c>
      <c r="F6" s="2"/>
      <c r="G6" s="2"/>
      <c r="H6" s="2"/>
      <c r="I6" s="2"/>
      <c r="J6" s="2"/>
      <c r="K6" s="2"/>
      <c r="L6" s="2"/>
      <c r="M6" s="2"/>
      <c r="N6" s="2"/>
      <c r="O6" s="2"/>
      <c r="P6" s="2"/>
    </row>
    <row r="7" spans="1:16" ht="21" customHeight="1">
      <c r="A7" s="2" t="s">
        <v>659</v>
      </c>
      <c r="B7" s="7">
        <v>0.1079</v>
      </c>
      <c r="C7" s="2" t="s">
        <v>849</v>
      </c>
      <c r="D7" s="164">
        <v>46295</v>
      </c>
      <c r="E7" s="2" t="s">
        <v>232</v>
      </c>
      <c r="F7" s="2"/>
      <c r="G7" s="2"/>
      <c r="H7" s="2"/>
      <c r="I7" s="2"/>
      <c r="J7" s="2"/>
      <c r="K7" s="2"/>
      <c r="L7" s="2"/>
      <c r="M7" s="2"/>
      <c r="N7" s="2"/>
      <c r="O7" s="2"/>
      <c r="P7" s="2"/>
    </row>
    <row r="8" spans="1:16" ht="21" customHeight="1">
      <c r="A8" s="2" t="s">
        <v>559</v>
      </c>
      <c r="B8" s="7">
        <v>0.12328799999999999</v>
      </c>
      <c r="C8" s="2" t="s">
        <v>857</v>
      </c>
      <c r="D8" s="164">
        <v>46295</v>
      </c>
      <c r="E8" s="2" t="s">
        <v>237</v>
      </c>
      <c r="F8" s="2"/>
      <c r="G8" s="2"/>
      <c r="H8" s="2"/>
      <c r="I8" s="2"/>
      <c r="J8" s="2"/>
      <c r="K8" s="2"/>
      <c r="L8" s="2"/>
      <c r="M8" s="2"/>
      <c r="N8" s="2"/>
      <c r="O8" s="2"/>
      <c r="P8" s="2"/>
    </row>
    <row r="9" spans="1:16" ht="21" customHeight="1">
      <c r="A9" s="2" t="s">
        <v>645</v>
      </c>
      <c r="B9" s="7">
        <v>0.15387999999999999</v>
      </c>
      <c r="C9" s="2" t="s">
        <v>857</v>
      </c>
      <c r="D9" s="164">
        <v>46295</v>
      </c>
      <c r="E9" s="2" t="s">
        <v>237</v>
      </c>
      <c r="F9" s="2"/>
      <c r="G9" s="2"/>
      <c r="H9" s="2"/>
      <c r="I9" s="2"/>
      <c r="J9" s="2"/>
      <c r="K9" s="2"/>
      <c r="L9" s="2"/>
      <c r="M9" s="2"/>
      <c r="N9" s="2"/>
      <c r="O9" s="2"/>
      <c r="P9" s="2"/>
    </row>
    <row r="10" spans="1:16" ht="21" customHeight="1">
      <c r="A10" s="2" t="s">
        <v>650</v>
      </c>
      <c r="B10" s="7">
        <v>0.225296</v>
      </c>
      <c r="C10" s="2" t="s">
        <v>857</v>
      </c>
      <c r="D10" s="164">
        <v>46295</v>
      </c>
      <c r="E10" s="2" t="s">
        <v>237</v>
      </c>
      <c r="F10" s="2"/>
      <c r="G10" s="2"/>
      <c r="H10" s="2"/>
      <c r="I10" s="2"/>
      <c r="J10" s="2"/>
      <c r="K10" s="2"/>
      <c r="L10" s="2"/>
      <c r="M10" s="2"/>
      <c r="N10" s="2"/>
      <c r="O10" s="2"/>
      <c r="P10" s="2"/>
    </row>
    <row r="11" spans="1:16" ht="21" customHeight="1">
      <c r="A11" s="2" t="s">
        <v>653</v>
      </c>
      <c r="B11" s="7">
        <v>0.129523</v>
      </c>
      <c r="C11" s="2" t="s">
        <v>857</v>
      </c>
      <c r="D11" s="164">
        <v>46295</v>
      </c>
      <c r="E11" s="2" t="s">
        <v>237</v>
      </c>
      <c r="F11" s="2"/>
      <c r="G11" s="2"/>
      <c r="H11" s="2"/>
      <c r="I11" s="2"/>
      <c r="J11" s="2"/>
      <c r="K11" s="2"/>
      <c r="L11" s="2"/>
      <c r="M11" s="2"/>
      <c r="N11" s="2"/>
      <c r="O11" s="2"/>
      <c r="P11" s="2"/>
    </row>
    <row r="12" spans="1:16" ht="21" customHeight="1">
      <c r="A12" s="2" t="s">
        <v>656</v>
      </c>
      <c r="B12" s="7">
        <v>0.14933099999999999</v>
      </c>
      <c r="C12" s="2" t="s">
        <v>857</v>
      </c>
      <c r="D12" s="164">
        <v>46295</v>
      </c>
      <c r="E12" s="2" t="s">
        <v>237</v>
      </c>
      <c r="F12" s="2"/>
      <c r="G12" s="2"/>
      <c r="H12" s="2"/>
      <c r="I12" s="2"/>
      <c r="J12" s="2"/>
      <c r="K12" s="2"/>
      <c r="L12" s="2"/>
      <c r="M12" s="2"/>
      <c r="N12" s="2"/>
      <c r="O12" s="2"/>
      <c r="P12" s="2"/>
    </row>
    <row r="13" spans="1:16" ht="21" customHeight="1">
      <c r="A13" s="2" t="s">
        <v>659</v>
      </c>
      <c r="B13" s="7">
        <v>0.1079</v>
      </c>
      <c r="C13" s="2" t="s">
        <v>857</v>
      </c>
      <c r="D13" s="164">
        <v>46295</v>
      </c>
      <c r="E13" s="2" t="s">
        <v>237</v>
      </c>
      <c r="F13" s="2"/>
      <c r="G13" s="2"/>
      <c r="H13" s="2"/>
      <c r="I13" s="2"/>
      <c r="J13" s="2"/>
      <c r="K13" s="2"/>
      <c r="L13" s="2"/>
      <c r="M13" s="2"/>
      <c r="N13" s="2"/>
      <c r="O13" s="2"/>
      <c r="P13" s="2"/>
    </row>
    <row r="14" spans="1:16" ht="21" customHeight="1">
      <c r="A14" s="2"/>
      <c r="B14" s="7"/>
      <c r="C14" s="2"/>
      <c r="D14" s="2"/>
      <c r="E14" s="2"/>
      <c r="F14" s="2"/>
      <c r="G14" s="2"/>
      <c r="H14" s="2"/>
      <c r="I14" s="2"/>
      <c r="J14" s="2"/>
      <c r="K14" s="2"/>
      <c r="L14" s="2"/>
      <c r="M14" s="2"/>
      <c r="N14" s="2"/>
      <c r="O14" s="2"/>
      <c r="P14" s="2"/>
    </row>
    <row r="15" spans="1:16" ht="21" customHeight="1">
      <c r="A15" s="2"/>
      <c r="B15" s="7"/>
      <c r="C15" s="2"/>
      <c r="D15" s="2"/>
      <c r="E15" s="2"/>
      <c r="F15" s="2"/>
      <c r="G15" s="2"/>
      <c r="H15" s="2"/>
      <c r="I15" s="2"/>
      <c r="J15" s="2"/>
      <c r="K15" s="2"/>
      <c r="L15" s="2"/>
      <c r="M15" s="2"/>
      <c r="N15" s="2"/>
      <c r="O15" s="2"/>
      <c r="P15" s="2"/>
    </row>
    <row r="16" spans="1:16" ht="21" customHeight="1">
      <c r="A16" s="2"/>
      <c r="B16" s="7"/>
      <c r="C16" s="2"/>
      <c r="D16" s="2"/>
      <c r="E16" s="2"/>
      <c r="F16" s="2"/>
      <c r="G16" s="2"/>
      <c r="H16" s="2"/>
      <c r="I16" s="2"/>
      <c r="J16" s="2"/>
      <c r="K16" s="2"/>
      <c r="L16" s="2"/>
      <c r="M16" s="2"/>
      <c r="N16" s="2"/>
      <c r="O16" s="2"/>
      <c r="P16" s="2"/>
    </row>
    <row r="17" spans="1:16" ht="21" customHeight="1">
      <c r="A17" s="2"/>
      <c r="B17" s="7"/>
      <c r="C17" s="2"/>
      <c r="D17" s="2"/>
      <c r="E17" s="2"/>
      <c r="F17" s="2"/>
      <c r="G17" s="2"/>
      <c r="H17" s="2"/>
      <c r="I17" s="2"/>
      <c r="J17" s="2"/>
      <c r="K17" s="2"/>
      <c r="L17" s="2"/>
      <c r="M17" s="2"/>
      <c r="N17" s="2"/>
      <c r="O17" s="2"/>
      <c r="P17" s="2"/>
    </row>
    <row r="18" spans="1:16" ht="21" customHeight="1">
      <c r="A18" s="2"/>
      <c r="B18" s="7"/>
      <c r="C18" s="2"/>
      <c r="D18" s="2"/>
      <c r="E18" s="2"/>
      <c r="F18" s="2"/>
      <c r="G18" s="2"/>
      <c r="H18" s="2"/>
      <c r="I18" s="2"/>
      <c r="J18" s="2"/>
      <c r="K18" s="2"/>
      <c r="L18" s="2"/>
      <c r="M18" s="2"/>
      <c r="N18" s="2"/>
      <c r="O18" s="2"/>
      <c r="P18" s="2"/>
    </row>
    <row r="19" spans="1:16" ht="21" customHeight="1">
      <c r="A19" s="2"/>
      <c r="B19" s="7"/>
      <c r="C19" s="2"/>
      <c r="D19" s="2"/>
      <c r="E19" s="2"/>
      <c r="F19" s="2"/>
      <c r="G19" s="2"/>
      <c r="H19" s="2"/>
      <c r="I19" s="2"/>
      <c r="J19" s="2"/>
      <c r="K19" s="2"/>
      <c r="L19" s="2"/>
      <c r="M19" s="2"/>
      <c r="N19" s="2"/>
      <c r="O19" s="2"/>
      <c r="P19" s="2"/>
    </row>
    <row r="20" spans="1:16" ht="21" customHeight="1">
      <c r="A20" s="2"/>
      <c r="B20" s="7"/>
      <c r="C20" s="2"/>
      <c r="D20" s="2"/>
      <c r="E20" s="2"/>
      <c r="F20" s="2"/>
      <c r="G20" s="2"/>
      <c r="H20" s="2"/>
      <c r="I20" s="2"/>
      <c r="J20" s="2"/>
      <c r="K20" s="2"/>
      <c r="L20" s="2"/>
      <c r="M20" s="2"/>
      <c r="N20" s="2"/>
      <c r="O20" s="2"/>
      <c r="P20" s="2"/>
    </row>
    <row r="21" spans="1:16" ht="21" customHeight="1">
      <c r="A21" s="2"/>
      <c r="B21" s="7"/>
      <c r="C21" s="2"/>
      <c r="D21" s="2"/>
      <c r="E21" s="2"/>
      <c r="F21" s="2"/>
      <c r="G21" s="2"/>
      <c r="H21" s="2"/>
      <c r="I21" s="2"/>
      <c r="J21" s="2"/>
      <c r="K21" s="2"/>
      <c r="L21" s="2"/>
      <c r="M21" s="2"/>
      <c r="N21" s="2"/>
      <c r="O21" s="2"/>
      <c r="P21" s="2"/>
    </row>
    <row r="22" spans="1:16" ht="21" customHeight="1">
      <c r="A22" s="2"/>
      <c r="B22" s="7"/>
      <c r="C22" s="2"/>
      <c r="D22" s="2"/>
      <c r="E22" s="2"/>
      <c r="F22" s="2"/>
      <c r="G22" s="2"/>
      <c r="H22" s="2"/>
      <c r="I22" s="2"/>
      <c r="J22" s="2"/>
      <c r="K22" s="2"/>
      <c r="L22" s="2"/>
      <c r="M22" s="2"/>
      <c r="N22" s="2"/>
      <c r="O22" s="2"/>
      <c r="P22" s="2"/>
    </row>
    <row r="23" spans="1:16" ht="21" customHeight="1">
      <c r="A23" s="2"/>
      <c r="B23" s="7"/>
      <c r="C23" s="2"/>
      <c r="D23" s="2"/>
      <c r="E23" s="2"/>
      <c r="F23" s="2"/>
      <c r="G23" s="2"/>
      <c r="H23" s="2"/>
      <c r="I23" s="2"/>
      <c r="J23" s="2"/>
      <c r="K23" s="2"/>
      <c r="L23" s="2"/>
      <c r="M23" s="2"/>
      <c r="N23" s="2"/>
      <c r="O23" s="2"/>
      <c r="P23" s="2"/>
    </row>
    <row r="24" spans="1:16" ht="21" customHeight="1">
      <c r="A24" s="2"/>
      <c r="B24" s="7"/>
      <c r="C24" s="2"/>
      <c r="D24" s="2"/>
      <c r="E24" s="2"/>
      <c r="F24" s="2"/>
      <c r="G24" s="2"/>
      <c r="H24" s="2"/>
      <c r="I24" s="2"/>
      <c r="J24" s="2"/>
      <c r="K24" s="2"/>
      <c r="L24" s="2"/>
      <c r="M24" s="2"/>
      <c r="N24" s="2"/>
      <c r="O24" s="2"/>
      <c r="P24" s="2"/>
    </row>
    <row r="25" spans="1:16" ht="21" customHeight="1">
      <c r="A25" s="2"/>
      <c r="B25" s="7"/>
      <c r="C25" s="2"/>
      <c r="D25" s="2"/>
      <c r="E25" s="2"/>
      <c r="F25" s="2"/>
      <c r="G25" s="2"/>
      <c r="H25" s="2"/>
      <c r="I25" s="2"/>
      <c r="J25" s="2"/>
      <c r="K25" s="2"/>
      <c r="L25" s="2"/>
      <c r="M25" s="2"/>
      <c r="N25" s="2"/>
      <c r="O25" s="2"/>
      <c r="P25" s="2"/>
    </row>
    <row r="26" spans="1:16" ht="21" customHeight="1">
      <c r="A26" s="2"/>
      <c r="B26" s="7"/>
      <c r="C26" s="2"/>
      <c r="D26" s="2"/>
      <c r="E26" s="2"/>
      <c r="F26" s="2"/>
      <c r="G26" s="2"/>
      <c r="H26" s="2"/>
      <c r="I26" s="2"/>
      <c r="J26" s="2"/>
      <c r="K26" s="2"/>
      <c r="L26" s="2"/>
      <c r="M26" s="2"/>
      <c r="N26" s="2"/>
      <c r="O26" s="2"/>
      <c r="P26" s="2"/>
    </row>
    <row r="27" spans="1:16" ht="21" customHeight="1">
      <c r="A27" s="2"/>
      <c r="B27" s="7"/>
      <c r="C27" s="2"/>
      <c r="D27" s="2"/>
      <c r="E27" s="2"/>
      <c r="F27" s="2"/>
      <c r="G27" s="2"/>
      <c r="H27" s="2"/>
      <c r="I27" s="2"/>
      <c r="J27" s="2"/>
      <c r="K27" s="2"/>
      <c r="L27" s="2"/>
      <c r="M27" s="2"/>
      <c r="N27" s="2"/>
      <c r="O27" s="2"/>
      <c r="P27" s="2"/>
    </row>
    <row r="28" spans="1:16" ht="21" customHeight="1">
      <c r="A28" s="2"/>
      <c r="B28" s="7"/>
      <c r="C28" s="2"/>
      <c r="D28" s="2"/>
      <c r="E28" s="2"/>
      <c r="F28" s="2"/>
      <c r="G28" s="2"/>
      <c r="H28" s="2"/>
      <c r="I28" s="2"/>
      <c r="J28" s="2"/>
      <c r="K28" s="2"/>
      <c r="L28" s="2"/>
      <c r="M28" s="2"/>
      <c r="N28" s="2"/>
      <c r="O28" s="2"/>
      <c r="P28" s="2"/>
    </row>
    <row r="29" spans="1:16" ht="21" customHeight="1">
      <c r="A29" s="2"/>
      <c r="B29" s="7"/>
      <c r="C29" s="2"/>
      <c r="D29" s="2"/>
      <c r="E29" s="2"/>
      <c r="F29" s="2"/>
      <c r="G29" s="2"/>
      <c r="H29" s="2"/>
      <c r="I29" s="2"/>
      <c r="J29" s="2"/>
      <c r="K29" s="2"/>
      <c r="L29" s="2"/>
      <c r="M29" s="2"/>
      <c r="N29" s="2"/>
      <c r="O29" s="2"/>
      <c r="P29" s="2"/>
    </row>
    <row r="30" spans="1:16" ht="21" customHeight="1">
      <c r="A30" s="2"/>
      <c r="B30" s="7"/>
      <c r="C30" s="2"/>
      <c r="D30" s="2"/>
      <c r="E30" s="2"/>
      <c r="F30" s="2"/>
      <c r="G30" s="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P600"/>
  <sheetViews>
    <sheetView showGridLines="0" workbookViewId="0">
      <pane ySplit="1" topLeftCell="A2" activePane="bottomLeft" state="frozen"/>
      <selection pane="bottomLeft"/>
    </sheetView>
  </sheetViews>
  <sheetFormatPr defaultRowHeight="14.25"/>
  <cols>
    <col min="1" max="7" width="20" customWidth="1"/>
  </cols>
  <sheetData>
    <row r="1" spans="1:16" ht="21" customHeight="1">
      <c r="A1" s="6" t="s">
        <v>48</v>
      </c>
      <c r="B1" s="6" t="s">
        <v>49</v>
      </c>
      <c r="C1" s="6" t="s">
        <v>534</v>
      </c>
      <c r="D1" s="6" t="s">
        <v>535</v>
      </c>
      <c r="E1" s="6" t="s">
        <v>536</v>
      </c>
      <c r="F1" s="6" t="s">
        <v>537</v>
      </c>
      <c r="G1" s="6" t="s">
        <v>128</v>
      </c>
      <c r="H1" s="2"/>
      <c r="I1" s="2"/>
      <c r="J1" s="2"/>
      <c r="K1" s="2"/>
      <c r="L1" s="2"/>
      <c r="M1" s="2"/>
      <c r="N1" s="2"/>
      <c r="O1" s="2"/>
      <c r="P1" s="2"/>
    </row>
    <row r="2" spans="1:16" ht="21" customHeight="1">
      <c r="A2" s="164">
        <v>46003</v>
      </c>
      <c r="B2" s="9">
        <v>5.0999999999999997E-2</v>
      </c>
      <c r="C2" s="164">
        <v>46002</v>
      </c>
      <c r="D2" s="164">
        <v>46003</v>
      </c>
      <c r="E2" s="164"/>
      <c r="F2" s="2" t="s">
        <v>1029</v>
      </c>
      <c r="G2" s="2" t="s">
        <v>254</v>
      </c>
      <c r="H2" s="2"/>
      <c r="I2" s="2"/>
      <c r="J2" s="2"/>
      <c r="K2" s="2"/>
      <c r="L2" s="2"/>
      <c r="M2" s="2"/>
      <c r="N2" s="2"/>
      <c r="O2" s="2"/>
      <c r="P2" s="2"/>
    </row>
    <row r="3" spans="1:16" ht="21" customHeight="1">
      <c r="A3" s="164"/>
      <c r="B3" s="9"/>
      <c r="C3" s="164"/>
      <c r="D3" s="164"/>
      <c r="E3" s="164"/>
      <c r="F3" s="2"/>
      <c r="G3" s="2"/>
      <c r="H3" s="2"/>
      <c r="I3" s="2"/>
      <c r="J3" s="2"/>
      <c r="K3" s="2"/>
      <c r="L3" s="2"/>
      <c r="M3" s="2"/>
      <c r="N3" s="2"/>
      <c r="O3" s="2"/>
      <c r="P3" s="2"/>
    </row>
    <row r="4" spans="1:16" ht="21" customHeight="1">
      <c r="A4" s="164"/>
      <c r="B4" s="9"/>
      <c r="C4" s="164"/>
      <c r="D4" s="164"/>
      <c r="E4" s="164"/>
      <c r="F4" s="2"/>
      <c r="G4" s="2"/>
      <c r="H4" s="2"/>
      <c r="I4" s="2"/>
      <c r="J4" s="2"/>
      <c r="K4" s="2"/>
      <c r="L4" s="2"/>
      <c r="M4" s="2"/>
      <c r="N4" s="2"/>
      <c r="O4" s="2"/>
      <c r="P4" s="2"/>
    </row>
    <row r="5" spans="1:16" ht="21" customHeight="1">
      <c r="A5" s="164"/>
      <c r="B5" s="9"/>
      <c r="C5" s="164"/>
      <c r="D5" s="164"/>
      <c r="E5" s="164"/>
      <c r="F5" s="2"/>
      <c r="G5" s="2"/>
      <c r="H5" s="2"/>
      <c r="I5" s="2"/>
      <c r="J5" s="2"/>
      <c r="K5" s="2"/>
      <c r="L5" s="2"/>
      <c r="M5" s="2"/>
      <c r="N5" s="2"/>
      <c r="O5" s="2"/>
      <c r="P5" s="2"/>
    </row>
    <row r="6" spans="1:16" ht="21" customHeight="1">
      <c r="A6" s="2"/>
      <c r="B6" s="9"/>
      <c r="C6" s="2"/>
      <c r="D6" s="2"/>
      <c r="E6" s="2"/>
      <c r="F6" s="2"/>
      <c r="G6" s="2"/>
      <c r="H6" s="2"/>
      <c r="I6" s="2"/>
      <c r="J6" s="2"/>
      <c r="K6" s="2"/>
      <c r="L6" s="2"/>
      <c r="M6" s="2"/>
      <c r="N6" s="2"/>
      <c r="O6" s="2"/>
      <c r="P6" s="2"/>
    </row>
    <row r="7" spans="1:16" ht="21" customHeight="1">
      <c r="A7" s="2"/>
      <c r="B7" s="9"/>
      <c r="C7" s="2"/>
      <c r="D7" s="2"/>
      <c r="E7" s="2"/>
      <c r="F7" s="2"/>
      <c r="G7" s="2"/>
      <c r="H7" s="2"/>
      <c r="I7" s="2"/>
      <c r="J7" s="2"/>
      <c r="K7" s="2"/>
      <c r="L7" s="2"/>
      <c r="M7" s="2"/>
      <c r="N7" s="2"/>
      <c r="O7" s="2"/>
      <c r="P7" s="2"/>
    </row>
    <row r="8" spans="1:16" ht="21" customHeight="1">
      <c r="A8" s="2"/>
      <c r="B8" s="9"/>
      <c r="C8" s="2"/>
      <c r="D8" s="2"/>
      <c r="E8" s="2"/>
      <c r="F8" s="2"/>
      <c r="G8" s="2"/>
      <c r="H8" s="2"/>
      <c r="I8" s="2"/>
      <c r="J8" s="2"/>
      <c r="K8" s="2"/>
      <c r="L8" s="2"/>
      <c r="M8" s="2"/>
      <c r="N8" s="2"/>
      <c r="O8" s="2"/>
      <c r="P8" s="2"/>
    </row>
    <row r="9" spans="1:16" ht="21" customHeight="1">
      <c r="A9" s="2"/>
      <c r="B9" s="9"/>
      <c r="C9" s="2"/>
      <c r="D9" s="2"/>
      <c r="E9" s="2"/>
      <c r="F9" s="2"/>
      <c r="G9" s="2"/>
      <c r="H9" s="2"/>
      <c r="I9" s="2"/>
      <c r="J9" s="2"/>
      <c r="K9" s="2"/>
      <c r="L9" s="2"/>
      <c r="M9" s="2"/>
      <c r="N9" s="2"/>
      <c r="O9" s="2"/>
      <c r="P9" s="2"/>
    </row>
    <row r="10" spans="1:16" ht="21" customHeight="1">
      <c r="A10" s="2"/>
      <c r="B10" s="9"/>
      <c r="C10" s="2"/>
      <c r="D10" s="2"/>
      <c r="E10" s="2"/>
      <c r="F10" s="2"/>
      <c r="G10" s="2"/>
      <c r="H10" s="2"/>
      <c r="I10" s="2"/>
      <c r="J10" s="2"/>
      <c r="K10" s="2"/>
      <c r="L10" s="2"/>
      <c r="M10" s="2"/>
      <c r="N10" s="2"/>
      <c r="O10" s="2"/>
      <c r="P10" s="2"/>
    </row>
    <row r="11" spans="1:16" ht="21" customHeight="1">
      <c r="A11" s="2"/>
      <c r="B11" s="9"/>
      <c r="C11" s="2"/>
      <c r="D11" s="2"/>
      <c r="E11" s="2"/>
      <c r="F11" s="2"/>
      <c r="G11" s="2"/>
      <c r="H11" s="2"/>
      <c r="I11" s="2"/>
      <c r="J11" s="2"/>
      <c r="K11" s="2"/>
      <c r="L11" s="2"/>
      <c r="M11" s="2"/>
      <c r="N11" s="2"/>
      <c r="O11" s="2"/>
      <c r="P11" s="2"/>
    </row>
    <row r="12" spans="1:16" ht="21" customHeight="1">
      <c r="A12" s="2"/>
      <c r="B12" s="9"/>
      <c r="C12" s="2"/>
      <c r="D12" s="2"/>
      <c r="E12" s="2"/>
      <c r="F12" s="2"/>
      <c r="G12" s="2"/>
      <c r="H12" s="2"/>
      <c r="I12" s="2"/>
      <c r="J12" s="2"/>
      <c r="K12" s="2"/>
      <c r="L12" s="2"/>
      <c r="M12" s="2"/>
      <c r="N12" s="2"/>
      <c r="O12" s="2"/>
      <c r="P12" s="2"/>
    </row>
    <row r="13" spans="1:16" ht="21" customHeight="1">
      <c r="A13" s="2"/>
      <c r="B13" s="9"/>
      <c r="C13" s="2"/>
      <c r="D13" s="2"/>
      <c r="E13" s="2"/>
      <c r="F13" s="2"/>
      <c r="G13" s="2"/>
      <c r="H13" s="2"/>
      <c r="I13" s="2"/>
      <c r="J13" s="2"/>
      <c r="K13" s="2"/>
      <c r="L13" s="2"/>
      <c r="M13" s="2"/>
      <c r="N13" s="2"/>
      <c r="O13" s="2"/>
      <c r="P13" s="2"/>
    </row>
    <row r="14" spans="1:16" ht="21" customHeight="1">
      <c r="A14" s="2"/>
      <c r="B14" s="9"/>
      <c r="C14" s="2"/>
      <c r="D14" s="2"/>
      <c r="E14" s="2"/>
      <c r="F14" s="2"/>
      <c r="G14" s="2"/>
      <c r="H14" s="2"/>
      <c r="I14" s="2"/>
      <c r="J14" s="2"/>
      <c r="K14" s="2"/>
      <c r="L14" s="2"/>
      <c r="M14" s="2"/>
      <c r="N14" s="2"/>
      <c r="O14" s="2"/>
      <c r="P14" s="2"/>
    </row>
    <row r="15" spans="1:16" ht="21" customHeight="1">
      <c r="A15" s="2"/>
      <c r="B15" s="9"/>
      <c r="C15" s="2"/>
      <c r="D15" s="2"/>
      <c r="E15" s="2"/>
      <c r="F15" s="2"/>
      <c r="G15" s="2"/>
      <c r="H15" s="2"/>
      <c r="I15" s="2"/>
      <c r="J15" s="2"/>
      <c r="K15" s="2"/>
      <c r="L15" s="2"/>
      <c r="M15" s="2"/>
      <c r="N15" s="2"/>
      <c r="O15" s="2"/>
      <c r="P15" s="2"/>
    </row>
    <row r="16" spans="1:16" ht="21" customHeight="1">
      <c r="A16" s="2"/>
      <c r="B16" s="9"/>
      <c r="C16" s="2"/>
      <c r="D16" s="2"/>
      <c r="E16" s="2"/>
      <c r="F16" s="2"/>
      <c r="G16" s="2"/>
      <c r="H16" s="2"/>
      <c r="I16" s="2"/>
      <c r="J16" s="2"/>
      <c r="K16" s="2"/>
      <c r="L16" s="2"/>
      <c r="M16" s="2"/>
      <c r="N16" s="2"/>
      <c r="O16" s="2"/>
      <c r="P16" s="2"/>
    </row>
    <row r="17" spans="1:16" ht="21" customHeight="1">
      <c r="A17" s="2"/>
      <c r="B17" s="9"/>
      <c r="C17" s="2"/>
      <c r="D17" s="2"/>
      <c r="E17" s="2"/>
      <c r="F17" s="2"/>
      <c r="G17" s="2"/>
      <c r="H17" s="2"/>
      <c r="I17" s="2"/>
      <c r="J17" s="2"/>
      <c r="K17" s="2"/>
      <c r="L17" s="2"/>
      <c r="M17" s="2"/>
      <c r="N17" s="2"/>
      <c r="O17" s="2"/>
      <c r="P17" s="2"/>
    </row>
    <row r="18" spans="1:16" ht="21" customHeight="1">
      <c r="A18" s="2"/>
      <c r="B18" s="9"/>
      <c r="C18" s="2"/>
      <c r="D18" s="2"/>
      <c r="E18" s="2"/>
      <c r="F18" s="2"/>
      <c r="G18" s="2"/>
      <c r="H18" s="2"/>
      <c r="I18" s="2"/>
      <c r="J18" s="2"/>
      <c r="K18" s="2"/>
      <c r="L18" s="2"/>
      <c r="M18" s="2"/>
      <c r="N18" s="2"/>
      <c r="O18" s="2"/>
      <c r="P18" s="2"/>
    </row>
    <row r="19" spans="1:16" ht="21" customHeight="1">
      <c r="A19" s="2"/>
      <c r="B19" s="9"/>
      <c r="C19" s="2"/>
      <c r="D19" s="2"/>
      <c r="E19" s="2"/>
      <c r="F19" s="2"/>
      <c r="G19" s="2"/>
      <c r="H19" s="2"/>
      <c r="I19" s="2"/>
      <c r="J19" s="2"/>
      <c r="K19" s="2"/>
      <c r="L19" s="2"/>
      <c r="M19" s="2"/>
      <c r="N19" s="2"/>
      <c r="O19" s="2"/>
      <c r="P19" s="2"/>
    </row>
    <row r="20" spans="1:16" ht="21" customHeight="1">
      <c r="A20" s="2"/>
      <c r="B20" s="9"/>
      <c r="C20" s="2"/>
      <c r="D20" s="2"/>
      <c r="E20" s="2"/>
      <c r="F20" s="2"/>
      <c r="G20" s="2"/>
      <c r="H20" s="2"/>
      <c r="I20" s="2"/>
      <c r="J20" s="2"/>
      <c r="K20" s="2"/>
      <c r="L20" s="2"/>
      <c r="M20" s="2"/>
      <c r="N20" s="2"/>
      <c r="O20" s="2"/>
      <c r="P20" s="2"/>
    </row>
    <row r="21" spans="1:16" ht="21" customHeight="1">
      <c r="A21" s="2"/>
      <c r="B21" s="9"/>
      <c r="C21" s="2"/>
      <c r="D21" s="2"/>
      <c r="E21" s="2"/>
      <c r="F21" s="2"/>
      <c r="G21" s="2"/>
      <c r="H21" s="2"/>
      <c r="I21" s="2"/>
      <c r="J21" s="2"/>
      <c r="K21" s="2"/>
      <c r="L21" s="2"/>
      <c r="M21" s="2"/>
      <c r="N21" s="2"/>
      <c r="O21" s="2"/>
      <c r="P21" s="2"/>
    </row>
    <row r="22" spans="1:16" ht="21" customHeight="1">
      <c r="A22" s="2"/>
      <c r="B22" s="9"/>
      <c r="C22" s="2"/>
      <c r="D22" s="2"/>
      <c r="E22" s="2"/>
      <c r="F22" s="2"/>
      <c r="G22" s="2"/>
      <c r="H22" s="2"/>
      <c r="I22" s="2"/>
      <c r="J22" s="2"/>
      <c r="K22" s="2"/>
      <c r="L22" s="2"/>
      <c r="M22" s="2"/>
      <c r="N22" s="2"/>
      <c r="O22" s="2"/>
      <c r="P22" s="2"/>
    </row>
    <row r="23" spans="1:16" ht="21" customHeight="1">
      <c r="A23" s="2"/>
      <c r="B23" s="9"/>
      <c r="C23" s="2"/>
      <c r="D23" s="2"/>
      <c r="E23" s="2"/>
      <c r="F23" s="2"/>
      <c r="G23" s="2"/>
      <c r="H23" s="2"/>
      <c r="I23" s="2"/>
      <c r="J23" s="2"/>
      <c r="K23" s="2"/>
      <c r="L23" s="2"/>
      <c r="M23" s="2"/>
      <c r="N23" s="2"/>
      <c r="O23" s="2"/>
      <c r="P23" s="2"/>
    </row>
    <row r="24" spans="1:16" ht="21" customHeight="1">
      <c r="A24" s="2"/>
      <c r="B24" s="9"/>
      <c r="C24" s="2"/>
      <c r="D24" s="2"/>
      <c r="E24" s="2"/>
      <c r="F24" s="2"/>
      <c r="G24" s="2"/>
      <c r="H24" s="2"/>
      <c r="I24" s="2"/>
      <c r="J24" s="2"/>
      <c r="K24" s="2"/>
      <c r="L24" s="2"/>
      <c r="M24" s="2"/>
      <c r="N24" s="2"/>
      <c r="O24" s="2"/>
      <c r="P24" s="2"/>
    </row>
    <row r="25" spans="1:16" ht="21" customHeight="1">
      <c r="A25" s="2"/>
      <c r="B25" s="9"/>
      <c r="C25" s="2"/>
      <c r="D25" s="2"/>
      <c r="E25" s="2"/>
      <c r="F25" s="2"/>
      <c r="G25" s="2"/>
      <c r="H25" s="2"/>
      <c r="I25" s="2"/>
      <c r="J25" s="2"/>
      <c r="K25" s="2"/>
      <c r="L25" s="2"/>
      <c r="M25" s="2"/>
      <c r="N25" s="2"/>
      <c r="O25" s="2"/>
      <c r="P25" s="2"/>
    </row>
    <row r="26" spans="1:16" ht="21" customHeight="1">
      <c r="A26" s="2"/>
      <c r="B26" s="9"/>
      <c r="C26" s="2"/>
      <c r="D26" s="2"/>
      <c r="E26" s="2"/>
      <c r="F26" s="2"/>
      <c r="G26" s="2"/>
      <c r="H26" s="2"/>
      <c r="I26" s="2"/>
      <c r="J26" s="2"/>
      <c r="K26" s="2"/>
      <c r="L26" s="2"/>
      <c r="M26" s="2"/>
      <c r="N26" s="2"/>
      <c r="O26" s="2"/>
      <c r="P26" s="2"/>
    </row>
    <row r="27" spans="1:16" ht="21" customHeight="1">
      <c r="A27" s="2"/>
      <c r="B27" s="9"/>
      <c r="C27" s="2"/>
      <c r="D27" s="2"/>
      <c r="E27" s="2"/>
      <c r="F27" s="2"/>
      <c r="G27" s="2"/>
      <c r="H27" s="2"/>
      <c r="I27" s="2"/>
      <c r="J27" s="2"/>
      <c r="K27" s="2"/>
      <c r="L27" s="2"/>
      <c r="M27" s="2"/>
      <c r="N27" s="2"/>
      <c r="O27" s="2"/>
      <c r="P27" s="2"/>
    </row>
    <row r="28" spans="1:16" ht="21" customHeight="1">
      <c r="A28" s="2"/>
      <c r="B28" s="9"/>
      <c r="C28" s="2"/>
      <c r="D28" s="2"/>
      <c r="E28" s="2"/>
      <c r="F28" s="2"/>
      <c r="G28" s="2"/>
      <c r="H28" s="2"/>
      <c r="I28" s="2"/>
      <c r="J28" s="2"/>
      <c r="K28" s="2"/>
      <c r="L28" s="2"/>
      <c r="M28" s="2"/>
      <c r="N28" s="2"/>
      <c r="O28" s="2"/>
      <c r="P28" s="2"/>
    </row>
    <row r="29" spans="1:16" ht="21" customHeight="1">
      <c r="A29" s="2"/>
      <c r="B29" s="9"/>
      <c r="C29" s="2"/>
      <c r="D29" s="2"/>
      <c r="E29" s="2"/>
      <c r="F29" s="2"/>
      <c r="G29" s="2"/>
      <c r="H29" s="2"/>
      <c r="I29" s="2"/>
      <c r="J29" s="2"/>
      <c r="K29" s="2"/>
      <c r="L29" s="2"/>
      <c r="M29" s="2"/>
      <c r="N29" s="2"/>
      <c r="O29" s="2"/>
      <c r="P29" s="2"/>
    </row>
    <row r="30" spans="1:16" ht="21" customHeight="1">
      <c r="A30" s="2"/>
      <c r="B30" s="9"/>
      <c r="C30" s="2"/>
      <c r="D30" s="2"/>
      <c r="E30" s="2"/>
      <c r="F30" s="2"/>
      <c r="G30" s="2"/>
      <c r="H30" s="2"/>
      <c r="I30" s="2"/>
      <c r="J30" s="2"/>
      <c r="K30" s="2"/>
      <c r="L30" s="2"/>
      <c r="M30" s="2"/>
      <c r="N30" s="2"/>
      <c r="O30" s="2"/>
      <c r="P30" s="2"/>
    </row>
    <row r="31" spans="1:16" ht="21" customHeight="1">
      <c r="A31" s="2"/>
      <c r="B31" s="9"/>
      <c r="C31" s="2"/>
      <c r="D31" s="2"/>
      <c r="E31" s="2"/>
      <c r="F31" s="2"/>
      <c r="G31" s="2"/>
      <c r="H31" s="2"/>
      <c r="I31" s="2"/>
      <c r="J31" s="2"/>
      <c r="K31" s="2"/>
      <c r="L31" s="2"/>
      <c r="M31" s="2"/>
      <c r="N31" s="2"/>
      <c r="O31" s="2"/>
      <c r="P31" s="2"/>
    </row>
    <row r="32" spans="1:16" ht="21" customHeight="1">
      <c r="A32" s="2"/>
      <c r="B32" s="9"/>
      <c r="C32" s="2"/>
      <c r="D32" s="2"/>
      <c r="E32" s="2"/>
      <c r="F32" s="2"/>
      <c r="G32" s="2"/>
      <c r="H32" s="2"/>
      <c r="I32" s="2"/>
      <c r="J32" s="2"/>
      <c r="K32" s="2"/>
      <c r="L32" s="2"/>
      <c r="M32" s="2"/>
      <c r="N32" s="2"/>
      <c r="O32" s="2"/>
      <c r="P32" s="2"/>
    </row>
    <row r="33" spans="1:16" ht="21" customHeight="1">
      <c r="A33" s="2"/>
      <c r="B33" s="9"/>
      <c r="C33" s="2"/>
      <c r="D33" s="2"/>
      <c r="E33" s="2"/>
      <c r="F33" s="2"/>
      <c r="G33" s="2"/>
      <c r="H33" s="2"/>
      <c r="I33" s="2"/>
      <c r="J33" s="2"/>
      <c r="K33" s="2"/>
      <c r="L33" s="2"/>
      <c r="M33" s="2"/>
      <c r="N33" s="2"/>
      <c r="O33" s="2"/>
      <c r="P33" s="2"/>
    </row>
    <row r="34" spans="1:16" ht="21" customHeight="1">
      <c r="A34" s="2"/>
      <c r="B34" s="9"/>
      <c r="C34" s="2"/>
      <c r="D34" s="2"/>
      <c r="E34" s="2"/>
      <c r="F34" s="2"/>
      <c r="G34" s="2"/>
      <c r="H34" s="2"/>
      <c r="I34" s="2"/>
      <c r="J34" s="2"/>
      <c r="K34" s="2"/>
      <c r="L34" s="2"/>
      <c r="M34" s="2"/>
      <c r="N34" s="2"/>
      <c r="O34" s="2"/>
      <c r="P34" s="2"/>
    </row>
    <row r="35" spans="1:16" ht="21" customHeight="1">
      <c r="A35" s="2"/>
      <c r="B35" s="9"/>
      <c r="C35" s="2"/>
      <c r="D35" s="2"/>
      <c r="E35" s="2"/>
      <c r="F35" s="2"/>
      <c r="G35" s="2"/>
      <c r="H35" s="2"/>
      <c r="I35" s="2"/>
      <c r="J35" s="2"/>
      <c r="K35" s="2"/>
      <c r="L35" s="2"/>
      <c r="M35" s="2"/>
      <c r="N35" s="2"/>
      <c r="O35" s="2"/>
      <c r="P35" s="2"/>
    </row>
    <row r="36" spans="1:16" ht="21" customHeight="1">
      <c r="A36" s="2"/>
      <c r="B36" s="9"/>
      <c r="C36" s="2"/>
      <c r="D36" s="2"/>
      <c r="E36" s="2"/>
      <c r="F36" s="2"/>
      <c r="G36" s="2"/>
      <c r="H36" s="2"/>
      <c r="I36" s="2"/>
      <c r="J36" s="2"/>
      <c r="K36" s="2"/>
      <c r="L36" s="2"/>
      <c r="M36" s="2"/>
      <c r="N36" s="2"/>
      <c r="O36" s="2"/>
      <c r="P36" s="2"/>
    </row>
    <row r="37" spans="1:16" ht="21" customHeight="1">
      <c r="A37" s="2"/>
      <c r="B37" s="9"/>
      <c r="C37" s="2"/>
      <c r="D37" s="2"/>
      <c r="E37" s="2"/>
      <c r="F37" s="2"/>
      <c r="G37" s="2"/>
      <c r="H37" s="2"/>
      <c r="I37" s="2"/>
      <c r="J37" s="2"/>
      <c r="K37" s="2"/>
      <c r="L37" s="2"/>
      <c r="M37" s="2"/>
      <c r="N37" s="2"/>
      <c r="O37" s="2"/>
      <c r="P37" s="2"/>
    </row>
    <row r="38" spans="1:16" ht="21" customHeight="1">
      <c r="A38" s="2"/>
      <c r="B38" s="9"/>
      <c r="C38" s="2"/>
      <c r="D38" s="2"/>
      <c r="E38" s="2"/>
      <c r="F38" s="2"/>
      <c r="G38" s="2"/>
      <c r="H38" s="2"/>
      <c r="I38" s="2"/>
      <c r="J38" s="2"/>
      <c r="K38" s="2"/>
      <c r="L38" s="2"/>
      <c r="M38" s="2"/>
      <c r="N38" s="2"/>
      <c r="O38" s="2"/>
      <c r="P38" s="2"/>
    </row>
    <row r="39" spans="1:16" ht="21" customHeight="1">
      <c r="A39" s="2"/>
      <c r="B39" s="9"/>
      <c r="C39" s="2"/>
      <c r="D39" s="2"/>
      <c r="E39" s="2"/>
      <c r="F39" s="2"/>
      <c r="G39" s="2"/>
      <c r="H39" s="2"/>
      <c r="I39" s="2"/>
      <c r="J39" s="2"/>
      <c r="K39" s="2"/>
      <c r="L39" s="2"/>
      <c r="M39" s="2"/>
      <c r="N39" s="2"/>
      <c r="O39" s="2"/>
      <c r="P39" s="2"/>
    </row>
    <row r="40" spans="1:16" ht="21" customHeight="1">
      <c r="A40" s="2"/>
      <c r="B40" s="9"/>
      <c r="C40" s="2"/>
      <c r="D40" s="2"/>
      <c r="E40" s="2"/>
      <c r="F40" s="2"/>
      <c r="G40" s="2"/>
      <c r="H40" s="2"/>
      <c r="I40" s="2"/>
      <c r="J40" s="2"/>
      <c r="K40" s="2"/>
      <c r="L40" s="2"/>
      <c r="M40" s="2"/>
      <c r="N40" s="2"/>
      <c r="O40" s="2"/>
      <c r="P40" s="2"/>
    </row>
    <row r="41" spans="1:16" ht="21" customHeight="1">
      <c r="A41" s="2"/>
      <c r="B41" s="9"/>
      <c r="C41" s="2"/>
      <c r="D41" s="2"/>
      <c r="E41" s="2"/>
      <c r="F41" s="2"/>
      <c r="G41" s="2"/>
      <c r="H41" s="2"/>
      <c r="I41" s="2"/>
      <c r="J41" s="2"/>
      <c r="K41" s="2"/>
      <c r="L41" s="2"/>
      <c r="M41" s="2"/>
      <c r="N41" s="2"/>
      <c r="O41" s="2"/>
      <c r="P41" s="2"/>
    </row>
    <row r="42" spans="1:16" ht="21" customHeight="1">
      <c r="A42" s="2"/>
      <c r="B42" s="9"/>
      <c r="C42" s="2"/>
      <c r="D42" s="2"/>
      <c r="E42" s="2"/>
      <c r="F42" s="2"/>
      <c r="G42" s="2"/>
      <c r="H42" s="2"/>
      <c r="I42" s="2"/>
      <c r="J42" s="2"/>
      <c r="K42" s="2"/>
      <c r="L42" s="2"/>
      <c r="M42" s="2"/>
      <c r="N42" s="2"/>
      <c r="O42" s="2"/>
      <c r="P42" s="2"/>
    </row>
    <row r="43" spans="1:16" ht="21" customHeight="1">
      <c r="A43" s="2"/>
      <c r="B43" s="9"/>
      <c r="C43" s="2"/>
      <c r="D43" s="2"/>
      <c r="E43" s="2"/>
      <c r="F43" s="2"/>
      <c r="G43" s="2"/>
      <c r="H43" s="2"/>
      <c r="I43" s="2"/>
      <c r="J43" s="2"/>
      <c r="K43" s="2"/>
      <c r="L43" s="2"/>
      <c r="M43" s="2"/>
      <c r="N43" s="2"/>
      <c r="O43" s="2"/>
      <c r="P43" s="2"/>
    </row>
    <row r="44" spans="1:16" ht="21" customHeight="1">
      <c r="A44" s="2"/>
      <c r="B44" s="9"/>
      <c r="C44" s="2"/>
      <c r="D44" s="2"/>
      <c r="E44" s="2"/>
      <c r="F44" s="2"/>
      <c r="G44" s="2"/>
      <c r="H44" s="2"/>
      <c r="I44" s="2"/>
      <c r="J44" s="2"/>
      <c r="K44" s="2"/>
      <c r="L44" s="2"/>
      <c r="M44" s="2"/>
      <c r="N44" s="2"/>
      <c r="O44" s="2"/>
      <c r="P44" s="2"/>
    </row>
    <row r="45" spans="1:16" ht="21" customHeight="1">
      <c r="A45" s="2"/>
      <c r="B45" s="9"/>
      <c r="C45" s="2"/>
      <c r="D45" s="2"/>
      <c r="E45" s="2"/>
      <c r="F45" s="2"/>
      <c r="G45" s="2"/>
      <c r="H45" s="2"/>
      <c r="I45" s="2"/>
      <c r="J45" s="2"/>
      <c r="K45" s="2"/>
      <c r="L45" s="2"/>
      <c r="M45" s="2"/>
      <c r="N45" s="2"/>
      <c r="O45" s="2"/>
      <c r="P45" s="2"/>
    </row>
    <row r="46" spans="1:16" ht="21" customHeight="1">
      <c r="A46" s="2"/>
      <c r="B46" s="9"/>
      <c r="C46" s="2"/>
      <c r="D46" s="2"/>
      <c r="E46" s="2"/>
      <c r="F46" s="2"/>
      <c r="G46" s="2"/>
      <c r="H46" s="2"/>
      <c r="I46" s="2"/>
      <c r="J46" s="2"/>
      <c r="K46" s="2"/>
      <c r="L46" s="2"/>
      <c r="M46" s="2"/>
      <c r="N46" s="2"/>
      <c r="O46" s="2"/>
      <c r="P46" s="2"/>
    </row>
    <row r="47" spans="1:16" ht="21" customHeight="1">
      <c r="A47" s="2"/>
      <c r="B47" s="9"/>
      <c r="C47" s="2"/>
      <c r="D47" s="2"/>
      <c r="E47" s="2"/>
      <c r="F47" s="2"/>
      <c r="G47" s="2"/>
      <c r="H47" s="2"/>
      <c r="I47" s="2"/>
      <c r="J47" s="2"/>
      <c r="K47" s="2"/>
      <c r="L47" s="2"/>
      <c r="M47" s="2"/>
      <c r="N47" s="2"/>
      <c r="O47" s="2"/>
      <c r="P47" s="2"/>
    </row>
    <row r="48" spans="1:16" ht="21" customHeight="1">
      <c r="A48" s="2"/>
      <c r="B48" s="9"/>
      <c r="C48" s="2"/>
      <c r="D48" s="2"/>
      <c r="E48" s="2"/>
      <c r="F48" s="2"/>
      <c r="G48" s="2"/>
      <c r="H48" s="2"/>
      <c r="I48" s="2"/>
      <c r="J48" s="2"/>
      <c r="K48" s="2"/>
      <c r="L48" s="2"/>
      <c r="M48" s="2"/>
      <c r="N48" s="2"/>
      <c r="O48" s="2"/>
      <c r="P48" s="2"/>
    </row>
    <row r="49" spans="1:16" ht="21" customHeight="1">
      <c r="A49" s="2"/>
      <c r="B49" s="9"/>
      <c r="C49" s="2"/>
      <c r="D49" s="2"/>
      <c r="E49" s="2"/>
      <c r="F49" s="2"/>
      <c r="G49" s="2"/>
      <c r="H49" s="2"/>
      <c r="I49" s="2"/>
      <c r="J49" s="2"/>
      <c r="K49" s="2"/>
      <c r="L49" s="2"/>
      <c r="M49" s="2"/>
      <c r="N49" s="2"/>
      <c r="O49" s="2"/>
      <c r="P49" s="2"/>
    </row>
    <row r="50" spans="1:16" ht="21" customHeight="1">
      <c r="A50" s="2"/>
      <c r="B50" s="9"/>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sortState xmlns:xlrd2="http://schemas.microsoft.com/office/spreadsheetml/2017/richdata2" ref="A2:G5">
    <sortCondition descending="1" ref="A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P600"/>
  <sheetViews>
    <sheetView showGridLines="0" workbookViewId="0">
      <pane ySplit="1" topLeftCell="A2" activePane="bottomLeft" state="frozen"/>
      <selection pane="bottomLeft"/>
    </sheetView>
  </sheetViews>
  <sheetFormatPr defaultRowHeight="14.25"/>
  <cols>
    <col min="1" max="7" width="20" customWidth="1"/>
  </cols>
  <sheetData>
    <row r="1" spans="1:16" ht="21" customHeight="1">
      <c r="A1" s="6" t="s">
        <v>538</v>
      </c>
      <c r="B1" s="6" t="s">
        <v>539</v>
      </c>
      <c r="C1" s="6" t="s">
        <v>540</v>
      </c>
      <c r="D1" s="6" t="s">
        <v>527</v>
      </c>
      <c r="E1" s="6" t="s">
        <v>541</v>
      </c>
      <c r="F1" s="2"/>
      <c r="G1" s="2"/>
      <c r="H1" s="2"/>
      <c r="I1" s="2"/>
      <c r="J1" s="2"/>
      <c r="K1" s="2"/>
      <c r="L1" s="2"/>
      <c r="M1" s="2"/>
      <c r="N1" s="2"/>
      <c r="O1" s="2"/>
      <c r="P1" s="2"/>
    </row>
    <row r="2" spans="1:16" ht="21" customHeight="1">
      <c r="A2" s="2" t="s">
        <v>1001</v>
      </c>
      <c r="B2" s="164">
        <v>42005</v>
      </c>
      <c r="C2" s="2">
        <v>11.75</v>
      </c>
      <c r="D2" s="164">
        <v>46295</v>
      </c>
      <c r="E2" s="2" t="s">
        <v>1002</v>
      </c>
      <c r="F2" s="2"/>
      <c r="G2" s="2"/>
      <c r="H2" s="2"/>
      <c r="I2" s="2"/>
      <c r="J2" s="2"/>
      <c r="K2" s="2"/>
      <c r="L2" s="2"/>
      <c r="M2" s="2"/>
      <c r="N2" s="2"/>
      <c r="O2" s="2"/>
      <c r="P2" s="2"/>
    </row>
    <row r="3" spans="1:16" ht="21" customHeight="1">
      <c r="A3" s="2" t="s">
        <v>1003</v>
      </c>
      <c r="B3" s="164">
        <v>40909</v>
      </c>
      <c r="C3" s="2">
        <v>14.76</v>
      </c>
      <c r="D3" s="164">
        <v>46295</v>
      </c>
      <c r="E3" s="2" t="s">
        <v>1004</v>
      </c>
      <c r="F3" s="2"/>
      <c r="G3" s="2"/>
      <c r="H3" s="2"/>
      <c r="I3" s="2"/>
      <c r="J3" s="2"/>
      <c r="K3" s="2"/>
      <c r="L3" s="2"/>
      <c r="M3" s="2"/>
      <c r="N3" s="2"/>
      <c r="O3" s="2"/>
      <c r="P3" s="2"/>
    </row>
    <row r="4" spans="1:16" ht="21" customHeight="1">
      <c r="A4" s="2" t="s">
        <v>1005</v>
      </c>
      <c r="B4" s="164">
        <v>44927</v>
      </c>
      <c r="C4" s="2">
        <v>3.75</v>
      </c>
      <c r="D4" s="164">
        <v>46295</v>
      </c>
      <c r="E4" s="2" t="s">
        <v>1006</v>
      </c>
      <c r="F4" s="2"/>
      <c r="G4" s="2"/>
      <c r="H4" s="2"/>
      <c r="I4" s="2"/>
      <c r="J4" s="2"/>
      <c r="K4" s="2"/>
      <c r="L4" s="2"/>
      <c r="M4" s="2"/>
      <c r="N4" s="2"/>
      <c r="O4" s="2"/>
      <c r="P4" s="2"/>
    </row>
    <row r="5" spans="1:16" ht="21" customHeight="1">
      <c r="A5" s="2" t="s">
        <v>1007</v>
      </c>
      <c r="B5" s="164">
        <v>39448</v>
      </c>
      <c r="C5" s="2">
        <v>18.760000000000002</v>
      </c>
      <c r="D5" s="164">
        <v>46295</v>
      </c>
      <c r="E5" s="2" t="s">
        <v>1008</v>
      </c>
      <c r="F5" s="2"/>
      <c r="G5" s="2"/>
      <c r="H5" s="2"/>
      <c r="I5" s="2"/>
      <c r="J5" s="2"/>
      <c r="K5" s="2"/>
      <c r="L5" s="2"/>
      <c r="M5" s="2"/>
      <c r="N5" s="2"/>
      <c r="O5" s="2"/>
      <c r="P5" s="2"/>
    </row>
    <row r="6" spans="1:16" ht="21" customHeight="1">
      <c r="A6" s="2" t="s">
        <v>1009</v>
      </c>
      <c r="B6" s="164">
        <v>39506</v>
      </c>
      <c r="C6" s="2">
        <v>18.600000000000001</v>
      </c>
      <c r="D6" s="164">
        <v>46295</v>
      </c>
      <c r="E6" s="2" t="s">
        <v>1010</v>
      </c>
      <c r="F6" s="2"/>
      <c r="G6" s="2"/>
      <c r="H6" s="2"/>
      <c r="I6" s="2"/>
      <c r="J6" s="2"/>
      <c r="K6" s="2"/>
      <c r="L6" s="2"/>
      <c r="M6" s="2"/>
      <c r="N6" s="2"/>
      <c r="O6" s="2"/>
      <c r="P6" s="2"/>
    </row>
    <row r="7" spans="1:16" ht="21" customHeight="1">
      <c r="A7" s="2" t="s">
        <v>1011</v>
      </c>
      <c r="B7" s="164">
        <v>41275</v>
      </c>
      <c r="C7" s="2">
        <v>13.75</v>
      </c>
      <c r="D7" s="164">
        <v>46295</v>
      </c>
      <c r="E7" s="2" t="s">
        <v>1012</v>
      </c>
      <c r="F7" s="2"/>
      <c r="G7" s="2"/>
      <c r="H7" s="2"/>
      <c r="I7" s="2"/>
      <c r="J7" s="2"/>
      <c r="K7" s="2"/>
      <c r="L7" s="2"/>
      <c r="M7" s="2"/>
      <c r="N7" s="2"/>
      <c r="O7" s="2"/>
      <c r="P7" s="2"/>
    </row>
    <row r="8" spans="1:16" ht="21" customHeight="1">
      <c r="A8" s="2" t="s">
        <v>1013</v>
      </c>
      <c r="B8" s="164">
        <v>43466</v>
      </c>
      <c r="C8" s="2">
        <v>7.75</v>
      </c>
      <c r="D8" s="164">
        <v>46295</v>
      </c>
      <c r="E8" s="2" t="s">
        <v>1014</v>
      </c>
      <c r="F8" s="2"/>
      <c r="G8" s="2"/>
      <c r="H8" s="2"/>
      <c r="I8" s="2"/>
      <c r="J8" s="2"/>
      <c r="K8" s="2"/>
      <c r="L8" s="2"/>
      <c r="M8" s="2"/>
      <c r="N8" s="2"/>
      <c r="O8" s="2"/>
      <c r="P8" s="2"/>
    </row>
    <row r="9" spans="1:16" ht="21" customHeight="1">
      <c r="A9" s="2" t="s">
        <v>1015</v>
      </c>
      <c r="B9" s="164">
        <v>42736</v>
      </c>
      <c r="C9" s="2">
        <v>9.75</v>
      </c>
      <c r="D9" s="164">
        <v>46295</v>
      </c>
      <c r="E9" s="2" t="s">
        <v>1016</v>
      </c>
      <c r="F9" s="2"/>
      <c r="G9" s="2"/>
      <c r="H9" s="2"/>
      <c r="I9" s="2"/>
      <c r="J9" s="2"/>
      <c r="K9" s="2"/>
      <c r="L9" s="2"/>
      <c r="M9" s="2"/>
      <c r="N9" s="2"/>
      <c r="O9" s="2"/>
      <c r="P9" s="2"/>
    </row>
    <row r="10" spans="1:16" ht="21" customHeight="1">
      <c r="A10" s="2"/>
      <c r="B10" s="164"/>
      <c r="C10" s="2"/>
      <c r="D10" s="164"/>
      <c r="E10" s="2"/>
      <c r="F10" s="2"/>
      <c r="G10" s="2"/>
      <c r="H10" s="2"/>
      <c r="I10" s="2"/>
      <c r="J10" s="2"/>
      <c r="K10" s="2"/>
      <c r="L10" s="2"/>
      <c r="M10" s="2"/>
      <c r="N10" s="2"/>
      <c r="O10" s="2"/>
      <c r="P10" s="2"/>
    </row>
    <row r="11" spans="1:16" ht="21" customHeight="1">
      <c r="A11" s="2"/>
      <c r="B11" s="164"/>
      <c r="C11" s="2"/>
      <c r="D11" s="164"/>
      <c r="E11" s="2"/>
      <c r="F11" s="2"/>
      <c r="G11" s="2"/>
      <c r="H11" s="2"/>
      <c r="I11" s="2"/>
      <c r="J11" s="2"/>
      <c r="K11" s="2"/>
      <c r="L11" s="2"/>
      <c r="M11" s="2"/>
      <c r="N11" s="2"/>
      <c r="O11" s="2"/>
      <c r="P11" s="2"/>
    </row>
    <row r="12" spans="1:16" ht="21" customHeight="1">
      <c r="A12" s="2"/>
      <c r="B12" s="2"/>
      <c r="C12" s="2"/>
      <c r="D12" s="2"/>
      <c r="E12" s="2"/>
      <c r="F12" s="2"/>
      <c r="G12" s="2"/>
      <c r="H12" s="2"/>
      <c r="I12" s="2"/>
      <c r="J12" s="2"/>
      <c r="K12" s="2"/>
      <c r="L12" s="2"/>
      <c r="M12" s="2"/>
      <c r="N12" s="2"/>
      <c r="O12" s="2"/>
      <c r="P12" s="2"/>
    </row>
    <row r="13" spans="1:16" ht="21" customHeight="1">
      <c r="A13" s="2"/>
      <c r="B13" s="2"/>
      <c r="C13" s="2"/>
      <c r="D13" s="2"/>
      <c r="E13" s="2"/>
      <c r="F13" s="2"/>
      <c r="G13" s="2"/>
      <c r="H13" s="2"/>
      <c r="I13" s="2"/>
      <c r="J13" s="2"/>
      <c r="K13" s="2"/>
      <c r="L13" s="2"/>
      <c r="M13" s="2"/>
      <c r="N13" s="2"/>
      <c r="O13" s="2"/>
      <c r="P13" s="2"/>
    </row>
    <row r="14" spans="1:16" ht="21" customHeight="1">
      <c r="A14" s="2"/>
      <c r="B14" s="2"/>
      <c r="C14" s="2"/>
      <c r="D14" s="2"/>
      <c r="E14" s="2"/>
      <c r="F14" s="2"/>
      <c r="G14" s="2"/>
      <c r="H14" s="2"/>
      <c r="I14" s="2"/>
      <c r="J14" s="2"/>
      <c r="K14" s="2"/>
      <c r="L14" s="2"/>
      <c r="M14" s="2"/>
      <c r="N14" s="2"/>
      <c r="O14" s="2"/>
      <c r="P14" s="2"/>
    </row>
    <row r="15" spans="1:16" ht="21" customHeight="1">
      <c r="A15" s="2"/>
      <c r="B15" s="2"/>
      <c r="C15" s="2"/>
      <c r="D15" s="2"/>
      <c r="E15" s="2"/>
      <c r="F15" s="2"/>
      <c r="G15" s="2"/>
      <c r="H15" s="2"/>
      <c r="I15" s="2"/>
      <c r="J15" s="2"/>
      <c r="K15" s="2"/>
      <c r="L15" s="2"/>
      <c r="M15" s="2"/>
      <c r="N15" s="2"/>
      <c r="O15" s="2"/>
      <c r="P15" s="2"/>
    </row>
    <row r="16" spans="1:16" ht="21" customHeight="1">
      <c r="A16" s="2"/>
      <c r="B16" s="2"/>
      <c r="C16" s="2"/>
      <c r="D16" s="2"/>
      <c r="E16" s="2"/>
      <c r="F16" s="2"/>
      <c r="G16" s="2"/>
      <c r="H16" s="2"/>
      <c r="I16" s="2"/>
      <c r="J16" s="2"/>
      <c r="K16" s="2"/>
      <c r="L16" s="2"/>
      <c r="M16" s="2"/>
      <c r="N16" s="2"/>
      <c r="O16" s="2"/>
      <c r="P16" s="2"/>
    </row>
    <row r="17" spans="1:16" ht="21" customHeight="1">
      <c r="A17" s="2"/>
      <c r="B17" s="2"/>
      <c r="C17" s="2"/>
      <c r="D17" s="2"/>
      <c r="E17" s="2"/>
      <c r="F17" s="2"/>
      <c r="G17" s="2"/>
      <c r="H17" s="2"/>
      <c r="I17" s="2"/>
      <c r="J17" s="2"/>
      <c r="K17" s="2"/>
      <c r="L17" s="2"/>
      <c r="M17" s="2"/>
      <c r="N17" s="2"/>
      <c r="O17" s="2"/>
      <c r="P17" s="2"/>
    </row>
    <row r="18" spans="1:16" ht="21" customHeight="1">
      <c r="A18" s="2"/>
      <c r="B18" s="2"/>
      <c r="C18" s="2"/>
      <c r="D18" s="2"/>
      <c r="E18" s="2"/>
      <c r="F18" s="2"/>
      <c r="G18" s="2"/>
      <c r="H18" s="2"/>
      <c r="I18" s="2"/>
      <c r="J18" s="2"/>
      <c r="K18" s="2"/>
      <c r="L18" s="2"/>
      <c r="M18" s="2"/>
      <c r="N18" s="2"/>
      <c r="O18" s="2"/>
      <c r="P18" s="2"/>
    </row>
    <row r="19" spans="1:16" ht="21" customHeight="1">
      <c r="A19" s="2"/>
      <c r="B19" s="2"/>
      <c r="C19" s="2"/>
      <c r="D19" s="2"/>
      <c r="E19" s="2"/>
      <c r="F19" s="2"/>
      <c r="G19" s="2"/>
      <c r="H19" s="2"/>
      <c r="I19" s="2"/>
      <c r="J19" s="2"/>
      <c r="K19" s="2"/>
      <c r="L19" s="2"/>
      <c r="M19" s="2"/>
      <c r="N19" s="2"/>
      <c r="O19" s="2"/>
      <c r="P19" s="2"/>
    </row>
    <row r="20" spans="1:16" ht="21" customHeight="1">
      <c r="A20" s="2"/>
      <c r="B20" s="2"/>
      <c r="C20" s="2"/>
      <c r="D20" s="2"/>
      <c r="E20" s="2"/>
      <c r="F20" s="2"/>
      <c r="G20" s="2"/>
      <c r="H20" s="2"/>
      <c r="I20" s="2"/>
      <c r="J20" s="2"/>
      <c r="K20" s="2"/>
      <c r="L20" s="2"/>
      <c r="M20" s="2"/>
      <c r="N20" s="2"/>
      <c r="O20" s="2"/>
      <c r="P20" s="2"/>
    </row>
    <row r="21" spans="1:16" ht="21" customHeight="1">
      <c r="A21" s="2"/>
      <c r="B21" s="2"/>
      <c r="C21" s="2"/>
      <c r="D21" s="2"/>
      <c r="E21" s="2"/>
      <c r="F21" s="2"/>
      <c r="G21" s="2"/>
      <c r="H21" s="2"/>
      <c r="I21" s="2"/>
      <c r="J21" s="2"/>
      <c r="K21" s="2"/>
      <c r="L21" s="2"/>
      <c r="M21" s="2"/>
      <c r="N21" s="2"/>
      <c r="O21" s="2"/>
      <c r="P21" s="2"/>
    </row>
    <row r="22" spans="1:16" ht="21" customHeight="1">
      <c r="A22" s="2"/>
      <c r="B22" s="2"/>
      <c r="C22" s="2"/>
      <c r="D22" s="2"/>
      <c r="E22" s="2"/>
      <c r="F22" s="2"/>
      <c r="G22" s="2"/>
      <c r="H22" s="2"/>
      <c r="I22" s="2"/>
      <c r="J22" s="2"/>
      <c r="K22" s="2"/>
      <c r="L22" s="2"/>
      <c r="M22" s="2"/>
      <c r="N22" s="2"/>
      <c r="O22" s="2"/>
      <c r="P22" s="2"/>
    </row>
    <row r="23" spans="1:16" ht="21" customHeight="1">
      <c r="A23" s="2"/>
      <c r="B23" s="2"/>
      <c r="C23" s="2"/>
      <c r="D23" s="2"/>
      <c r="E23" s="2"/>
      <c r="F23" s="2"/>
      <c r="G23" s="2"/>
      <c r="H23" s="2"/>
      <c r="I23" s="2"/>
      <c r="J23" s="2"/>
      <c r="K23" s="2"/>
      <c r="L23" s="2"/>
      <c r="M23" s="2"/>
      <c r="N23" s="2"/>
      <c r="O23" s="2"/>
      <c r="P23" s="2"/>
    </row>
    <row r="24" spans="1:16" ht="21" customHeight="1">
      <c r="A24" s="2"/>
      <c r="B24" s="2"/>
      <c r="C24" s="2"/>
      <c r="D24" s="2"/>
      <c r="E24" s="2"/>
      <c r="F24" s="2"/>
      <c r="G24" s="2"/>
      <c r="H24" s="2"/>
      <c r="I24" s="2"/>
      <c r="J24" s="2"/>
      <c r="K24" s="2"/>
      <c r="L24" s="2"/>
      <c r="M24" s="2"/>
      <c r="N24" s="2"/>
      <c r="O24" s="2"/>
      <c r="P24" s="2"/>
    </row>
    <row r="25" spans="1:16" ht="21" customHeight="1">
      <c r="A25" s="2"/>
      <c r="B25" s="2"/>
      <c r="C25" s="2"/>
      <c r="D25" s="2"/>
      <c r="E25" s="2"/>
      <c r="F25" s="2"/>
      <c r="G25" s="2"/>
      <c r="H25" s="2"/>
      <c r="I25" s="2"/>
      <c r="J25" s="2"/>
      <c r="K25" s="2"/>
      <c r="L25" s="2"/>
      <c r="M25" s="2"/>
      <c r="N25" s="2"/>
      <c r="O25" s="2"/>
      <c r="P25" s="2"/>
    </row>
    <row r="26" spans="1:16" ht="21" customHeight="1">
      <c r="A26" s="2"/>
      <c r="B26" s="2"/>
      <c r="C26" s="2"/>
      <c r="D26" s="2"/>
      <c r="E26" s="2"/>
      <c r="F26" s="2"/>
      <c r="G26" s="2"/>
      <c r="H26" s="2"/>
      <c r="I26" s="2"/>
      <c r="J26" s="2"/>
      <c r="K26" s="2"/>
      <c r="L26" s="2"/>
      <c r="M26" s="2"/>
      <c r="N26" s="2"/>
      <c r="O26" s="2"/>
      <c r="P26" s="2"/>
    </row>
    <row r="27" spans="1:16" ht="21" customHeight="1">
      <c r="A27" s="2"/>
      <c r="B27" s="2"/>
      <c r="C27" s="2"/>
      <c r="D27" s="2"/>
      <c r="E27" s="2"/>
      <c r="F27" s="2"/>
      <c r="G27" s="2"/>
      <c r="H27" s="2"/>
      <c r="I27" s="2"/>
      <c r="J27" s="2"/>
      <c r="K27" s="2"/>
      <c r="L27" s="2"/>
      <c r="M27" s="2"/>
      <c r="N27" s="2"/>
      <c r="O27" s="2"/>
      <c r="P27" s="2"/>
    </row>
    <row r="28" spans="1:16" ht="21" customHeight="1">
      <c r="A28" s="2"/>
      <c r="B28" s="2"/>
      <c r="C28" s="2"/>
      <c r="D28" s="2"/>
      <c r="E28" s="2"/>
      <c r="F28" s="2"/>
      <c r="G28" s="2"/>
      <c r="H28" s="2"/>
      <c r="I28" s="2"/>
      <c r="J28" s="2"/>
      <c r="K28" s="2"/>
      <c r="L28" s="2"/>
      <c r="M28" s="2"/>
      <c r="N28" s="2"/>
      <c r="O28" s="2"/>
      <c r="P28" s="2"/>
    </row>
    <row r="29" spans="1:16" ht="21" customHeight="1">
      <c r="A29" s="2"/>
      <c r="B29" s="2"/>
      <c r="C29" s="2"/>
      <c r="D29" s="2"/>
      <c r="E29" s="2"/>
      <c r="F29" s="2"/>
      <c r="G29" s="2"/>
      <c r="H29" s="2"/>
      <c r="I29" s="2"/>
      <c r="J29" s="2"/>
      <c r="K29" s="2"/>
      <c r="L29" s="2"/>
      <c r="M29" s="2"/>
      <c r="N29" s="2"/>
      <c r="O29" s="2"/>
      <c r="P29" s="2"/>
    </row>
    <row r="30" spans="1:16" ht="21" customHeight="1">
      <c r="A30" s="2"/>
      <c r="B30" s="2"/>
      <c r="C30" s="2"/>
      <c r="D30" s="2"/>
      <c r="E30" s="2"/>
      <c r="F30" s="2"/>
      <c r="G30" s="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P600"/>
  <sheetViews>
    <sheetView showGridLines="0" workbookViewId="0">
      <pane ySplit="1" topLeftCell="A2" activePane="bottomLeft" state="frozen"/>
      <selection pane="bottomLeft"/>
    </sheetView>
  </sheetViews>
  <sheetFormatPr defaultRowHeight="14.25"/>
  <cols>
    <col min="1" max="3" width="20" customWidth="1"/>
    <col min="4" max="4" width="65" customWidth="1"/>
    <col min="5" max="7" width="20" customWidth="1"/>
  </cols>
  <sheetData>
    <row r="1" spans="1:16" ht="21" customHeight="1">
      <c r="A1" s="6" t="s">
        <v>542</v>
      </c>
      <c r="B1" s="6" t="s">
        <v>543</v>
      </c>
      <c r="C1" s="6" t="s">
        <v>533</v>
      </c>
      <c r="D1" s="6" t="s">
        <v>128</v>
      </c>
      <c r="E1" s="2"/>
      <c r="F1" s="2" t="s">
        <v>876</v>
      </c>
      <c r="G1" s="2"/>
      <c r="H1" s="2"/>
      <c r="I1" s="2"/>
      <c r="J1" s="2"/>
      <c r="K1" s="2"/>
      <c r="L1" s="2"/>
      <c r="M1" s="2"/>
      <c r="N1" s="2"/>
      <c r="O1" s="2"/>
      <c r="P1" s="2"/>
    </row>
    <row r="2" spans="1:16" ht="21" customHeight="1">
      <c r="A2" s="165">
        <v>45943</v>
      </c>
      <c r="B2" s="11">
        <v>14.36</v>
      </c>
      <c r="C2" t="s">
        <v>850</v>
      </c>
      <c r="D2" t="s">
        <v>248</v>
      </c>
      <c r="E2" s="2"/>
      <c r="F2" s="2">
        <f>IF(Data!$H$2,IF(ISNUMBER(B2),B2,NA()),NA())</f>
        <v>14.36</v>
      </c>
      <c r="G2" s="2"/>
      <c r="H2" s="2"/>
      <c r="I2" s="2"/>
      <c r="J2" s="2"/>
      <c r="K2" s="2"/>
      <c r="L2" s="2"/>
      <c r="M2" s="2"/>
      <c r="N2" s="2"/>
      <c r="O2" s="2"/>
      <c r="P2" s="2"/>
    </row>
    <row r="3" spans="1:16" ht="21" customHeight="1">
      <c r="A3" s="165">
        <v>45944</v>
      </c>
      <c r="B3" s="11">
        <v>14.35</v>
      </c>
      <c r="C3" t="s">
        <v>850</v>
      </c>
      <c r="D3" t="s">
        <v>248</v>
      </c>
      <c r="E3" s="2"/>
      <c r="F3" s="2">
        <f>IF(Data!$H$2,IF(ISNUMBER(B3),B3,NA()),NA())</f>
        <v>14.35</v>
      </c>
      <c r="G3" s="2"/>
      <c r="H3" s="2"/>
      <c r="I3" s="2"/>
      <c r="J3" s="2"/>
      <c r="K3" s="2"/>
      <c r="L3" s="2"/>
      <c r="M3" s="2"/>
      <c r="N3" s="2"/>
      <c r="O3" s="2"/>
      <c r="P3" s="2"/>
    </row>
    <row r="4" spans="1:16" ht="21" customHeight="1">
      <c r="A4" s="165">
        <v>45945</v>
      </c>
      <c r="B4" s="11">
        <v>14.41</v>
      </c>
      <c r="C4" t="s">
        <v>850</v>
      </c>
      <c r="D4" t="s">
        <v>248</v>
      </c>
      <c r="E4" s="2"/>
      <c r="F4" s="2">
        <f>IF(Data!$H$2,IF(ISNUMBER(B4),B4,NA()),NA())</f>
        <v>14.41</v>
      </c>
      <c r="G4" s="2"/>
      <c r="H4" s="2"/>
      <c r="I4" s="2"/>
      <c r="J4" s="2"/>
      <c r="K4" s="2"/>
      <c r="L4" s="2"/>
      <c r="M4" s="2"/>
      <c r="N4" s="2"/>
      <c r="O4" s="2"/>
      <c r="P4" s="2"/>
    </row>
    <row r="5" spans="1:16" ht="21" customHeight="1">
      <c r="A5" s="165">
        <v>45946</v>
      </c>
      <c r="B5" s="11">
        <v>14.31</v>
      </c>
      <c r="C5" t="s">
        <v>850</v>
      </c>
      <c r="D5" t="s">
        <v>248</v>
      </c>
      <c r="E5" s="2"/>
      <c r="F5" s="2">
        <f>IF(Data!$H$2,IF(ISNUMBER(B5),B5,NA()),NA())</f>
        <v>14.31</v>
      </c>
      <c r="G5" s="2"/>
      <c r="H5" s="2"/>
      <c r="I5" s="2"/>
      <c r="J5" s="2"/>
      <c r="K5" s="2"/>
      <c r="L5" s="2"/>
      <c r="M5" s="2"/>
      <c r="N5" s="2"/>
      <c r="O5" s="2"/>
      <c r="P5" s="2"/>
    </row>
    <row r="6" spans="1:16" ht="21" customHeight="1">
      <c r="A6" s="165">
        <v>45947</v>
      </c>
      <c r="B6" s="11">
        <v>14.38</v>
      </c>
      <c r="C6" t="s">
        <v>850</v>
      </c>
      <c r="D6" t="s">
        <v>248</v>
      </c>
      <c r="E6" s="2"/>
      <c r="F6" s="2">
        <f>IF(Data!$H$2,IF(ISNUMBER(B6),B6,NA()),NA())</f>
        <v>14.38</v>
      </c>
      <c r="G6" s="2"/>
      <c r="H6" s="2"/>
      <c r="I6" s="2"/>
      <c r="J6" s="2"/>
      <c r="K6" s="2"/>
      <c r="L6" s="2"/>
      <c r="M6" s="2"/>
      <c r="N6" s="2"/>
      <c r="O6" s="2"/>
      <c r="P6" s="2"/>
    </row>
    <row r="7" spans="1:16" ht="21" customHeight="1">
      <c r="A7" s="165">
        <v>45950</v>
      </c>
      <c r="B7" s="11">
        <v>14.53</v>
      </c>
      <c r="C7" t="s">
        <v>850</v>
      </c>
      <c r="D7" t="s">
        <v>248</v>
      </c>
      <c r="E7" s="2"/>
      <c r="F7" s="2">
        <f>IF(Data!$H$2,IF(ISNUMBER(B7),B7,NA()),NA())</f>
        <v>14.53</v>
      </c>
      <c r="G7" s="2"/>
      <c r="H7" s="2"/>
      <c r="I7" s="2"/>
      <c r="J7" s="2"/>
      <c r="K7" s="2"/>
      <c r="L7" s="2"/>
      <c r="M7" s="2"/>
      <c r="N7" s="2"/>
      <c r="O7" s="2"/>
      <c r="P7" s="2"/>
    </row>
    <row r="8" spans="1:16" ht="21" customHeight="1">
      <c r="A8" s="165">
        <v>45951</v>
      </c>
      <c r="B8" s="11">
        <v>14.53</v>
      </c>
      <c r="C8" t="s">
        <v>850</v>
      </c>
      <c r="D8" t="s">
        <v>248</v>
      </c>
      <c r="E8" s="2"/>
      <c r="F8" s="2">
        <f>IF(Data!$H$2,IF(ISNUMBER(B8),B8,NA()),NA())</f>
        <v>14.53</v>
      </c>
      <c r="G8" s="2"/>
      <c r="H8" s="2"/>
      <c r="I8" s="2"/>
      <c r="J8" s="2"/>
      <c r="K8" s="2"/>
      <c r="L8" s="2"/>
      <c r="M8" s="2"/>
      <c r="N8" s="2"/>
      <c r="O8" s="2"/>
      <c r="P8" s="2"/>
    </row>
    <row r="9" spans="1:16" ht="21" customHeight="1">
      <c r="A9" s="165">
        <v>45952</v>
      </c>
      <c r="B9" s="11">
        <v>14.44</v>
      </c>
      <c r="C9" t="s">
        <v>850</v>
      </c>
      <c r="D9" t="s">
        <v>248</v>
      </c>
      <c r="E9" s="2"/>
      <c r="F9" s="2">
        <f>IF(Data!$H$2,IF(ISNUMBER(B9),B9,NA()),NA())</f>
        <v>14.44</v>
      </c>
      <c r="G9" s="2"/>
      <c r="H9" s="2"/>
      <c r="I9" s="2"/>
      <c r="J9" s="2"/>
      <c r="K9" s="2"/>
      <c r="L9" s="2"/>
      <c r="M9" s="2"/>
      <c r="N9" s="2"/>
      <c r="O9" s="2"/>
      <c r="P9" s="2"/>
    </row>
    <row r="10" spans="1:16" ht="21" customHeight="1">
      <c r="A10" s="165">
        <v>45953</v>
      </c>
      <c r="B10" s="11">
        <v>14.54</v>
      </c>
      <c r="C10" t="s">
        <v>850</v>
      </c>
      <c r="D10" t="s">
        <v>248</v>
      </c>
      <c r="E10" s="2"/>
      <c r="F10" s="2">
        <f>IF(Data!$H$2,IF(ISNUMBER(B10),B10,NA()),NA())</f>
        <v>14.54</v>
      </c>
      <c r="G10" s="2"/>
      <c r="H10" s="2"/>
      <c r="I10" s="2"/>
      <c r="J10" s="2"/>
      <c r="K10" s="2"/>
      <c r="L10" s="2"/>
      <c r="M10" s="2"/>
      <c r="N10" s="2"/>
      <c r="O10" s="2"/>
      <c r="P10" s="2"/>
    </row>
    <row r="11" spans="1:16" ht="21" customHeight="1">
      <c r="A11" s="165">
        <v>45954</v>
      </c>
      <c r="B11" s="11">
        <v>14.65</v>
      </c>
      <c r="C11" t="s">
        <v>850</v>
      </c>
      <c r="D11" t="s">
        <v>248</v>
      </c>
      <c r="E11" s="2"/>
      <c r="F11" s="2">
        <f>IF(Data!$H$2,IF(ISNUMBER(B11),B11,NA()),NA())</f>
        <v>14.65</v>
      </c>
      <c r="G11" s="2"/>
      <c r="H11" s="2"/>
      <c r="I11" s="2"/>
      <c r="J11" s="2"/>
      <c r="K11" s="2"/>
      <c r="L11" s="2"/>
      <c r="M11" s="2"/>
      <c r="N11" s="2"/>
      <c r="O11" s="2"/>
      <c r="P11" s="2"/>
    </row>
    <row r="12" spans="1:16" ht="21" customHeight="1">
      <c r="A12" s="165">
        <v>45957</v>
      </c>
      <c r="B12" s="11">
        <v>14.83</v>
      </c>
      <c r="C12" t="s">
        <v>850</v>
      </c>
      <c r="D12" t="s">
        <v>248</v>
      </c>
      <c r="E12" s="2"/>
      <c r="F12" s="2">
        <f>IF(Data!$H$2,IF(ISNUMBER(B12),B12,NA()),NA())</f>
        <v>14.83</v>
      </c>
      <c r="G12" s="2"/>
      <c r="H12" s="2"/>
      <c r="I12" s="2"/>
      <c r="J12" s="2"/>
      <c r="K12" s="2"/>
      <c r="L12" s="2"/>
      <c r="M12" s="2"/>
      <c r="N12" s="2"/>
      <c r="O12" s="2"/>
      <c r="P12" s="2"/>
    </row>
    <row r="13" spans="1:16" ht="21" customHeight="1">
      <c r="A13" s="165">
        <v>45958</v>
      </c>
      <c r="B13" s="11">
        <v>14.85</v>
      </c>
      <c r="C13" t="s">
        <v>850</v>
      </c>
      <c r="D13" t="s">
        <v>248</v>
      </c>
      <c r="E13" s="2"/>
      <c r="F13" s="2">
        <f>IF(Data!$H$2,IF(ISNUMBER(B13),B13,NA()),NA())</f>
        <v>14.85</v>
      </c>
      <c r="G13" s="2"/>
      <c r="H13" s="2"/>
      <c r="I13" s="2"/>
      <c r="J13" s="2"/>
      <c r="K13" s="2"/>
      <c r="L13" s="2"/>
      <c r="M13" s="2"/>
      <c r="N13" s="2"/>
      <c r="O13" s="2"/>
      <c r="P13" s="2"/>
    </row>
    <row r="14" spans="1:16" ht="21" customHeight="1">
      <c r="A14" s="165">
        <v>45959</v>
      </c>
      <c r="B14" s="11">
        <v>14.85</v>
      </c>
      <c r="C14" t="s">
        <v>850</v>
      </c>
      <c r="D14" t="s">
        <v>248</v>
      </c>
      <c r="E14" s="2"/>
      <c r="F14" s="2">
        <f>IF(Data!$H$2,IF(ISNUMBER(B14),B14,NA()),NA())</f>
        <v>14.85</v>
      </c>
      <c r="G14" s="2"/>
      <c r="H14" s="2"/>
      <c r="I14" s="2"/>
      <c r="J14" s="2"/>
      <c r="K14" s="2"/>
      <c r="L14" s="2"/>
      <c r="M14" s="2"/>
      <c r="N14" s="2"/>
      <c r="O14" s="2"/>
      <c r="P14" s="2"/>
    </row>
    <row r="15" spans="1:16" ht="21" customHeight="1">
      <c r="A15" s="165">
        <v>45960</v>
      </c>
      <c r="B15" s="11">
        <v>14.69</v>
      </c>
      <c r="C15" t="s">
        <v>850</v>
      </c>
      <c r="D15" t="s">
        <v>248</v>
      </c>
      <c r="E15" s="2"/>
      <c r="F15" s="2">
        <f>IF(Data!$H$2,IF(ISNUMBER(B15),B15,NA()),NA())</f>
        <v>14.69</v>
      </c>
      <c r="G15" s="2"/>
      <c r="H15" s="2"/>
      <c r="I15" s="2"/>
      <c r="J15" s="2"/>
      <c r="K15" s="2"/>
      <c r="L15" s="2"/>
      <c r="M15" s="2"/>
      <c r="N15" s="2"/>
      <c r="O15" s="2"/>
      <c r="P15" s="2"/>
    </row>
    <row r="16" spans="1:16" ht="21" customHeight="1">
      <c r="A16" s="165">
        <v>45961</v>
      </c>
      <c r="B16" s="11">
        <v>14.75</v>
      </c>
      <c r="C16" t="s">
        <v>850</v>
      </c>
      <c r="D16" t="s">
        <v>248</v>
      </c>
      <c r="E16" s="2"/>
      <c r="F16" s="2">
        <f>IF(Data!$H$2,IF(ISNUMBER(B16),B16,NA()),NA())</f>
        <v>14.75</v>
      </c>
      <c r="G16" s="2"/>
      <c r="H16" s="2"/>
      <c r="I16" s="2"/>
      <c r="J16" s="2"/>
      <c r="K16" s="2"/>
      <c r="L16" s="2"/>
      <c r="M16" s="2"/>
      <c r="N16" s="2"/>
      <c r="O16" s="2"/>
      <c r="P16" s="2"/>
    </row>
    <row r="17" spans="1:16" ht="21" customHeight="1">
      <c r="A17" s="165">
        <v>45964</v>
      </c>
      <c r="B17" s="11">
        <v>14.77</v>
      </c>
      <c r="C17" t="s">
        <v>850</v>
      </c>
      <c r="D17" t="s">
        <v>248</v>
      </c>
      <c r="E17" s="2"/>
      <c r="F17" s="2">
        <f>IF(Data!$H$2,IF(ISNUMBER(B17),B17,NA()),NA())</f>
        <v>14.77</v>
      </c>
      <c r="G17" s="2"/>
      <c r="H17" s="2"/>
      <c r="I17" s="2"/>
      <c r="J17" s="2"/>
      <c r="K17" s="2"/>
      <c r="L17" s="2"/>
      <c r="M17" s="2"/>
      <c r="N17" s="2"/>
      <c r="O17" s="2"/>
      <c r="P17" s="2"/>
    </row>
    <row r="18" spans="1:16" ht="21" customHeight="1">
      <c r="A18" s="165">
        <v>45965</v>
      </c>
      <c r="B18" s="11">
        <v>14.58</v>
      </c>
      <c r="C18" t="s">
        <v>850</v>
      </c>
      <c r="D18" t="s">
        <v>248</v>
      </c>
      <c r="E18" s="2"/>
      <c r="F18" s="2">
        <f>IF(Data!$H$2,IF(ISNUMBER(B18),B18,NA()),NA())</f>
        <v>14.58</v>
      </c>
      <c r="G18" s="2"/>
      <c r="H18" s="2"/>
      <c r="I18" s="2"/>
      <c r="J18" s="2"/>
      <c r="K18" s="2"/>
      <c r="L18" s="2"/>
      <c r="M18" s="2"/>
      <c r="N18" s="2"/>
      <c r="O18" s="2"/>
      <c r="P18" s="2"/>
    </row>
    <row r="19" spans="1:16" ht="21" customHeight="1">
      <c r="A19" s="165">
        <v>45966</v>
      </c>
      <c r="B19" s="11">
        <v>14.64</v>
      </c>
      <c r="C19" t="s">
        <v>850</v>
      </c>
      <c r="D19" t="s">
        <v>248</v>
      </c>
      <c r="E19" s="2"/>
      <c r="F19" s="2">
        <f>IF(Data!$H$2,IF(ISNUMBER(B19),B19,NA()),NA())</f>
        <v>14.64</v>
      </c>
      <c r="G19" s="2"/>
      <c r="H19" s="2"/>
      <c r="I19" s="2"/>
      <c r="J19" s="2"/>
      <c r="K19" s="2"/>
      <c r="L19" s="2"/>
      <c r="M19" s="2"/>
      <c r="N19" s="2"/>
      <c r="O19" s="2"/>
      <c r="P19" s="2"/>
    </row>
    <row r="20" spans="1:16" ht="21" customHeight="1">
      <c r="A20" s="165">
        <v>45967</v>
      </c>
      <c r="B20" s="11">
        <v>14.47</v>
      </c>
      <c r="C20" t="s">
        <v>850</v>
      </c>
      <c r="D20" t="s">
        <v>248</v>
      </c>
      <c r="E20" s="2"/>
      <c r="F20" s="2">
        <f>IF(Data!$H$2,IF(ISNUMBER(B20),B20,NA()),NA())</f>
        <v>14.47</v>
      </c>
      <c r="G20" s="2"/>
      <c r="H20" s="2"/>
      <c r="I20" s="2"/>
      <c r="J20" s="2"/>
      <c r="K20" s="2"/>
      <c r="L20" s="2"/>
      <c r="M20" s="2"/>
      <c r="N20" s="2"/>
      <c r="O20" s="2"/>
      <c r="P20" s="2"/>
    </row>
    <row r="21" spans="1:16" ht="21" customHeight="1">
      <c r="A21" s="165">
        <v>45968</v>
      </c>
      <c r="B21" s="11">
        <v>14.51</v>
      </c>
      <c r="C21" t="s">
        <v>850</v>
      </c>
      <c r="D21" t="s">
        <v>248</v>
      </c>
      <c r="E21" s="2"/>
      <c r="F21" s="2">
        <f>IF(Data!$H$2,IF(ISNUMBER(B21),B21,NA()),NA())</f>
        <v>14.51</v>
      </c>
      <c r="G21" s="2"/>
      <c r="H21" s="2"/>
      <c r="I21" s="2"/>
      <c r="J21" s="2"/>
      <c r="K21" s="2"/>
      <c r="L21" s="2"/>
      <c r="M21" s="2"/>
      <c r="N21" s="2"/>
      <c r="O21" s="2"/>
      <c r="P21" s="2"/>
    </row>
    <row r="22" spans="1:16" ht="21" customHeight="1">
      <c r="A22" s="165">
        <v>45971</v>
      </c>
      <c r="B22" s="11">
        <v>14.73</v>
      </c>
      <c r="C22" t="s">
        <v>850</v>
      </c>
      <c r="D22" t="s">
        <v>248</v>
      </c>
      <c r="E22" s="2"/>
      <c r="F22" s="2">
        <f>IF(Data!$H$2,IF(ISNUMBER(B22),B22,NA()),NA())</f>
        <v>14.73</v>
      </c>
      <c r="G22" s="2"/>
      <c r="H22" s="2"/>
      <c r="I22" s="2"/>
      <c r="J22" s="2"/>
      <c r="K22" s="2"/>
      <c r="L22" s="2"/>
      <c r="M22" s="2"/>
      <c r="N22" s="2"/>
      <c r="O22" s="2"/>
      <c r="P22" s="2"/>
    </row>
    <row r="23" spans="1:16" ht="21" customHeight="1">
      <c r="A23" s="165">
        <v>45972</v>
      </c>
      <c r="B23" s="11">
        <v>14.75</v>
      </c>
      <c r="C23" t="s">
        <v>850</v>
      </c>
      <c r="D23" t="s">
        <v>248</v>
      </c>
      <c r="E23" s="2"/>
      <c r="F23" s="2">
        <f>IF(Data!$H$2,IF(ISNUMBER(B23),B23,NA()),NA())</f>
        <v>14.75</v>
      </c>
      <c r="G23" s="2"/>
      <c r="H23" s="2"/>
      <c r="I23" s="2"/>
      <c r="J23" s="2"/>
      <c r="K23" s="2"/>
      <c r="L23" s="2"/>
      <c r="M23" s="2"/>
      <c r="N23" s="2"/>
      <c r="O23" s="2"/>
      <c r="P23" s="2"/>
    </row>
    <row r="24" spans="1:16" ht="21" customHeight="1">
      <c r="A24" s="165">
        <v>45973</v>
      </c>
      <c r="B24" s="11">
        <v>14.76</v>
      </c>
      <c r="C24" t="s">
        <v>850</v>
      </c>
      <c r="D24" t="s">
        <v>248</v>
      </c>
      <c r="E24" s="2"/>
      <c r="F24" s="2">
        <f>IF(Data!$H$2,IF(ISNUMBER(B24),B24,NA()),NA())</f>
        <v>14.76</v>
      </c>
      <c r="G24" s="2"/>
      <c r="H24" s="2"/>
      <c r="I24" s="2"/>
      <c r="J24" s="2"/>
      <c r="K24" s="2"/>
      <c r="L24" s="2"/>
      <c r="M24" s="2"/>
      <c r="N24" s="2"/>
      <c r="O24" s="2"/>
      <c r="P24" s="2"/>
    </row>
    <row r="25" spans="1:16" ht="21" customHeight="1">
      <c r="A25" s="165">
        <v>45974</v>
      </c>
      <c r="B25" s="11">
        <v>14.5</v>
      </c>
      <c r="C25" t="s">
        <v>850</v>
      </c>
      <c r="D25" t="s">
        <v>248</v>
      </c>
      <c r="E25" s="2"/>
      <c r="F25" s="2">
        <f>IF(Data!$H$2,IF(ISNUMBER(B25),B25,NA()),NA())</f>
        <v>14.5</v>
      </c>
      <c r="G25" s="2"/>
      <c r="H25" s="2"/>
      <c r="I25" s="2"/>
      <c r="J25" s="2"/>
      <c r="K25" s="2"/>
      <c r="L25" s="2"/>
      <c r="M25" s="2"/>
      <c r="N25" s="2"/>
      <c r="O25" s="2"/>
      <c r="P25" s="2"/>
    </row>
    <row r="26" spans="1:16" ht="21" customHeight="1">
      <c r="A26" s="165">
        <v>45975</v>
      </c>
      <c r="B26" s="11">
        <v>14.5</v>
      </c>
      <c r="C26" t="s">
        <v>850</v>
      </c>
      <c r="D26" t="s">
        <v>248</v>
      </c>
      <c r="E26" s="2"/>
      <c r="F26" s="2">
        <f>IF(Data!$H$2,IF(ISNUMBER(B26),B26,NA()),NA())</f>
        <v>14.5</v>
      </c>
      <c r="G26" s="2"/>
      <c r="H26" s="2"/>
      <c r="I26" s="2"/>
      <c r="J26" s="2"/>
      <c r="K26" s="2"/>
      <c r="L26" s="2"/>
      <c r="M26" s="2"/>
      <c r="N26" s="2"/>
      <c r="O26" s="2"/>
      <c r="P26" s="2"/>
    </row>
    <row r="27" spans="1:16" ht="21" customHeight="1">
      <c r="A27" s="165">
        <v>45978</v>
      </c>
      <c r="B27" s="11">
        <v>14.35</v>
      </c>
      <c r="C27" t="s">
        <v>850</v>
      </c>
      <c r="D27" t="s">
        <v>248</v>
      </c>
      <c r="E27" s="2"/>
      <c r="F27" s="2">
        <f>IF(Data!$H$2,IF(ISNUMBER(B27),B27,NA()),NA())</f>
        <v>14.35</v>
      </c>
      <c r="G27" s="2"/>
      <c r="H27" s="2"/>
      <c r="I27" s="2"/>
      <c r="J27" s="2"/>
      <c r="K27" s="2"/>
      <c r="L27" s="2"/>
      <c r="M27" s="2"/>
      <c r="N27" s="2"/>
      <c r="O27" s="2"/>
      <c r="P27" s="2"/>
    </row>
    <row r="28" spans="1:16" ht="21" customHeight="1">
      <c r="A28" s="165">
        <v>45979</v>
      </c>
      <c r="B28" s="11">
        <v>14.25</v>
      </c>
      <c r="C28" t="s">
        <v>850</v>
      </c>
      <c r="D28" t="s">
        <v>248</v>
      </c>
      <c r="E28" s="2"/>
      <c r="F28" s="2">
        <f>IF(Data!$H$2,IF(ISNUMBER(B28),B28,NA()),NA())</f>
        <v>14.25</v>
      </c>
      <c r="G28" s="2"/>
      <c r="H28" s="2"/>
      <c r="I28" s="2"/>
      <c r="J28" s="2"/>
      <c r="K28" s="2"/>
      <c r="L28" s="2"/>
      <c r="M28" s="2"/>
      <c r="N28" s="2"/>
      <c r="O28" s="2"/>
      <c r="P28" s="2"/>
    </row>
    <row r="29" spans="1:16" ht="21" customHeight="1">
      <c r="A29" s="165">
        <v>45980</v>
      </c>
      <c r="B29" s="11">
        <v>14.3</v>
      </c>
      <c r="C29" t="s">
        <v>850</v>
      </c>
      <c r="D29" t="s">
        <v>248</v>
      </c>
      <c r="E29" s="2"/>
      <c r="F29" s="2">
        <f>IF(Data!$H$2,IF(ISNUMBER(B29),B29,NA()),NA())</f>
        <v>14.3</v>
      </c>
      <c r="G29" s="2"/>
      <c r="H29" s="2"/>
      <c r="I29" s="2"/>
      <c r="J29" s="2"/>
      <c r="K29" s="2"/>
      <c r="L29" s="2"/>
      <c r="M29" s="2"/>
      <c r="N29" s="2"/>
      <c r="O29" s="2"/>
      <c r="P29" s="2"/>
    </row>
    <row r="30" spans="1:16" ht="21" customHeight="1">
      <c r="A30" s="165">
        <v>45981</v>
      </c>
      <c r="B30" s="11">
        <v>14.07</v>
      </c>
      <c r="C30" t="s">
        <v>850</v>
      </c>
      <c r="D30" t="s">
        <v>248</v>
      </c>
      <c r="E30" s="2"/>
      <c r="F30" s="2">
        <f>IF(Data!$H$2,IF(ISNUMBER(B30),B30,NA()),NA())</f>
        <v>14.07</v>
      </c>
      <c r="G30" s="2"/>
      <c r="H30" s="2"/>
      <c r="I30" s="2"/>
      <c r="J30" s="2"/>
      <c r="K30" s="2"/>
      <c r="L30" s="2"/>
      <c r="M30" s="2"/>
      <c r="N30" s="2"/>
      <c r="O30" s="2"/>
      <c r="P30" s="2"/>
    </row>
    <row r="31" spans="1:16" ht="21" customHeight="1">
      <c r="A31" s="165">
        <v>45982</v>
      </c>
      <c r="B31" s="11">
        <v>14.21</v>
      </c>
      <c r="C31" t="s">
        <v>850</v>
      </c>
      <c r="D31" t="s">
        <v>248</v>
      </c>
      <c r="E31" s="2"/>
      <c r="F31" s="2">
        <f>IF(Data!$H$2,IF(ISNUMBER(B31),B31,NA()),NA())</f>
        <v>14.21</v>
      </c>
      <c r="G31" s="2"/>
      <c r="H31" s="2"/>
      <c r="I31" s="2"/>
      <c r="J31" s="2"/>
      <c r="K31" s="2"/>
      <c r="L31" s="2"/>
      <c r="M31" s="2"/>
      <c r="N31" s="2"/>
      <c r="O31" s="2"/>
      <c r="P31" s="2"/>
    </row>
    <row r="32" spans="1:16" ht="21" customHeight="1">
      <c r="A32" s="165">
        <v>45985</v>
      </c>
      <c r="B32" s="11">
        <v>14.44</v>
      </c>
      <c r="C32" t="s">
        <v>850</v>
      </c>
      <c r="D32" t="s">
        <v>248</v>
      </c>
      <c r="E32" s="2"/>
      <c r="F32" s="2">
        <f>IF(Data!$H$2,IF(ISNUMBER(B32),B32,NA()),NA())</f>
        <v>14.44</v>
      </c>
      <c r="G32" s="2"/>
      <c r="H32" s="2"/>
      <c r="I32" s="2"/>
      <c r="J32" s="2"/>
      <c r="K32" s="2"/>
      <c r="L32" s="2"/>
      <c r="M32" s="2"/>
      <c r="N32" s="2"/>
      <c r="O32" s="2"/>
      <c r="P32" s="2"/>
    </row>
    <row r="33" spans="1:16" ht="21" customHeight="1">
      <c r="A33" s="165">
        <v>45986</v>
      </c>
      <c r="B33" s="11">
        <v>14.58</v>
      </c>
      <c r="C33" t="s">
        <v>850</v>
      </c>
      <c r="D33" t="s">
        <v>248</v>
      </c>
      <c r="E33" s="2"/>
      <c r="F33" s="2">
        <f>IF(Data!$H$2,IF(ISNUMBER(B33),B33,NA()),NA())</f>
        <v>14.58</v>
      </c>
      <c r="G33" s="2"/>
      <c r="H33" s="2"/>
      <c r="I33" s="2"/>
      <c r="J33" s="2"/>
      <c r="K33" s="2"/>
      <c r="L33" s="2"/>
      <c r="M33" s="2"/>
      <c r="N33" s="2"/>
      <c r="O33" s="2"/>
      <c r="P33" s="2"/>
    </row>
    <row r="34" spans="1:16" ht="21" customHeight="1">
      <c r="A34" s="165">
        <v>45987</v>
      </c>
      <c r="B34" s="11">
        <v>14.68</v>
      </c>
      <c r="C34" t="s">
        <v>850</v>
      </c>
      <c r="D34" t="s">
        <v>248</v>
      </c>
      <c r="E34" s="2"/>
      <c r="F34" s="2">
        <f>IF(Data!$H$2,IF(ISNUMBER(B34),B34,NA()),NA())</f>
        <v>14.68</v>
      </c>
      <c r="G34" s="2"/>
      <c r="H34" s="2"/>
      <c r="I34" s="2"/>
      <c r="J34" s="2"/>
      <c r="K34" s="2"/>
      <c r="L34" s="2"/>
      <c r="M34" s="2"/>
      <c r="N34" s="2"/>
      <c r="O34" s="2"/>
      <c r="P34" s="2"/>
    </row>
    <row r="35" spans="1:16" ht="21" customHeight="1">
      <c r="A35" s="165">
        <v>45989</v>
      </c>
      <c r="B35" s="11">
        <v>14.76</v>
      </c>
      <c r="C35" t="s">
        <v>850</v>
      </c>
      <c r="D35" t="s">
        <v>248</v>
      </c>
      <c r="E35" s="2"/>
      <c r="F35" s="2">
        <f>IF(Data!$H$2,IF(ISNUMBER(B35),B35,NA()),NA())</f>
        <v>14.76</v>
      </c>
      <c r="G35" s="2"/>
      <c r="H35" s="2"/>
      <c r="I35" s="2"/>
      <c r="J35" s="2"/>
      <c r="K35" s="2"/>
      <c r="L35" s="2"/>
      <c r="M35" s="2"/>
      <c r="N35" s="2"/>
      <c r="O35" s="2"/>
      <c r="P35" s="2"/>
    </row>
    <row r="36" spans="1:16" ht="21" customHeight="1">
      <c r="A36" s="165">
        <v>45992</v>
      </c>
      <c r="B36" s="11">
        <v>14.69</v>
      </c>
      <c r="C36" t="s">
        <v>850</v>
      </c>
      <c r="D36" t="s">
        <v>248</v>
      </c>
      <c r="E36" s="2"/>
      <c r="F36" s="2">
        <f>IF(Data!$H$2,IF(ISNUMBER(B36),B36,NA()),NA())</f>
        <v>14.69</v>
      </c>
      <c r="G36" s="2"/>
      <c r="H36" s="2"/>
      <c r="I36" s="2"/>
      <c r="J36" s="2"/>
      <c r="K36" s="2"/>
      <c r="L36" s="2"/>
      <c r="M36" s="2"/>
      <c r="N36" s="2"/>
      <c r="O36" s="2"/>
      <c r="P36" s="2"/>
    </row>
    <row r="37" spans="1:16" ht="21" customHeight="1">
      <c r="A37" s="165">
        <v>45993</v>
      </c>
      <c r="B37" s="11">
        <v>14.72</v>
      </c>
      <c r="C37" t="s">
        <v>850</v>
      </c>
      <c r="D37" t="s">
        <v>248</v>
      </c>
      <c r="E37" s="2"/>
      <c r="F37" s="2">
        <f>IF(Data!$H$2,IF(ISNUMBER(B37),B37,NA()),NA())</f>
        <v>14.72</v>
      </c>
      <c r="G37" s="2"/>
      <c r="H37" s="2"/>
      <c r="I37" s="2"/>
      <c r="J37" s="2"/>
      <c r="K37" s="2"/>
      <c r="L37" s="2"/>
      <c r="M37" s="2"/>
      <c r="N37" s="2"/>
      <c r="O37" s="2"/>
      <c r="P37" s="2"/>
    </row>
    <row r="38" spans="1:16" ht="21" customHeight="1">
      <c r="A38" s="165">
        <v>45994</v>
      </c>
      <c r="B38" s="11">
        <v>14.77</v>
      </c>
      <c r="C38" t="s">
        <v>850</v>
      </c>
      <c r="D38" t="s">
        <v>248</v>
      </c>
      <c r="E38" s="2"/>
      <c r="F38" s="2">
        <f>IF(Data!$H$2,IF(ISNUMBER(B38),B38,NA()),NA())</f>
        <v>14.77</v>
      </c>
      <c r="G38" s="2"/>
      <c r="H38" s="2"/>
      <c r="I38" s="2"/>
      <c r="J38" s="2"/>
      <c r="K38" s="2"/>
      <c r="L38" s="2"/>
      <c r="M38" s="2"/>
      <c r="N38" s="2"/>
      <c r="O38" s="2"/>
      <c r="P38" s="2"/>
    </row>
    <row r="39" spans="1:16" ht="21" customHeight="1">
      <c r="A39" s="165">
        <v>45995</v>
      </c>
      <c r="B39" s="11">
        <v>14.8</v>
      </c>
      <c r="C39" t="s">
        <v>850</v>
      </c>
      <c r="D39" t="s">
        <v>248</v>
      </c>
      <c r="E39" s="2"/>
      <c r="F39" s="2">
        <f>IF(Data!$H$2,IF(ISNUMBER(B39),B39,NA()),NA())</f>
        <v>14.8</v>
      </c>
      <c r="G39" s="2"/>
      <c r="H39" s="2"/>
      <c r="I39" s="2"/>
      <c r="J39" s="2"/>
      <c r="K39" s="2"/>
      <c r="L39" s="2"/>
      <c r="M39" s="2"/>
      <c r="N39" s="2"/>
      <c r="O39" s="2"/>
      <c r="P39" s="2"/>
    </row>
    <row r="40" spans="1:16" ht="21" customHeight="1">
      <c r="A40" s="165">
        <v>45996</v>
      </c>
      <c r="B40" s="11">
        <v>14.83</v>
      </c>
      <c r="C40" t="s">
        <v>850</v>
      </c>
      <c r="D40" t="s">
        <v>248</v>
      </c>
      <c r="E40" s="2"/>
      <c r="F40" s="2">
        <f>IF(Data!$H$2,IF(ISNUMBER(B40),B40,NA()),NA())</f>
        <v>14.83</v>
      </c>
      <c r="G40" s="2"/>
      <c r="H40" s="2"/>
      <c r="I40" s="2"/>
      <c r="J40" s="2"/>
      <c r="K40" s="2"/>
      <c r="L40" s="2"/>
      <c r="M40" s="2"/>
      <c r="N40" s="2"/>
      <c r="O40" s="2"/>
      <c r="P40" s="2"/>
    </row>
    <row r="41" spans="1:16" ht="21" customHeight="1">
      <c r="A41" s="165">
        <v>45999</v>
      </c>
      <c r="B41" s="11">
        <v>14.78</v>
      </c>
      <c r="C41" t="s">
        <v>850</v>
      </c>
      <c r="D41" t="s">
        <v>248</v>
      </c>
      <c r="E41" s="2"/>
      <c r="F41" s="2">
        <f>IF(Data!$H$2,IF(ISNUMBER(B41),B41,NA()),NA())</f>
        <v>14.78</v>
      </c>
      <c r="G41" s="2"/>
      <c r="H41" s="2"/>
      <c r="I41" s="2"/>
      <c r="J41" s="2"/>
      <c r="K41" s="2"/>
      <c r="L41" s="2"/>
      <c r="M41" s="2"/>
      <c r="N41" s="2"/>
      <c r="O41" s="2"/>
      <c r="P41" s="2"/>
    </row>
    <row r="42" spans="1:16" ht="21" customHeight="1">
      <c r="A42" s="165">
        <v>46000</v>
      </c>
      <c r="B42" s="11">
        <v>14.76</v>
      </c>
      <c r="C42" t="s">
        <v>850</v>
      </c>
      <c r="D42" t="s">
        <v>248</v>
      </c>
      <c r="E42" s="2"/>
      <c r="F42" s="2">
        <f>IF(Data!$H$2,IF(ISNUMBER(B42),B42,NA()),NA())</f>
        <v>14.76</v>
      </c>
      <c r="G42" s="2"/>
      <c r="H42" s="2"/>
      <c r="I42" s="2"/>
      <c r="J42" s="2"/>
      <c r="K42" s="2"/>
      <c r="L42" s="2"/>
      <c r="M42" s="2"/>
      <c r="N42" s="2"/>
      <c r="O42" s="2"/>
      <c r="P42" s="2"/>
    </row>
    <row r="43" spans="1:16" ht="21" customHeight="1">
      <c r="A43" s="165">
        <v>46001</v>
      </c>
      <c r="B43" s="11">
        <v>14.87</v>
      </c>
      <c r="C43" t="s">
        <v>850</v>
      </c>
      <c r="D43" t="s">
        <v>248</v>
      </c>
      <c r="E43" s="2"/>
      <c r="F43" s="2">
        <f>IF(Data!$H$2,IF(ISNUMBER(B43),B43,NA()),NA())</f>
        <v>14.87</v>
      </c>
      <c r="G43" s="2"/>
      <c r="H43" s="2"/>
      <c r="I43" s="2"/>
      <c r="J43" s="2"/>
      <c r="K43" s="2"/>
      <c r="L43" s="2"/>
      <c r="M43" s="2"/>
      <c r="N43" s="2"/>
      <c r="O43" s="2"/>
      <c r="P43" s="2"/>
    </row>
    <row r="44" spans="1:16" ht="21" customHeight="1">
      <c r="A44" s="165">
        <v>46002</v>
      </c>
      <c r="B44" s="11">
        <v>14.91</v>
      </c>
      <c r="C44" t="s">
        <v>850</v>
      </c>
      <c r="D44" t="s">
        <v>248</v>
      </c>
      <c r="E44" s="2"/>
      <c r="F44" s="2">
        <f>IF(Data!$H$2,IF(ISNUMBER(B44),B44,NA()),NA())</f>
        <v>14.91</v>
      </c>
      <c r="G44" s="2"/>
      <c r="H44" s="2"/>
      <c r="I44" s="2"/>
      <c r="J44" s="2"/>
      <c r="K44" s="2"/>
      <c r="L44" s="2"/>
      <c r="M44" s="2"/>
      <c r="N44" s="2"/>
      <c r="O44" s="2"/>
      <c r="P44" s="2"/>
    </row>
    <row r="45" spans="1:16" ht="21" customHeight="1">
      <c r="A45" s="165">
        <v>46003</v>
      </c>
      <c r="B45" s="11">
        <v>14.53</v>
      </c>
      <c r="C45" t="s">
        <v>850</v>
      </c>
      <c r="D45" t="s">
        <v>248</v>
      </c>
      <c r="E45" s="2"/>
      <c r="F45" s="2">
        <f>IF(Data!$H$2,IF(ISNUMBER(B45),B45,NA()),NA())</f>
        <v>14.53</v>
      </c>
      <c r="G45" s="2"/>
      <c r="H45" s="2"/>
      <c r="I45" s="2"/>
      <c r="J45" s="2"/>
      <c r="K45" s="2"/>
      <c r="L45" s="2"/>
      <c r="M45" s="2"/>
      <c r="N45" s="2"/>
      <c r="O45" s="2"/>
      <c r="P45" s="2"/>
    </row>
    <row r="46" spans="1:16" ht="21" customHeight="1">
      <c r="A46" s="165">
        <v>46006</v>
      </c>
      <c r="B46" s="11">
        <v>14.5</v>
      </c>
      <c r="C46" t="s">
        <v>850</v>
      </c>
      <c r="D46" t="s">
        <v>248</v>
      </c>
      <c r="E46" s="2"/>
      <c r="F46" s="2">
        <f>IF(Data!$H$2,IF(ISNUMBER(B46),B46,NA()),NA())</f>
        <v>14.5</v>
      </c>
      <c r="G46" s="2"/>
      <c r="H46" s="2"/>
      <c r="I46" s="2"/>
      <c r="J46" s="2"/>
      <c r="K46" s="2"/>
      <c r="L46" s="2"/>
      <c r="M46" s="2"/>
      <c r="N46" s="2"/>
      <c r="O46" s="2"/>
      <c r="P46" s="2"/>
    </row>
    <row r="47" spans="1:16" ht="21" customHeight="1">
      <c r="A47" s="165">
        <v>46007</v>
      </c>
      <c r="B47" s="11">
        <v>14.46</v>
      </c>
      <c r="C47" t="s">
        <v>850</v>
      </c>
      <c r="D47" t="s">
        <v>248</v>
      </c>
      <c r="E47" s="2"/>
      <c r="F47" s="2">
        <f>IF(Data!$H$2,IF(ISNUMBER(B47),B47,NA()),NA())</f>
        <v>14.46</v>
      </c>
      <c r="G47" s="2"/>
      <c r="H47" s="2"/>
      <c r="I47" s="2"/>
      <c r="J47" s="2"/>
      <c r="K47" s="2"/>
      <c r="L47" s="2"/>
      <c r="M47" s="2"/>
      <c r="N47" s="2"/>
      <c r="O47" s="2"/>
      <c r="P47" s="2"/>
    </row>
    <row r="48" spans="1:16" ht="21" customHeight="1">
      <c r="A48" s="165">
        <v>46008</v>
      </c>
      <c r="B48" s="11">
        <v>14.3</v>
      </c>
      <c r="C48" t="s">
        <v>850</v>
      </c>
      <c r="D48" t="s">
        <v>248</v>
      </c>
      <c r="E48" s="2"/>
      <c r="F48" s="2">
        <f>IF(Data!$H$2,IF(ISNUMBER(B48),B48,NA()),NA())</f>
        <v>14.3</v>
      </c>
      <c r="G48" s="2"/>
      <c r="H48" s="2"/>
      <c r="I48" s="2"/>
      <c r="J48" s="2"/>
      <c r="K48" s="2"/>
      <c r="L48" s="2"/>
      <c r="M48" s="2"/>
      <c r="N48" s="2"/>
      <c r="O48" s="2"/>
      <c r="P48" s="2"/>
    </row>
    <row r="49" spans="1:16" ht="21" customHeight="1">
      <c r="A49" s="165">
        <v>46009</v>
      </c>
      <c r="B49" s="11">
        <v>14.41</v>
      </c>
      <c r="C49" t="s">
        <v>850</v>
      </c>
      <c r="D49" t="s">
        <v>248</v>
      </c>
      <c r="E49" s="2"/>
      <c r="F49" s="2">
        <f>IF(Data!$H$2,IF(ISNUMBER(B49),B49,NA()),NA())</f>
        <v>14.41</v>
      </c>
      <c r="G49" s="2"/>
      <c r="H49" s="2"/>
      <c r="I49" s="2"/>
      <c r="J49" s="2"/>
      <c r="K49" s="2"/>
      <c r="L49" s="2"/>
      <c r="M49" s="2"/>
      <c r="N49" s="2"/>
      <c r="O49" s="2"/>
      <c r="P49" s="2"/>
    </row>
    <row r="50" spans="1:16" ht="21" customHeight="1">
      <c r="A50" s="165">
        <v>46010</v>
      </c>
      <c r="B50" s="11">
        <v>14.54</v>
      </c>
      <c r="C50" t="s">
        <v>850</v>
      </c>
      <c r="D50" t="s">
        <v>248</v>
      </c>
      <c r="E50" s="2"/>
      <c r="F50" s="2">
        <f>IF(Data!$H$2,IF(ISNUMBER(B50),B50,NA()),NA())</f>
        <v>14.54</v>
      </c>
      <c r="G50" s="2"/>
      <c r="H50" s="2"/>
      <c r="I50" s="2"/>
      <c r="J50" s="2"/>
      <c r="K50" s="2"/>
      <c r="L50" s="2"/>
      <c r="M50" s="2"/>
      <c r="N50" s="2"/>
      <c r="O50" s="2"/>
      <c r="P50" s="2"/>
    </row>
    <row r="51" spans="1:16" ht="21" customHeight="1">
      <c r="A51" s="165">
        <v>46013</v>
      </c>
      <c r="B51" s="11">
        <v>14.65</v>
      </c>
      <c r="C51" t="s">
        <v>850</v>
      </c>
      <c r="D51" t="s">
        <v>248</v>
      </c>
      <c r="E51" s="2"/>
      <c r="F51" s="2">
        <f>IF(Data!$H$2,IF(ISNUMBER(B51),B51,NA()),NA())</f>
        <v>14.65</v>
      </c>
      <c r="G51" s="2"/>
      <c r="H51" s="2"/>
      <c r="I51" s="2"/>
      <c r="J51" s="2"/>
      <c r="K51" s="2"/>
      <c r="L51" s="2"/>
      <c r="M51" s="2"/>
      <c r="N51" s="2"/>
      <c r="O51" s="2"/>
      <c r="P51" s="2"/>
    </row>
    <row r="52" spans="1:16" ht="21" customHeight="1">
      <c r="A52" s="165">
        <v>46014</v>
      </c>
      <c r="B52" s="11">
        <v>14.7</v>
      </c>
      <c r="C52" t="s">
        <v>850</v>
      </c>
      <c r="D52" t="s">
        <v>248</v>
      </c>
      <c r="E52" s="2"/>
      <c r="F52" s="2">
        <f>IF(Data!$H$2,IF(ISNUMBER(B52),B52,NA()),NA())</f>
        <v>14.7</v>
      </c>
      <c r="G52" s="2"/>
      <c r="H52" s="2"/>
      <c r="I52" s="2"/>
      <c r="J52" s="2"/>
      <c r="K52" s="2"/>
      <c r="L52" s="2"/>
      <c r="M52" s="2"/>
      <c r="N52" s="2"/>
      <c r="O52" s="2"/>
      <c r="P52" s="2"/>
    </row>
    <row r="53" spans="1:16" ht="21" customHeight="1">
      <c r="A53" s="165">
        <v>46015</v>
      </c>
      <c r="B53" s="11">
        <v>14.75</v>
      </c>
      <c r="C53" t="s">
        <v>850</v>
      </c>
      <c r="D53" t="s">
        <v>248</v>
      </c>
      <c r="E53" s="2"/>
      <c r="F53" s="2">
        <f>IF(Data!$H$2,IF(ISNUMBER(B53),B53,NA()),NA())</f>
        <v>14.75</v>
      </c>
      <c r="G53" s="2"/>
      <c r="H53" s="2"/>
      <c r="I53" s="2"/>
      <c r="J53" s="2"/>
      <c r="K53" s="2"/>
      <c r="L53" s="2"/>
      <c r="M53" s="2"/>
      <c r="N53" s="2"/>
      <c r="O53" s="2"/>
      <c r="P53" s="2"/>
    </row>
    <row r="54" spans="1:16" ht="21" customHeight="1">
      <c r="A54" s="165">
        <v>46017</v>
      </c>
      <c r="B54" s="11">
        <v>14.74</v>
      </c>
      <c r="C54" t="s">
        <v>850</v>
      </c>
      <c r="D54" t="s">
        <v>248</v>
      </c>
      <c r="E54" s="2"/>
      <c r="F54" s="2">
        <f>IF(Data!$H$2,IF(ISNUMBER(B54),B54,NA()),NA())</f>
        <v>14.74</v>
      </c>
      <c r="G54" s="2"/>
      <c r="H54" s="2"/>
      <c r="I54" s="2"/>
      <c r="J54" s="2"/>
      <c r="K54" s="2"/>
      <c r="L54" s="2"/>
      <c r="M54" s="2"/>
      <c r="N54" s="2"/>
      <c r="O54" s="2"/>
      <c r="P54" s="2"/>
    </row>
    <row r="55" spans="1:16" ht="21" customHeight="1">
      <c r="A55" s="165">
        <v>46020</v>
      </c>
      <c r="B55" s="11">
        <v>14.69</v>
      </c>
      <c r="C55" t="s">
        <v>850</v>
      </c>
      <c r="D55" t="s">
        <v>248</v>
      </c>
      <c r="E55" s="2"/>
      <c r="F55" s="2">
        <f>IF(Data!$H$2,IF(ISNUMBER(B55),B55,NA()),NA())</f>
        <v>14.69</v>
      </c>
      <c r="G55" s="2"/>
      <c r="H55" s="2"/>
      <c r="I55" s="2"/>
      <c r="J55" s="2"/>
      <c r="K55" s="2"/>
      <c r="L55" s="2"/>
      <c r="M55" s="2"/>
      <c r="N55" s="2"/>
      <c r="O55" s="2"/>
      <c r="P55" s="2"/>
    </row>
    <row r="56" spans="1:16" ht="21" customHeight="1">
      <c r="A56" s="165">
        <v>46021</v>
      </c>
      <c r="B56" s="11">
        <v>14.66</v>
      </c>
      <c r="C56" t="s">
        <v>850</v>
      </c>
      <c r="D56" t="s">
        <v>248</v>
      </c>
      <c r="E56" s="2"/>
      <c r="F56" s="2">
        <f>IF(Data!$H$2,IF(ISNUMBER(B56),B56,NA()),NA())</f>
        <v>14.66</v>
      </c>
      <c r="G56" s="2"/>
      <c r="H56" s="2"/>
      <c r="I56" s="2"/>
      <c r="J56" s="2"/>
      <c r="K56" s="2"/>
      <c r="L56" s="2"/>
      <c r="M56" s="2"/>
      <c r="N56" s="2"/>
      <c r="O56" s="2"/>
      <c r="P56" s="2"/>
    </row>
    <row r="57" spans="1:16" ht="21" customHeight="1">
      <c r="A57" s="165">
        <v>46022</v>
      </c>
      <c r="B57" s="11">
        <v>14.55</v>
      </c>
      <c r="C57" t="s">
        <v>850</v>
      </c>
      <c r="D57" t="s">
        <v>248</v>
      </c>
      <c r="E57" s="2"/>
      <c r="F57" s="2">
        <f>IF(Data!$H$2,IF(ISNUMBER(B57),B57,NA()),NA())</f>
        <v>14.55</v>
      </c>
      <c r="G57" s="2"/>
      <c r="H57" s="2"/>
      <c r="I57" s="2"/>
      <c r="J57" s="2"/>
      <c r="K57" s="2"/>
      <c r="L57" s="2"/>
      <c r="M57" s="2"/>
      <c r="N57" s="2"/>
      <c r="O57" s="2"/>
      <c r="P57" s="2"/>
    </row>
    <row r="58" spans="1:16" ht="21" customHeight="1">
      <c r="A58" s="165">
        <v>46024</v>
      </c>
      <c r="B58" s="11">
        <v>14.6</v>
      </c>
      <c r="C58" t="s">
        <v>850</v>
      </c>
      <c r="D58" t="s">
        <v>248</v>
      </c>
      <c r="E58" s="2"/>
      <c r="F58" s="2">
        <f>IF(Data!$H$2,IF(ISNUMBER(B58),B58,NA()),NA())</f>
        <v>14.6</v>
      </c>
      <c r="G58" s="2"/>
      <c r="H58" s="2"/>
      <c r="I58" s="2"/>
      <c r="J58" s="2"/>
      <c r="K58" s="2"/>
      <c r="L58" s="2"/>
      <c r="M58" s="2"/>
      <c r="N58" s="2"/>
      <c r="O58" s="2"/>
      <c r="P58" s="2"/>
    </row>
    <row r="59" spans="1:16" ht="21" customHeight="1">
      <c r="A59" s="165">
        <v>46027</v>
      </c>
      <c r="B59" s="11">
        <v>14.7</v>
      </c>
      <c r="C59" t="s">
        <v>850</v>
      </c>
      <c r="D59" t="s">
        <v>248</v>
      </c>
      <c r="E59" s="2"/>
      <c r="F59" s="2">
        <f>IF(Data!$H$2,IF(ISNUMBER(B59),B59,NA()),NA())</f>
        <v>14.7</v>
      </c>
      <c r="G59" s="2"/>
      <c r="H59" s="2"/>
      <c r="I59" s="2"/>
      <c r="J59" s="2"/>
      <c r="K59" s="2"/>
      <c r="L59" s="2"/>
      <c r="M59" s="2"/>
      <c r="N59" s="2"/>
      <c r="O59" s="2"/>
      <c r="P59" s="2"/>
    </row>
    <row r="60" spans="1:16" ht="21" customHeight="1">
      <c r="A60" s="165">
        <v>46028</v>
      </c>
      <c r="B60" s="11">
        <v>14.8</v>
      </c>
      <c r="C60" t="s">
        <v>850</v>
      </c>
      <c r="D60" t="s">
        <v>248</v>
      </c>
      <c r="E60" s="2"/>
      <c r="F60" s="2">
        <f>IF(Data!$H$2,IF(ISNUMBER(B60),B60,NA()),NA())</f>
        <v>14.8</v>
      </c>
      <c r="G60" s="2"/>
      <c r="H60" s="2"/>
      <c r="I60" s="2"/>
      <c r="J60" s="2"/>
      <c r="K60" s="2"/>
      <c r="L60" s="2"/>
      <c r="M60" s="2"/>
      <c r="N60" s="2"/>
      <c r="O60" s="2"/>
      <c r="P60" s="2"/>
    </row>
    <row r="61" spans="1:16" ht="21" customHeight="1">
      <c r="A61" s="165">
        <v>46029</v>
      </c>
      <c r="B61" s="11">
        <v>14.75</v>
      </c>
      <c r="C61" t="s">
        <v>850</v>
      </c>
      <c r="D61" t="s">
        <v>248</v>
      </c>
      <c r="E61" s="2"/>
      <c r="F61" s="2">
        <f>IF(Data!$H$2,IF(ISNUMBER(B61),B61,NA()),NA())</f>
        <v>14.75</v>
      </c>
      <c r="G61" s="2"/>
      <c r="H61" s="2"/>
      <c r="I61" s="2"/>
      <c r="J61" s="2"/>
      <c r="K61" s="2"/>
      <c r="L61" s="2"/>
      <c r="M61" s="2"/>
      <c r="N61" s="2"/>
      <c r="O61" s="2"/>
      <c r="P61" s="2"/>
    </row>
    <row r="62" spans="1:16" ht="21" customHeight="1">
      <c r="A62" s="165">
        <v>46030</v>
      </c>
      <c r="B62" s="11">
        <v>14.75</v>
      </c>
      <c r="C62" t="s">
        <v>850</v>
      </c>
      <c r="D62" t="s">
        <v>248</v>
      </c>
      <c r="E62" s="2"/>
      <c r="F62" s="2">
        <f>IF(Data!$H$2,IF(ISNUMBER(B62),B62,NA()),NA())</f>
        <v>14.75</v>
      </c>
      <c r="G62" s="2"/>
      <c r="H62" s="2"/>
      <c r="I62" s="2"/>
      <c r="J62" s="2"/>
      <c r="K62" s="2"/>
      <c r="L62" s="2"/>
      <c r="M62" s="2"/>
      <c r="N62" s="2"/>
      <c r="O62" s="2"/>
      <c r="P62" s="2"/>
    </row>
    <row r="63" spans="1:16" ht="21" customHeight="1">
      <c r="A63" s="165">
        <v>46031</v>
      </c>
      <c r="B63" s="11">
        <v>14.84</v>
      </c>
      <c r="C63" t="s">
        <v>850</v>
      </c>
      <c r="D63" t="s">
        <v>248</v>
      </c>
      <c r="E63" s="2"/>
      <c r="F63" s="2">
        <f>IF(Data!$H$2,IF(ISNUMBER(B63),B63,NA()),NA())</f>
        <v>14.84</v>
      </c>
      <c r="G63" s="2"/>
      <c r="H63" s="2"/>
      <c r="I63" s="2"/>
      <c r="J63" s="2"/>
      <c r="K63" s="2"/>
      <c r="L63" s="2"/>
      <c r="M63" s="2"/>
      <c r="N63" s="2"/>
      <c r="O63" s="2"/>
      <c r="P63" s="2"/>
    </row>
    <row r="64" spans="1:16" ht="21" customHeight="1">
      <c r="A64" s="165">
        <v>46034</v>
      </c>
      <c r="B64" s="11">
        <v>14.87</v>
      </c>
      <c r="C64" t="s">
        <v>850</v>
      </c>
      <c r="D64" t="s">
        <v>248</v>
      </c>
      <c r="E64" s="2"/>
      <c r="F64" s="2">
        <f>IF(Data!$H$2,IF(ISNUMBER(B64),B64,NA()),NA())</f>
        <v>14.87</v>
      </c>
      <c r="G64" s="2"/>
      <c r="H64" s="2"/>
      <c r="I64" s="2"/>
      <c r="J64" s="2"/>
      <c r="K64" s="2"/>
      <c r="L64" s="2"/>
      <c r="M64" s="2"/>
      <c r="N64" s="2"/>
      <c r="O64" s="2"/>
      <c r="P64" s="2"/>
    </row>
    <row r="65" spans="1:16" ht="21" customHeight="1">
      <c r="A65" s="165">
        <v>46035</v>
      </c>
      <c r="B65" s="11">
        <v>14.84</v>
      </c>
      <c r="C65" t="s">
        <v>850</v>
      </c>
      <c r="D65" t="s">
        <v>248</v>
      </c>
      <c r="E65" s="2"/>
      <c r="F65" s="2">
        <f>IF(Data!$H$2,IF(ISNUMBER(B65),B65,NA()),NA())</f>
        <v>14.84</v>
      </c>
      <c r="G65" s="2"/>
      <c r="H65" s="2"/>
      <c r="I65" s="2"/>
      <c r="J65" s="2"/>
      <c r="K65" s="2"/>
      <c r="L65" s="2"/>
      <c r="M65" s="2"/>
      <c r="N65" s="2"/>
      <c r="O65" s="2"/>
      <c r="P65" s="2"/>
    </row>
    <row r="66" spans="1:16" ht="21" customHeight="1">
      <c r="A66" s="165">
        <v>46036</v>
      </c>
      <c r="B66" s="11">
        <v>14.77</v>
      </c>
      <c r="C66" t="s">
        <v>850</v>
      </c>
      <c r="D66" t="s">
        <v>248</v>
      </c>
      <c r="E66" s="2"/>
      <c r="F66" s="2">
        <f>IF(Data!$H$2,IF(ISNUMBER(B66),B66,NA()),NA())</f>
        <v>14.77</v>
      </c>
      <c r="G66" s="2"/>
      <c r="H66" s="2"/>
      <c r="I66" s="2"/>
      <c r="J66" s="2"/>
      <c r="K66" s="2"/>
      <c r="L66" s="2"/>
      <c r="M66" s="2"/>
      <c r="N66" s="2"/>
      <c r="O66" s="2"/>
      <c r="P66" s="2"/>
    </row>
    <row r="67" spans="1:16" ht="21" customHeight="1">
      <c r="A67" s="165">
        <v>46037</v>
      </c>
      <c r="B67" s="11">
        <v>14.81</v>
      </c>
      <c r="C67" t="s">
        <v>850</v>
      </c>
      <c r="D67" t="s">
        <v>248</v>
      </c>
      <c r="E67" s="2"/>
      <c r="F67" s="2">
        <f>IF(Data!$H$2,IF(ISNUMBER(B67),B67,NA()),NA())</f>
        <v>14.81</v>
      </c>
      <c r="G67" s="2"/>
      <c r="H67" s="2"/>
      <c r="I67" s="2"/>
      <c r="J67" s="2"/>
      <c r="K67" s="2"/>
      <c r="L67" s="2"/>
      <c r="M67" s="2"/>
      <c r="N67" s="2"/>
      <c r="O67" s="2"/>
      <c r="P67" s="2"/>
    </row>
    <row r="68" spans="1:16" ht="21" customHeight="1">
      <c r="A68" s="165">
        <v>46038</v>
      </c>
      <c r="B68" s="11">
        <v>14.81</v>
      </c>
      <c r="C68" t="s">
        <v>850</v>
      </c>
      <c r="D68" t="s">
        <v>248</v>
      </c>
      <c r="E68" s="2"/>
      <c r="F68" s="2">
        <f>IF(Data!$H$2,IF(ISNUMBER(B68),B68,NA()),NA())</f>
        <v>14.81</v>
      </c>
      <c r="G68" s="2"/>
      <c r="H68" s="2"/>
      <c r="I68" s="2"/>
      <c r="J68" s="2"/>
      <c r="K68" s="2"/>
      <c r="L68" s="2"/>
      <c r="M68" s="2"/>
      <c r="N68" s="2"/>
      <c r="O68" s="2"/>
      <c r="P68" s="2"/>
    </row>
    <row r="69" spans="1:16" ht="21" customHeight="1">
      <c r="A69" s="165">
        <v>46042</v>
      </c>
      <c r="B69" s="11">
        <v>14.51</v>
      </c>
      <c r="C69" t="s">
        <v>850</v>
      </c>
      <c r="D69" t="s">
        <v>248</v>
      </c>
      <c r="E69" s="2"/>
      <c r="F69" s="2">
        <f>IF(Data!$H$2,IF(ISNUMBER(B69),B69,NA()),NA())</f>
        <v>14.51</v>
      </c>
      <c r="G69" s="2"/>
      <c r="H69" s="2"/>
      <c r="I69" s="2"/>
      <c r="J69" s="2"/>
      <c r="K69" s="2"/>
      <c r="L69" s="2"/>
      <c r="M69" s="2"/>
      <c r="N69" s="2"/>
      <c r="O69" s="2"/>
      <c r="P69" s="2"/>
    </row>
    <row r="70" spans="1:16" ht="21" customHeight="1">
      <c r="A70" s="165">
        <v>46043</v>
      </c>
      <c r="B70" s="11">
        <v>14.68</v>
      </c>
      <c r="C70" t="s">
        <v>850</v>
      </c>
      <c r="D70" t="s">
        <v>248</v>
      </c>
      <c r="E70" s="2"/>
      <c r="F70" s="2">
        <f>IF(Data!$H$2,IF(ISNUMBER(B70),B70,NA()),NA())</f>
        <v>14.68</v>
      </c>
      <c r="G70" s="2"/>
      <c r="H70" s="2"/>
      <c r="I70" s="2"/>
      <c r="J70" s="2"/>
      <c r="K70" s="2"/>
      <c r="L70" s="2"/>
      <c r="M70" s="2"/>
      <c r="N70" s="2"/>
      <c r="O70" s="2"/>
      <c r="P70" s="2"/>
    </row>
    <row r="71" spans="1:16" ht="21" customHeight="1">
      <c r="A71" s="165">
        <v>46044</v>
      </c>
      <c r="B71" s="11">
        <v>14.76</v>
      </c>
      <c r="C71" t="s">
        <v>850</v>
      </c>
      <c r="D71" t="s">
        <v>248</v>
      </c>
      <c r="E71" s="2"/>
      <c r="F71" s="2">
        <f>IF(Data!$H$2,IF(ISNUMBER(B71),B71,NA()),NA())</f>
        <v>14.76</v>
      </c>
      <c r="G71" s="2"/>
      <c r="H71" s="2"/>
      <c r="I71" s="2"/>
      <c r="J71" s="2"/>
      <c r="K71" s="2"/>
      <c r="L71" s="2"/>
      <c r="M71" s="2"/>
      <c r="N71" s="2"/>
      <c r="O71" s="2"/>
      <c r="P71" s="2"/>
    </row>
    <row r="72" spans="1:16" ht="21" customHeight="1">
      <c r="A72" s="165">
        <v>46045</v>
      </c>
      <c r="B72" s="11">
        <v>14.75</v>
      </c>
      <c r="C72" t="s">
        <v>850</v>
      </c>
      <c r="D72" t="s">
        <v>248</v>
      </c>
      <c r="E72" s="2"/>
      <c r="F72" s="2">
        <f>IF(Data!$H$2,IF(ISNUMBER(B72),B72,NA()),NA())</f>
        <v>14.75</v>
      </c>
      <c r="G72" s="2"/>
      <c r="H72" s="2"/>
      <c r="I72" s="2"/>
      <c r="J72" s="2"/>
      <c r="K72" s="2"/>
      <c r="L72" s="2"/>
      <c r="M72" s="2"/>
      <c r="N72" s="2"/>
      <c r="O72" s="2"/>
      <c r="P72" s="2"/>
    </row>
    <row r="73" spans="1:16" ht="21" customHeight="1">
      <c r="A73" s="165">
        <v>46048</v>
      </c>
      <c r="B73" s="11">
        <v>14.82</v>
      </c>
      <c r="C73" t="s">
        <v>850</v>
      </c>
      <c r="D73" t="s">
        <v>248</v>
      </c>
      <c r="E73" s="2"/>
      <c r="F73" s="2">
        <f>IF(Data!$H$2,IF(ISNUMBER(B73),B73,NA()),NA())</f>
        <v>14.82</v>
      </c>
      <c r="G73" s="2"/>
      <c r="H73" s="2"/>
      <c r="I73" s="2"/>
      <c r="J73" s="2"/>
      <c r="K73" s="2"/>
      <c r="L73" s="2"/>
      <c r="M73" s="2"/>
      <c r="N73" s="2"/>
      <c r="O73" s="2"/>
      <c r="P73" s="2"/>
    </row>
    <row r="74" spans="1:16" ht="21" customHeight="1">
      <c r="A74" s="165">
        <v>46049</v>
      </c>
      <c r="B74" s="11">
        <v>14.87</v>
      </c>
      <c r="C74" t="s">
        <v>850</v>
      </c>
      <c r="D74" t="s">
        <v>248</v>
      </c>
      <c r="E74" s="2"/>
      <c r="F74" s="2">
        <f>IF(Data!$H$2,IF(ISNUMBER(B74),B74,NA()),NA())</f>
        <v>14.87</v>
      </c>
      <c r="G74" s="2"/>
      <c r="H74" s="2"/>
      <c r="I74" s="2"/>
      <c r="J74" s="2"/>
      <c r="K74" s="2"/>
      <c r="L74" s="2"/>
      <c r="M74" s="2"/>
      <c r="N74" s="2"/>
      <c r="O74" s="2"/>
      <c r="P74" s="2"/>
    </row>
    <row r="75" spans="1:16" ht="21" customHeight="1">
      <c r="A75" s="165">
        <v>46050</v>
      </c>
      <c r="B75" s="11">
        <v>14.87</v>
      </c>
      <c r="C75" t="s">
        <v>850</v>
      </c>
      <c r="D75" t="s">
        <v>248</v>
      </c>
      <c r="E75" s="2"/>
      <c r="F75" s="2">
        <f>IF(Data!$H$2,IF(ISNUMBER(B75),B75,NA()),NA())</f>
        <v>14.87</v>
      </c>
      <c r="G75" s="2"/>
      <c r="H75" s="2"/>
      <c r="I75" s="2"/>
      <c r="J75" s="2"/>
      <c r="K75" s="2"/>
      <c r="L75" s="2"/>
      <c r="M75" s="2"/>
      <c r="N75" s="2"/>
      <c r="O75" s="2"/>
      <c r="P75" s="2"/>
    </row>
    <row r="76" spans="1:16" ht="21" customHeight="1">
      <c r="A76" s="165">
        <v>46051</v>
      </c>
      <c r="B76" s="11">
        <v>14.84</v>
      </c>
      <c r="C76" t="s">
        <v>850</v>
      </c>
      <c r="D76" t="s">
        <v>248</v>
      </c>
      <c r="E76" s="2"/>
      <c r="F76" s="2">
        <f>IF(Data!$H$2,IF(ISNUMBER(B76),B76,NA()),NA())</f>
        <v>14.84</v>
      </c>
      <c r="G76" s="2"/>
      <c r="H76" s="2"/>
      <c r="I76" s="2"/>
      <c r="J76" s="2"/>
      <c r="K76" s="2"/>
      <c r="L76" s="2"/>
      <c r="M76" s="2"/>
      <c r="N76" s="2"/>
      <c r="O76" s="2"/>
      <c r="P76" s="2"/>
    </row>
    <row r="77" spans="1:16" ht="21" customHeight="1">
      <c r="A77" s="165">
        <v>46052</v>
      </c>
      <c r="B77" s="11">
        <v>14.76</v>
      </c>
      <c r="C77" t="s">
        <v>850</v>
      </c>
      <c r="D77" t="s">
        <v>248</v>
      </c>
      <c r="E77" s="2"/>
      <c r="F77" s="2">
        <f>IF(Data!$H$2,IF(ISNUMBER(B77),B77,NA()),NA())</f>
        <v>14.76</v>
      </c>
      <c r="G77" s="2"/>
      <c r="H77" s="2"/>
      <c r="I77" s="2"/>
      <c r="J77" s="2"/>
      <c r="K77" s="2"/>
      <c r="L77" s="2"/>
      <c r="M77" s="2"/>
      <c r="N77" s="2"/>
      <c r="O77" s="2"/>
      <c r="P77" s="2"/>
    </row>
    <row r="78" spans="1:16" ht="21" customHeight="1">
      <c r="A78" s="165">
        <v>46055</v>
      </c>
      <c r="B78" s="11">
        <v>14.84</v>
      </c>
      <c r="C78" t="s">
        <v>850</v>
      </c>
      <c r="D78" t="s">
        <v>248</v>
      </c>
      <c r="E78" s="2"/>
      <c r="F78" s="2">
        <f>IF(Data!$H$2,IF(ISNUMBER(B78),B78,NA()),NA())</f>
        <v>14.84</v>
      </c>
      <c r="G78" s="2"/>
      <c r="H78" s="2"/>
      <c r="I78" s="2"/>
      <c r="J78" s="2"/>
      <c r="K78" s="2"/>
      <c r="L78" s="2"/>
      <c r="M78" s="2"/>
      <c r="N78" s="2"/>
      <c r="O78" s="2"/>
      <c r="P78" s="2"/>
    </row>
    <row r="79" spans="1:16" ht="21" customHeight="1">
      <c r="A79" s="165">
        <v>46056</v>
      </c>
      <c r="B79" s="11">
        <v>14.72</v>
      </c>
      <c r="C79" t="s">
        <v>850</v>
      </c>
      <c r="D79" t="s">
        <v>248</v>
      </c>
      <c r="E79" s="2"/>
      <c r="F79" s="2">
        <f>IF(Data!$H$2,IF(ISNUMBER(B79),B79,NA()),NA())</f>
        <v>14.72</v>
      </c>
      <c r="G79" s="2"/>
      <c r="H79" s="2"/>
      <c r="I79" s="2"/>
      <c r="J79" s="2"/>
      <c r="K79" s="2"/>
      <c r="L79" s="2"/>
      <c r="M79" s="2"/>
      <c r="N79" s="2"/>
      <c r="O79" s="2"/>
      <c r="P79" s="2"/>
    </row>
    <row r="80" spans="1:16" ht="21" customHeight="1">
      <c r="A80" s="165">
        <v>46057</v>
      </c>
      <c r="B80" s="11">
        <v>14.65</v>
      </c>
      <c r="C80" t="s">
        <v>850</v>
      </c>
      <c r="D80" t="s">
        <v>248</v>
      </c>
      <c r="E80" s="2"/>
      <c r="F80" s="2">
        <f>IF(Data!$H$2,IF(ISNUMBER(B80),B80,NA()),NA())</f>
        <v>14.65</v>
      </c>
      <c r="G80" s="2"/>
      <c r="H80" s="2"/>
      <c r="I80" s="2"/>
      <c r="J80" s="2"/>
      <c r="K80" s="2"/>
      <c r="L80" s="2"/>
      <c r="M80" s="2"/>
      <c r="N80" s="2"/>
      <c r="O80" s="2"/>
      <c r="P80" s="2"/>
    </row>
    <row r="81" spans="1:16" ht="21" customHeight="1">
      <c r="A81" s="165">
        <v>46058</v>
      </c>
      <c r="B81" s="11">
        <v>14.47</v>
      </c>
      <c r="C81" t="s">
        <v>850</v>
      </c>
      <c r="D81" t="s">
        <v>248</v>
      </c>
      <c r="E81" s="2"/>
      <c r="F81" s="2">
        <f>IF(Data!$H$2,IF(ISNUMBER(B81),B81,NA()),NA())</f>
        <v>14.47</v>
      </c>
      <c r="G81" s="2"/>
      <c r="H81" s="2"/>
      <c r="I81" s="2"/>
      <c r="J81" s="2"/>
      <c r="K81" s="2"/>
      <c r="L81" s="2"/>
      <c r="M81" s="2"/>
      <c r="N81" s="2"/>
      <c r="O81" s="2"/>
      <c r="P81" s="2"/>
    </row>
    <row r="82" spans="1:16" ht="21" customHeight="1">
      <c r="A82" s="165">
        <v>46059</v>
      </c>
      <c r="B82" s="11">
        <v>14.77</v>
      </c>
      <c r="C82" t="s">
        <v>850</v>
      </c>
      <c r="D82" t="s">
        <v>248</v>
      </c>
      <c r="E82" s="2"/>
      <c r="F82" s="2">
        <f>IF(Data!$H$2,IF(ISNUMBER(B82),B82,NA()),NA())</f>
        <v>14.77</v>
      </c>
      <c r="G82" s="2"/>
      <c r="H82" s="2"/>
      <c r="I82" s="2"/>
      <c r="J82" s="2"/>
      <c r="K82" s="2"/>
      <c r="L82" s="2"/>
      <c r="M82" s="2"/>
      <c r="N82" s="2"/>
      <c r="O82" s="2"/>
      <c r="P82" s="2"/>
    </row>
    <row r="83" spans="1:16" ht="21" customHeight="1">
      <c r="A83" s="165">
        <v>46062</v>
      </c>
      <c r="B83" s="11">
        <v>14.85</v>
      </c>
      <c r="C83" t="s">
        <v>850</v>
      </c>
      <c r="D83" t="s">
        <v>248</v>
      </c>
      <c r="E83" s="2"/>
      <c r="F83" s="2">
        <f>IF(Data!$H$2,IF(ISNUMBER(B83),B83,NA()),NA())</f>
        <v>14.85</v>
      </c>
      <c r="G83" s="2"/>
      <c r="H83" s="2"/>
      <c r="I83" s="2"/>
      <c r="J83" s="2"/>
      <c r="K83" s="2"/>
      <c r="L83" s="2"/>
      <c r="M83" s="2"/>
      <c r="N83" s="2"/>
      <c r="O83" s="2"/>
      <c r="P83" s="2"/>
    </row>
    <row r="84" spans="1:16" ht="21" customHeight="1">
      <c r="A84" s="165">
        <v>46063</v>
      </c>
      <c r="B84" s="11">
        <v>14.8</v>
      </c>
      <c r="C84" t="s">
        <v>850</v>
      </c>
      <c r="D84" t="s">
        <v>248</v>
      </c>
      <c r="E84" s="2"/>
      <c r="F84" s="2">
        <f>IF(Data!$H$2,IF(ISNUMBER(B84),B84,NA()),NA())</f>
        <v>14.8</v>
      </c>
      <c r="G84" s="2"/>
      <c r="H84" s="2"/>
      <c r="I84" s="2"/>
      <c r="J84" s="2"/>
      <c r="K84" s="2"/>
      <c r="L84" s="2"/>
      <c r="M84" s="2"/>
      <c r="N84" s="2"/>
      <c r="O84" s="2"/>
      <c r="P84" s="2"/>
    </row>
    <row r="85" spans="1:16" ht="21" customHeight="1">
      <c r="A85" s="165">
        <v>46064</v>
      </c>
      <c r="B85" s="11">
        <v>14.8</v>
      </c>
      <c r="C85" t="s">
        <v>850</v>
      </c>
      <c r="D85" t="s">
        <v>248</v>
      </c>
      <c r="E85" s="2"/>
      <c r="F85" s="2">
        <f>IF(Data!$H$2,IF(ISNUMBER(B85),B85,NA()),NA())</f>
        <v>14.8</v>
      </c>
      <c r="G85" s="2"/>
      <c r="H85" s="2"/>
      <c r="I85" s="2"/>
      <c r="J85" s="2"/>
      <c r="K85" s="2"/>
      <c r="L85" s="2"/>
      <c r="M85" s="2"/>
      <c r="N85" s="2"/>
      <c r="O85" s="2"/>
      <c r="P85" s="2"/>
    </row>
    <row r="86" spans="1:16" ht="21" customHeight="1">
      <c r="A86" s="165">
        <v>46065</v>
      </c>
      <c r="B86" s="11">
        <v>14.56</v>
      </c>
      <c r="C86" t="s">
        <v>850</v>
      </c>
      <c r="D86" t="s">
        <v>248</v>
      </c>
      <c r="E86" s="2"/>
      <c r="F86" s="2">
        <f>IF(Data!$H$2,IF(ISNUMBER(B86),B86,NA()),NA())</f>
        <v>14.56</v>
      </c>
      <c r="G86" s="2"/>
      <c r="H86" s="2"/>
      <c r="I86" s="2"/>
      <c r="J86" s="2"/>
      <c r="K86" s="2"/>
      <c r="L86" s="2"/>
      <c r="M86" s="2"/>
      <c r="N86" s="2"/>
      <c r="O86" s="2"/>
      <c r="P86" s="2"/>
    </row>
    <row r="87" spans="1:16" ht="21" customHeight="1">
      <c r="A87" s="165">
        <v>46066</v>
      </c>
      <c r="B87" s="11">
        <v>14.58</v>
      </c>
      <c r="C87" t="s">
        <v>850</v>
      </c>
      <c r="D87" t="s">
        <v>248</v>
      </c>
      <c r="E87" s="2"/>
      <c r="F87" s="2">
        <f>IF(Data!$H$2,IF(ISNUMBER(B87),B87,NA()),NA())</f>
        <v>14.58</v>
      </c>
      <c r="G87" s="2"/>
      <c r="H87" s="2"/>
      <c r="I87" s="2"/>
      <c r="J87" s="2"/>
      <c r="K87" s="2"/>
      <c r="L87" s="2"/>
      <c r="M87" s="2"/>
      <c r="N87" s="2"/>
      <c r="O87" s="2"/>
      <c r="P87" s="2"/>
    </row>
    <row r="88" spans="1:16" ht="21" customHeight="1">
      <c r="A88" s="165">
        <v>46070</v>
      </c>
      <c r="B88" s="11">
        <v>14.6</v>
      </c>
      <c r="C88" t="s">
        <v>850</v>
      </c>
      <c r="D88" t="s">
        <v>248</v>
      </c>
      <c r="E88" s="2"/>
      <c r="F88" s="2">
        <f>IF(Data!$H$2,IF(ISNUMBER(B88),B88,NA()),NA())</f>
        <v>14.6</v>
      </c>
      <c r="G88" s="2"/>
      <c r="H88" s="2"/>
      <c r="I88" s="2"/>
      <c r="J88" s="2"/>
      <c r="K88" s="2"/>
      <c r="L88" s="2"/>
      <c r="M88" s="2"/>
      <c r="N88" s="2"/>
      <c r="O88" s="2"/>
      <c r="P88" s="2"/>
    </row>
    <row r="89" spans="1:16" ht="21" customHeight="1">
      <c r="A89" s="165">
        <v>46071</v>
      </c>
      <c r="B89" s="11">
        <v>14.68</v>
      </c>
      <c r="C89" t="s">
        <v>850</v>
      </c>
      <c r="D89" t="s">
        <v>248</v>
      </c>
      <c r="E89" s="2"/>
      <c r="F89" s="2">
        <f>IF(Data!$H$2,IF(ISNUMBER(B89),B89,NA()),NA())</f>
        <v>14.68</v>
      </c>
      <c r="G89" s="2"/>
      <c r="H89" s="2"/>
      <c r="I89" s="2"/>
      <c r="J89" s="2"/>
      <c r="K89" s="2"/>
      <c r="L89" s="2"/>
      <c r="M89" s="2"/>
      <c r="N89" s="2"/>
      <c r="O89" s="2"/>
      <c r="P89" s="2"/>
    </row>
    <row r="90" spans="1:16" ht="21" customHeight="1">
      <c r="A90" s="165">
        <v>46072</v>
      </c>
      <c r="B90" s="11">
        <v>14.65</v>
      </c>
      <c r="C90" t="s">
        <v>850</v>
      </c>
      <c r="D90" t="s">
        <v>248</v>
      </c>
      <c r="E90" s="2"/>
      <c r="F90" s="2">
        <f>IF(Data!$H$2,IF(ISNUMBER(B90),B90,NA()),NA())</f>
        <v>14.65</v>
      </c>
      <c r="G90" s="2"/>
      <c r="H90" s="2"/>
      <c r="I90" s="2"/>
      <c r="J90" s="2"/>
      <c r="K90" s="2"/>
      <c r="L90" s="2"/>
      <c r="M90" s="2"/>
      <c r="N90" s="2"/>
      <c r="O90" s="2"/>
      <c r="P90" s="2"/>
    </row>
    <row r="91" spans="1:16" ht="21" customHeight="1">
      <c r="A91" s="165">
        <v>46073</v>
      </c>
      <c r="B91" s="11">
        <v>14.74</v>
      </c>
      <c r="C91" t="s">
        <v>850</v>
      </c>
      <c r="D91" t="s">
        <v>248</v>
      </c>
      <c r="E91" s="2"/>
      <c r="F91" s="2">
        <f>IF(Data!$H$2,IF(ISNUMBER(B91),B91,NA()),NA())</f>
        <v>14.74</v>
      </c>
      <c r="G91" s="2"/>
      <c r="H91" s="2"/>
      <c r="I91" s="2"/>
      <c r="J91" s="2"/>
      <c r="K91" s="2"/>
      <c r="L91" s="2"/>
      <c r="M91" s="2"/>
      <c r="N91" s="2"/>
      <c r="O91" s="2"/>
      <c r="P91" s="2"/>
    </row>
    <row r="92" spans="1:16" ht="21" customHeight="1">
      <c r="A92" s="165">
        <v>46076</v>
      </c>
      <c r="B92" s="11">
        <v>14.57</v>
      </c>
      <c r="C92" t="s">
        <v>850</v>
      </c>
      <c r="D92" t="s">
        <v>248</v>
      </c>
      <c r="E92" s="2"/>
      <c r="F92" s="2">
        <f>IF(Data!$H$2,IF(ISNUMBER(B92),B92,NA()),NA())</f>
        <v>14.57</v>
      </c>
      <c r="G92" s="2"/>
      <c r="H92" s="2"/>
      <c r="I92" s="2"/>
      <c r="J92" s="2"/>
      <c r="K92" s="2"/>
      <c r="L92" s="2"/>
      <c r="M92" s="2"/>
      <c r="N92" s="2"/>
      <c r="O92" s="2"/>
      <c r="P92" s="2"/>
    </row>
    <row r="93" spans="1:16" ht="21" customHeight="1">
      <c r="A93" s="165">
        <v>46077</v>
      </c>
      <c r="B93" s="11">
        <v>14.69</v>
      </c>
      <c r="C93" t="s">
        <v>850</v>
      </c>
      <c r="D93" t="s">
        <v>248</v>
      </c>
      <c r="E93" s="2"/>
      <c r="F93" s="2">
        <f>IF(Data!$H$2,IF(ISNUMBER(B93),B93,NA()),NA())</f>
        <v>14.69</v>
      </c>
      <c r="G93" s="2"/>
      <c r="H93" s="2"/>
      <c r="I93" s="2"/>
      <c r="J93" s="2"/>
      <c r="K93" s="2"/>
      <c r="L93" s="2"/>
      <c r="M93" s="2"/>
      <c r="N93" s="2"/>
      <c r="O93" s="2"/>
      <c r="P93" s="2"/>
    </row>
    <row r="94" spans="1:16" ht="21" customHeight="1">
      <c r="A94" s="165">
        <v>46078</v>
      </c>
      <c r="B94" s="11">
        <v>14.81</v>
      </c>
      <c r="C94" t="s">
        <v>850</v>
      </c>
      <c r="D94" t="s">
        <v>248</v>
      </c>
      <c r="E94" s="2"/>
      <c r="F94" s="2">
        <f>IF(Data!$H$2,IF(ISNUMBER(B94),B94,NA()),NA())</f>
        <v>14.81</v>
      </c>
      <c r="G94" s="2"/>
      <c r="H94" s="2"/>
      <c r="I94" s="2"/>
      <c r="J94" s="2"/>
      <c r="K94" s="2"/>
      <c r="L94" s="2"/>
      <c r="M94" s="2"/>
      <c r="N94" s="2"/>
      <c r="O94" s="2"/>
      <c r="P94" s="2"/>
    </row>
    <row r="95" spans="1:16" ht="21" customHeight="1">
      <c r="A95" s="165">
        <v>46079</v>
      </c>
      <c r="B95" s="11">
        <v>14.75</v>
      </c>
      <c r="C95" t="s">
        <v>850</v>
      </c>
      <c r="D95" t="s">
        <v>248</v>
      </c>
      <c r="E95" s="2"/>
      <c r="F95" s="2">
        <f>IF(Data!$H$2,IF(ISNUMBER(B95),B95,NA()),NA())</f>
        <v>14.75</v>
      </c>
      <c r="G95" s="2"/>
      <c r="H95" s="2"/>
      <c r="I95" s="2"/>
      <c r="J95" s="2"/>
      <c r="K95" s="2"/>
      <c r="L95" s="2"/>
      <c r="M95" s="2"/>
      <c r="N95" s="2"/>
      <c r="O95" s="2"/>
      <c r="P95" s="2"/>
    </row>
    <row r="96" spans="1:16" ht="21" customHeight="1">
      <c r="A96" s="165">
        <v>46080</v>
      </c>
      <c r="B96" s="11">
        <v>14.68</v>
      </c>
      <c r="C96" t="s">
        <v>850</v>
      </c>
      <c r="D96" t="s">
        <v>248</v>
      </c>
      <c r="E96" s="2"/>
      <c r="F96" s="2">
        <f>IF(Data!$H$2,IF(ISNUMBER(B96),B96,NA()),NA())</f>
        <v>14.68</v>
      </c>
      <c r="G96" s="2"/>
      <c r="H96" s="2"/>
      <c r="I96" s="2"/>
      <c r="J96" s="2"/>
      <c r="K96" s="2"/>
      <c r="L96" s="2"/>
      <c r="M96" s="2"/>
      <c r="N96" s="2"/>
      <c r="O96" s="2"/>
      <c r="P96" s="2"/>
    </row>
    <row r="97" spans="1:16" ht="21" customHeight="1">
      <c r="A97" s="165">
        <v>46083</v>
      </c>
      <c r="B97" s="11">
        <v>14.69</v>
      </c>
      <c r="C97" t="s">
        <v>850</v>
      </c>
      <c r="D97" t="s">
        <v>248</v>
      </c>
      <c r="E97" s="2"/>
      <c r="F97" s="2">
        <f>IF(Data!$H$2,IF(ISNUMBER(B97),B97,NA()),NA())</f>
        <v>14.69</v>
      </c>
      <c r="G97" s="2"/>
      <c r="H97" s="2"/>
      <c r="I97" s="2"/>
      <c r="J97" s="2"/>
      <c r="K97" s="2"/>
      <c r="L97" s="2"/>
      <c r="M97" s="2"/>
      <c r="N97" s="2"/>
      <c r="O97" s="2"/>
      <c r="P97" s="2"/>
    </row>
    <row r="98" spans="1:16" ht="21" customHeight="1">
      <c r="A98" s="165">
        <v>46084</v>
      </c>
      <c r="B98" s="11">
        <v>14.54</v>
      </c>
      <c r="C98" t="s">
        <v>850</v>
      </c>
      <c r="D98" t="s">
        <v>248</v>
      </c>
      <c r="E98" s="2"/>
      <c r="F98" s="2">
        <f>IF(Data!$H$2,IF(ISNUMBER(B98),B98,NA()),NA())</f>
        <v>14.54</v>
      </c>
      <c r="G98" s="2"/>
      <c r="H98" s="2"/>
      <c r="I98" s="2"/>
      <c r="J98" s="2"/>
      <c r="K98" s="2"/>
      <c r="L98" s="2"/>
      <c r="M98" s="2"/>
      <c r="N98" s="2"/>
      <c r="O98" s="2"/>
      <c r="P98" s="2"/>
    </row>
    <row r="99" spans="1:16" ht="21" customHeight="1">
      <c r="A99" s="165">
        <v>46085</v>
      </c>
      <c r="B99" s="11">
        <v>14.65</v>
      </c>
      <c r="C99" t="s">
        <v>850</v>
      </c>
      <c r="D99" t="s">
        <v>248</v>
      </c>
      <c r="E99" s="2"/>
      <c r="F99" s="2">
        <f>IF(Data!$H$2,IF(ISNUMBER(B99),B99,NA()),NA())</f>
        <v>14.65</v>
      </c>
      <c r="G99" s="2"/>
      <c r="H99" s="2"/>
      <c r="I99" s="2"/>
      <c r="J99" s="2"/>
      <c r="K99" s="2"/>
      <c r="L99" s="2"/>
      <c r="M99" s="2"/>
      <c r="N99" s="2"/>
      <c r="O99" s="2"/>
      <c r="P99" s="2"/>
    </row>
    <row r="100" spans="1:16" ht="21" customHeight="1">
      <c r="A100" s="165">
        <v>46086</v>
      </c>
      <c r="B100" s="11">
        <v>14.56</v>
      </c>
      <c r="C100" t="s">
        <v>850</v>
      </c>
      <c r="D100" t="s">
        <v>248</v>
      </c>
      <c r="E100" s="2"/>
      <c r="F100" s="2">
        <f>IF(Data!$H$2,IF(ISNUMBER(B100),B100,NA()),NA())</f>
        <v>14.56</v>
      </c>
      <c r="G100" s="2"/>
      <c r="H100" s="2"/>
      <c r="I100" s="2"/>
      <c r="J100" s="2"/>
      <c r="K100" s="2"/>
      <c r="L100" s="2"/>
      <c r="M100" s="2"/>
      <c r="N100" s="2"/>
      <c r="O100" s="2"/>
      <c r="P100" s="2"/>
    </row>
    <row r="101" spans="1:16" ht="21" customHeight="1">
      <c r="A101" s="165">
        <v>46087</v>
      </c>
      <c r="B101" s="11">
        <v>14.36</v>
      </c>
      <c r="C101" t="s">
        <v>850</v>
      </c>
      <c r="D101" t="s">
        <v>248</v>
      </c>
      <c r="E101" s="2"/>
      <c r="F101" s="2">
        <f>IF(Data!$H$2,IF(ISNUMBER(B101),B101,NA()),NA())</f>
        <v>14.36</v>
      </c>
      <c r="G101" s="2"/>
      <c r="H101" s="2"/>
      <c r="I101" s="2"/>
      <c r="J101" s="2"/>
      <c r="K101" s="2"/>
      <c r="L101" s="2"/>
      <c r="M101" s="2"/>
      <c r="N101" s="2"/>
      <c r="O101" s="2"/>
      <c r="P101" s="2"/>
    </row>
    <row r="102" spans="1:16" ht="21" customHeight="1">
      <c r="A102" s="165">
        <v>46090</v>
      </c>
      <c r="B102" s="11">
        <v>14.49</v>
      </c>
      <c r="C102" t="s">
        <v>850</v>
      </c>
      <c r="D102" t="s">
        <v>248</v>
      </c>
      <c r="E102" s="2"/>
      <c r="F102" s="2">
        <f>IF(Data!$H$2,IF(ISNUMBER(B102),B102,NA()),NA())</f>
        <v>14.49</v>
      </c>
      <c r="G102" s="2"/>
      <c r="H102" s="2"/>
      <c r="I102" s="2"/>
      <c r="J102" s="2"/>
      <c r="K102" s="2"/>
      <c r="L102" s="2"/>
      <c r="M102" s="2"/>
      <c r="N102" s="2"/>
      <c r="O102" s="2"/>
      <c r="P102" s="2"/>
    </row>
    <row r="103" spans="1:16" ht="21" customHeight="1">
      <c r="A103" s="165">
        <v>46091</v>
      </c>
      <c r="B103" s="11">
        <v>14.46</v>
      </c>
      <c r="C103" t="s">
        <v>850</v>
      </c>
      <c r="D103" t="s">
        <v>248</v>
      </c>
      <c r="E103" s="2"/>
      <c r="F103" s="2">
        <f>IF(Data!$H$2,IF(ISNUMBER(B103),B103,NA()),NA())</f>
        <v>14.46</v>
      </c>
      <c r="G103" s="2"/>
      <c r="H103" s="2"/>
      <c r="I103" s="2"/>
      <c r="J103" s="2"/>
      <c r="K103" s="2"/>
      <c r="L103" s="2"/>
      <c r="M103" s="2"/>
      <c r="N103" s="2"/>
      <c r="O103" s="2"/>
      <c r="P103" s="2"/>
    </row>
    <row r="104" spans="1:16" ht="21" customHeight="1">
      <c r="A104" s="165">
        <v>46092</v>
      </c>
      <c r="B104" s="11">
        <v>14.44</v>
      </c>
      <c r="C104" t="s">
        <v>850</v>
      </c>
      <c r="D104" t="s">
        <v>248</v>
      </c>
      <c r="E104" s="2"/>
      <c r="F104" s="2">
        <f>IF(Data!$H$2,IF(ISNUMBER(B104),B104,NA()),NA())</f>
        <v>14.44</v>
      </c>
      <c r="G104" s="2"/>
      <c r="H104" s="2"/>
      <c r="I104" s="2"/>
      <c r="J104" s="2"/>
      <c r="K104" s="2"/>
      <c r="L104" s="2"/>
      <c r="M104" s="2"/>
      <c r="N104" s="2"/>
      <c r="O104" s="2"/>
      <c r="P104" s="2"/>
    </row>
    <row r="105" spans="1:16" ht="21" customHeight="1">
      <c r="A105" s="165">
        <v>46093</v>
      </c>
      <c r="B105" s="11">
        <v>14.22</v>
      </c>
      <c r="C105" t="s">
        <v>850</v>
      </c>
      <c r="D105" t="s">
        <v>248</v>
      </c>
      <c r="E105" s="2"/>
      <c r="F105" s="2">
        <f>IF(Data!$H$2,IF(ISNUMBER(B105),B105,NA()),NA())</f>
        <v>14.22</v>
      </c>
      <c r="G105" s="2"/>
      <c r="H105" s="2"/>
      <c r="I105" s="2"/>
      <c r="J105" s="2"/>
      <c r="K105" s="2"/>
      <c r="L105" s="2"/>
      <c r="M105" s="2"/>
      <c r="N105" s="2"/>
      <c r="O105" s="2"/>
      <c r="P105" s="2"/>
    </row>
    <row r="106" spans="1:16" ht="21" customHeight="1">
      <c r="A106" s="165">
        <v>46094</v>
      </c>
      <c r="B106" s="11">
        <v>14.13</v>
      </c>
      <c r="C106" t="s">
        <v>850</v>
      </c>
      <c r="D106" t="s">
        <v>248</v>
      </c>
      <c r="E106" s="2"/>
      <c r="F106" s="2">
        <f>IF(Data!$H$2,IF(ISNUMBER(B106),B106,NA()),NA())</f>
        <v>14.13</v>
      </c>
      <c r="G106" s="2"/>
      <c r="H106" s="2"/>
      <c r="I106" s="2"/>
      <c r="J106" s="2"/>
      <c r="K106" s="2"/>
      <c r="L106" s="2"/>
      <c r="M106" s="2"/>
      <c r="N106" s="2"/>
      <c r="O106" s="2"/>
      <c r="P106" s="2"/>
    </row>
    <row r="107" spans="1:16" ht="21" customHeight="1">
      <c r="A107" s="165">
        <v>46097</v>
      </c>
      <c r="B107" s="11">
        <v>14.28</v>
      </c>
      <c r="C107" t="s">
        <v>850</v>
      </c>
      <c r="D107" t="s">
        <v>248</v>
      </c>
      <c r="E107" s="2"/>
      <c r="F107" s="2">
        <f>IF(Data!$H$2,IF(ISNUMBER(B107),B107,NA()),NA())</f>
        <v>14.28</v>
      </c>
      <c r="G107" s="2"/>
      <c r="H107" s="2"/>
      <c r="I107" s="2"/>
      <c r="J107" s="2"/>
      <c r="K107" s="2"/>
      <c r="L107" s="2"/>
      <c r="M107" s="2"/>
      <c r="N107" s="2"/>
      <c r="O107" s="2"/>
      <c r="P107" s="2"/>
    </row>
    <row r="108" spans="1:16" ht="21" customHeight="1">
      <c r="A108" s="165">
        <v>46098</v>
      </c>
      <c r="B108" s="11">
        <v>14.32</v>
      </c>
      <c r="C108" t="s">
        <v>850</v>
      </c>
      <c r="D108" t="s">
        <v>248</v>
      </c>
      <c r="E108" s="2"/>
      <c r="F108" s="2">
        <f>IF(Data!$H$2,IF(ISNUMBER(B108),B108,NA()),NA())</f>
        <v>14.32</v>
      </c>
      <c r="G108" s="2"/>
      <c r="H108" s="2"/>
      <c r="I108" s="2"/>
      <c r="J108" s="2"/>
      <c r="K108" s="2"/>
      <c r="L108" s="2"/>
      <c r="M108" s="2"/>
      <c r="N108" s="2"/>
      <c r="O108" s="2"/>
      <c r="P108" s="2"/>
    </row>
    <row r="109" spans="1:16" ht="21" customHeight="1">
      <c r="A109" s="165">
        <v>46099</v>
      </c>
      <c r="B109" s="11">
        <v>14.13</v>
      </c>
      <c r="C109" t="s">
        <v>850</v>
      </c>
      <c r="D109" t="s">
        <v>248</v>
      </c>
      <c r="E109" s="2"/>
      <c r="F109" s="2">
        <f>IF(Data!$H$2,IF(ISNUMBER(B109),B109,NA()),NA())</f>
        <v>14.13</v>
      </c>
      <c r="G109" s="2"/>
      <c r="H109" s="2"/>
      <c r="I109" s="2"/>
      <c r="J109" s="2"/>
      <c r="K109" s="2"/>
      <c r="L109" s="2"/>
      <c r="M109" s="2"/>
      <c r="N109" s="2"/>
      <c r="O109" s="2"/>
      <c r="P109" s="2"/>
    </row>
    <row r="110" spans="1:16" ht="21" customHeight="1">
      <c r="A110" s="165">
        <v>46100</v>
      </c>
      <c r="B110" s="11">
        <v>14.1</v>
      </c>
      <c r="C110" t="s">
        <v>850</v>
      </c>
      <c r="D110" t="s">
        <v>248</v>
      </c>
      <c r="E110" s="2"/>
      <c r="F110" s="2">
        <f>IF(Data!$H$2,IF(ISNUMBER(B110),B110,NA()),NA())</f>
        <v>14.1</v>
      </c>
      <c r="G110" s="2"/>
      <c r="H110" s="2"/>
      <c r="I110" s="2"/>
      <c r="J110" s="2"/>
      <c r="K110" s="2"/>
      <c r="L110" s="2"/>
      <c r="M110" s="2"/>
      <c r="N110" s="2"/>
      <c r="O110" s="2"/>
      <c r="P110" s="2"/>
    </row>
    <row r="111" spans="1:16" ht="21" customHeight="1">
      <c r="A111" s="165">
        <v>46101</v>
      </c>
      <c r="B111" s="11">
        <v>13.88</v>
      </c>
      <c r="C111" t="s">
        <v>850</v>
      </c>
      <c r="D111" t="s">
        <v>248</v>
      </c>
      <c r="E111" s="2"/>
      <c r="F111" s="2">
        <f>IF(Data!$H$2,IF(ISNUMBER(B111),B111,NA()),NA())</f>
        <v>13.88</v>
      </c>
      <c r="G111" s="2"/>
      <c r="H111" s="2"/>
      <c r="I111" s="2"/>
      <c r="J111" s="2"/>
      <c r="K111" s="2"/>
      <c r="L111" s="2"/>
      <c r="M111" s="2"/>
      <c r="N111" s="2"/>
      <c r="O111" s="2"/>
      <c r="P111" s="2"/>
    </row>
    <row r="112" spans="1:16" ht="21" customHeight="1">
      <c r="A112" s="165">
        <v>46104</v>
      </c>
      <c r="B112" s="11">
        <v>14.04</v>
      </c>
      <c r="C112" t="s">
        <v>850</v>
      </c>
      <c r="D112" t="s">
        <v>248</v>
      </c>
      <c r="E112" s="2"/>
      <c r="F112" s="2">
        <f>IF(Data!$H$2,IF(ISNUMBER(B112),B112,NA()),NA())</f>
        <v>14.04</v>
      </c>
      <c r="G112" s="2"/>
      <c r="H112" s="2"/>
      <c r="I112" s="2"/>
      <c r="J112" s="2"/>
      <c r="K112" s="2"/>
      <c r="L112" s="2"/>
      <c r="M112" s="2"/>
      <c r="N112" s="2"/>
      <c r="O112" s="2"/>
      <c r="P112" s="2"/>
    </row>
    <row r="113" spans="1:16" ht="21" customHeight="1">
      <c r="A113" s="165">
        <v>46105</v>
      </c>
      <c r="B113" s="11">
        <v>13.99</v>
      </c>
      <c r="C113" t="s">
        <v>850</v>
      </c>
      <c r="D113" t="s">
        <v>248</v>
      </c>
      <c r="E113" s="2"/>
      <c r="F113" s="2">
        <f>IF(Data!$H$2,IF(ISNUMBER(B113),B113,NA()),NA())</f>
        <v>13.99</v>
      </c>
      <c r="G113" s="2"/>
      <c r="H113" s="2"/>
      <c r="I113" s="2"/>
      <c r="J113" s="2"/>
      <c r="K113" s="2"/>
      <c r="L113" s="2"/>
      <c r="M113" s="2"/>
      <c r="N113" s="2"/>
      <c r="O113" s="2"/>
      <c r="P113" s="2"/>
    </row>
    <row r="114" spans="1:16" ht="21" customHeight="1">
      <c r="A114" s="165">
        <v>46106</v>
      </c>
      <c r="B114" s="11">
        <v>14.08</v>
      </c>
      <c r="C114" t="s">
        <v>850</v>
      </c>
      <c r="D114" t="s">
        <v>248</v>
      </c>
      <c r="E114" s="2"/>
      <c r="F114" s="2">
        <f>IF(Data!$H$2,IF(ISNUMBER(B114),B114,NA()),NA())</f>
        <v>14.08</v>
      </c>
      <c r="G114" s="2"/>
      <c r="H114" s="2"/>
      <c r="I114" s="2"/>
      <c r="J114" s="2"/>
      <c r="K114" s="2"/>
      <c r="L114" s="2"/>
      <c r="M114" s="2"/>
      <c r="N114" s="2"/>
      <c r="O114" s="2"/>
      <c r="P114" s="2"/>
    </row>
    <row r="115" spans="1:16" ht="21" customHeight="1">
      <c r="A115" s="165">
        <v>46107</v>
      </c>
      <c r="B115" s="11">
        <v>13.83</v>
      </c>
      <c r="C115" t="s">
        <v>850</v>
      </c>
      <c r="D115" t="s">
        <v>248</v>
      </c>
      <c r="E115" s="2"/>
      <c r="F115" s="2">
        <f>IF(Data!$H$2,IF(ISNUMBER(B115),B115,NA()),NA())</f>
        <v>13.83</v>
      </c>
      <c r="G115" s="2"/>
      <c r="H115" s="2"/>
      <c r="I115" s="2"/>
      <c r="J115" s="2"/>
      <c r="K115" s="2"/>
      <c r="L115" s="2"/>
      <c r="M115" s="2"/>
      <c r="N115" s="2"/>
      <c r="O115" s="2"/>
      <c r="P115" s="2"/>
    </row>
    <row r="116" spans="1:16" ht="21" customHeight="1">
      <c r="A116" s="165">
        <v>46108</v>
      </c>
      <c r="B116" s="11">
        <v>13.6</v>
      </c>
      <c r="C116" t="s">
        <v>850</v>
      </c>
      <c r="D116" t="s">
        <v>248</v>
      </c>
      <c r="E116" s="2"/>
      <c r="F116" s="2">
        <f>IF(Data!$H$2,IF(ISNUMBER(B116),B116,NA()),NA())</f>
        <v>13.6</v>
      </c>
      <c r="G116" s="2"/>
      <c r="H116" s="2"/>
      <c r="I116" s="2"/>
      <c r="J116" s="2"/>
      <c r="K116" s="2"/>
      <c r="L116" s="2"/>
      <c r="M116" s="2"/>
      <c r="N116" s="2"/>
      <c r="O116" s="2"/>
      <c r="P116" s="2"/>
    </row>
    <row r="117" spans="1:16" ht="21" customHeight="1">
      <c r="A117" s="165">
        <v>46111</v>
      </c>
      <c r="B117" s="11">
        <v>13.54</v>
      </c>
      <c r="C117" t="s">
        <v>850</v>
      </c>
      <c r="D117" t="s">
        <v>248</v>
      </c>
      <c r="E117" s="2"/>
      <c r="F117" s="2">
        <f>IF(Data!$H$2,IF(ISNUMBER(B117),B117,NA()),NA())</f>
        <v>13.54</v>
      </c>
      <c r="G117" s="2"/>
      <c r="H117" s="2"/>
      <c r="I117" s="2"/>
      <c r="J117" s="2"/>
      <c r="K117" s="2"/>
      <c r="L117" s="2"/>
      <c r="M117" s="2"/>
      <c r="N117" s="2"/>
      <c r="O117" s="2"/>
      <c r="P117" s="2"/>
    </row>
    <row r="118" spans="1:16" ht="21" customHeight="1">
      <c r="A118" s="165">
        <v>46112</v>
      </c>
      <c r="B118" s="11">
        <v>13.94</v>
      </c>
      <c r="C118" t="s">
        <v>850</v>
      </c>
      <c r="D118" t="s">
        <v>248</v>
      </c>
      <c r="E118" s="2"/>
      <c r="F118" s="2">
        <f>IF(Data!$H$2,IF(ISNUMBER(B118),B118,NA()),NA())</f>
        <v>13.94</v>
      </c>
      <c r="G118" s="2"/>
      <c r="H118" s="2"/>
      <c r="I118" s="2"/>
      <c r="J118" s="2"/>
      <c r="K118" s="2"/>
      <c r="L118" s="2"/>
      <c r="M118" s="2"/>
      <c r="N118" s="2"/>
      <c r="O118" s="2"/>
      <c r="P118" s="2"/>
    </row>
    <row r="119" spans="1:16" ht="21" customHeight="1">
      <c r="A119" s="165">
        <v>46113</v>
      </c>
      <c r="B119" s="11">
        <v>14.04</v>
      </c>
      <c r="C119" t="s">
        <v>850</v>
      </c>
      <c r="D119" t="s">
        <v>248</v>
      </c>
      <c r="E119" s="2"/>
      <c r="F119" s="2">
        <f>IF(Data!$H$2,IF(ISNUMBER(B119),B119,NA()),NA())</f>
        <v>14.04</v>
      </c>
      <c r="G119" s="2"/>
      <c r="H119" s="2"/>
      <c r="I119" s="2"/>
      <c r="J119" s="2"/>
      <c r="K119" s="2"/>
      <c r="L119" s="2"/>
      <c r="M119" s="2"/>
      <c r="N119" s="2"/>
      <c r="O119" s="2"/>
      <c r="P119" s="2"/>
    </row>
    <row r="120" spans="1:16" ht="21" customHeight="1">
      <c r="A120" s="165">
        <v>46114</v>
      </c>
      <c r="B120" s="11">
        <v>14.06</v>
      </c>
      <c r="C120" t="s">
        <v>850</v>
      </c>
      <c r="D120" t="s">
        <v>248</v>
      </c>
      <c r="E120" s="2"/>
      <c r="F120" s="2">
        <f>IF(Data!$H$2,IF(ISNUMBER(B120),B120,NA()),NA())</f>
        <v>14.06</v>
      </c>
      <c r="G120" s="2"/>
      <c r="H120" s="2"/>
      <c r="I120" s="2"/>
      <c r="J120" s="2"/>
      <c r="K120" s="2"/>
      <c r="L120" s="2"/>
      <c r="M120" s="2"/>
      <c r="N120" s="2"/>
      <c r="O120" s="2"/>
      <c r="P120" s="2"/>
    </row>
    <row r="121" spans="1:16" ht="21" customHeight="1">
      <c r="A121" s="165">
        <v>46118</v>
      </c>
      <c r="B121" s="11">
        <v>14.13</v>
      </c>
      <c r="C121" t="s">
        <v>850</v>
      </c>
      <c r="D121" t="s">
        <v>248</v>
      </c>
      <c r="F121" s="2">
        <f>IF(Data!$H$2,IF(ISNUMBER(B121),B121,NA()),NA())</f>
        <v>14.13</v>
      </c>
    </row>
    <row r="122" spans="1:16" ht="21" customHeight="1">
      <c r="A122" s="165">
        <v>46119</v>
      </c>
      <c r="B122" s="11">
        <v>14.13</v>
      </c>
      <c r="C122" t="s">
        <v>850</v>
      </c>
      <c r="D122" t="s">
        <v>248</v>
      </c>
      <c r="F122" s="2">
        <f>IF(Data!$H$2,IF(ISNUMBER(B122),B122,NA()),NA())</f>
        <v>14.13</v>
      </c>
    </row>
    <row r="123" spans="1:16" ht="21" customHeight="1">
      <c r="A123" s="165">
        <v>46120</v>
      </c>
      <c r="B123" s="11">
        <v>14.49</v>
      </c>
      <c r="C123" t="s">
        <v>850</v>
      </c>
      <c r="D123" t="s">
        <v>248</v>
      </c>
      <c r="F123" s="2">
        <f>IF(Data!$H$2,IF(ISNUMBER(B123),B123,NA()),NA())</f>
        <v>14.49</v>
      </c>
    </row>
    <row r="124" spans="1:16" ht="21" customHeight="1">
      <c r="A124" s="165">
        <v>46121</v>
      </c>
      <c r="B124" s="11">
        <v>14.57</v>
      </c>
      <c r="C124" t="s">
        <v>850</v>
      </c>
      <c r="D124" t="s">
        <v>248</v>
      </c>
      <c r="F124" s="2">
        <f>IF(Data!$H$2,IF(ISNUMBER(B124),B124,NA()),NA())</f>
        <v>14.57</v>
      </c>
    </row>
    <row r="125" spans="1:16" ht="21" customHeight="1">
      <c r="A125" s="165">
        <v>46122</v>
      </c>
      <c r="B125" s="11">
        <v>14.55</v>
      </c>
      <c r="C125" t="s">
        <v>850</v>
      </c>
      <c r="D125" t="s">
        <v>248</v>
      </c>
      <c r="F125" s="2">
        <f>IF(Data!$H$2,IF(ISNUMBER(B125),B125,NA()),NA())</f>
        <v>14.55</v>
      </c>
    </row>
    <row r="126" spans="1:16" ht="21" customHeight="1">
      <c r="A126" s="165">
        <v>46125</v>
      </c>
      <c r="B126" s="11">
        <v>14.71</v>
      </c>
      <c r="C126" t="s">
        <v>850</v>
      </c>
      <c r="D126" t="s">
        <v>248</v>
      </c>
      <c r="F126" s="2">
        <f>IF(Data!$H$2,IF(ISNUMBER(B126),B126,NA()),NA())</f>
        <v>14.71</v>
      </c>
    </row>
    <row r="127" spans="1:16" ht="21" customHeight="1">
      <c r="A127" s="165">
        <v>46126</v>
      </c>
      <c r="B127" s="11">
        <v>14.89</v>
      </c>
      <c r="C127" t="s">
        <v>850</v>
      </c>
      <c r="D127" t="s">
        <v>248</v>
      </c>
      <c r="F127" s="2">
        <f>IF(Data!$H$2,IF(ISNUMBER(B127),B127,NA()),NA())</f>
        <v>14.89</v>
      </c>
    </row>
    <row r="128" spans="1:16" ht="21" customHeight="1">
      <c r="A128" s="165">
        <v>46127</v>
      </c>
      <c r="B128" s="11">
        <v>15</v>
      </c>
      <c r="C128" t="s">
        <v>850</v>
      </c>
      <c r="D128" t="s">
        <v>248</v>
      </c>
      <c r="F128" s="2">
        <f>IF(Data!$H$2,IF(ISNUMBER(B128),B128,NA()),NA())</f>
        <v>15</v>
      </c>
    </row>
    <row r="129" spans="1:6" ht="21" customHeight="1">
      <c r="A129" s="165">
        <v>46128</v>
      </c>
      <c r="B129" s="11">
        <v>15.04</v>
      </c>
      <c r="C129" t="s">
        <v>850</v>
      </c>
      <c r="D129" t="s">
        <v>248</v>
      </c>
      <c r="F129" s="2">
        <f>IF(Data!$H$2,IF(ISNUMBER(B129),B129,NA()),NA())</f>
        <v>15.04</v>
      </c>
    </row>
    <row r="130" spans="1:6" ht="21" customHeight="1">
      <c r="A130" s="165">
        <v>46129</v>
      </c>
      <c r="B130" s="11">
        <v>15.23</v>
      </c>
      <c r="C130" t="s">
        <v>850</v>
      </c>
      <c r="D130" t="s">
        <v>248</v>
      </c>
      <c r="F130" s="2">
        <f>IF(Data!$H$2,IF(ISNUMBER(B130),B130,NA()),NA())</f>
        <v>15.23</v>
      </c>
    </row>
    <row r="131" spans="1:6" ht="21" customHeight="1">
      <c r="A131" s="165">
        <v>46132</v>
      </c>
      <c r="B131" s="11">
        <v>15.21</v>
      </c>
      <c r="C131" t="s">
        <v>850</v>
      </c>
      <c r="D131" t="s">
        <v>248</v>
      </c>
      <c r="F131" s="2">
        <f>IF(Data!$H$2,IF(ISNUMBER(B131),B131,NA()),NA())</f>
        <v>15.21</v>
      </c>
    </row>
    <row r="132" spans="1:6" ht="21" customHeight="1">
      <c r="A132" s="165">
        <v>46133</v>
      </c>
      <c r="B132" s="11">
        <v>15.11</v>
      </c>
      <c r="C132" t="s">
        <v>850</v>
      </c>
      <c r="D132" t="s">
        <v>248</v>
      </c>
      <c r="F132" s="2">
        <f>IF(Data!$H$2,IF(ISNUMBER(B132),B132,NA()),NA())</f>
        <v>15.11</v>
      </c>
    </row>
    <row r="133" spans="1:6" ht="21" customHeight="1">
      <c r="A133" s="164">
        <v>46134</v>
      </c>
      <c r="B133" s="10">
        <v>15.26</v>
      </c>
      <c r="C133" s="2" t="s">
        <v>850</v>
      </c>
      <c r="D133" s="2" t="s">
        <v>248</v>
      </c>
      <c r="F133" s="2">
        <f>IF(Data!$H$2,IF(ISNUMBER(B133),B133,NA()),NA())</f>
        <v>15.26</v>
      </c>
    </row>
    <row r="134" spans="1:6" ht="21" customHeight="1">
      <c r="A134" s="164">
        <v>46135</v>
      </c>
      <c r="B134" s="10">
        <v>15.19</v>
      </c>
      <c r="C134" s="2" t="s">
        <v>850</v>
      </c>
      <c r="D134" s="2" t="s">
        <v>248</v>
      </c>
      <c r="F134" s="2">
        <f>IF(Data!$H$2,IF(ISNUMBER(B134),B134,NA()),NA())</f>
        <v>15.19</v>
      </c>
    </row>
    <row r="135" spans="1:6" ht="21" customHeight="1">
      <c r="A135" s="164">
        <v>46136</v>
      </c>
      <c r="B135" s="10">
        <v>15.3</v>
      </c>
      <c r="C135" s="2" t="s">
        <v>850</v>
      </c>
      <c r="D135" s="2" t="s">
        <v>248</v>
      </c>
      <c r="F135" s="2">
        <f>IF(Data!$H$2,IF(ISNUMBER(B135),B135,NA()),NA())</f>
        <v>15.3</v>
      </c>
    </row>
    <row r="136" spans="1:6" ht="21" customHeight="1">
      <c r="A136" s="164">
        <v>46139</v>
      </c>
      <c r="B136" s="10">
        <v>15.32</v>
      </c>
      <c r="C136" s="2" t="s">
        <v>850</v>
      </c>
      <c r="D136" s="2" t="s">
        <v>248</v>
      </c>
      <c r="F136" s="2">
        <f>IF(Data!$H$2,IF(ISNUMBER(B136),B136,NA()),NA())</f>
        <v>15.32</v>
      </c>
    </row>
    <row r="137" spans="1:6" ht="21" customHeight="1">
      <c r="A137" s="164">
        <v>46140</v>
      </c>
      <c r="B137" s="10">
        <v>15.24</v>
      </c>
      <c r="C137" s="2" t="s">
        <v>850</v>
      </c>
      <c r="D137" s="2" t="s">
        <v>248</v>
      </c>
      <c r="F137" s="2">
        <f>IF(Data!$H$2,IF(ISNUMBER(B137),B137,NA()),NA())</f>
        <v>15.24</v>
      </c>
    </row>
    <row r="138" spans="1:6" ht="21" customHeight="1">
      <c r="A138" s="164">
        <v>46141</v>
      </c>
      <c r="B138" s="10">
        <v>15.23</v>
      </c>
      <c r="C138" s="2" t="s">
        <v>850</v>
      </c>
      <c r="D138" s="2" t="s">
        <v>248</v>
      </c>
      <c r="F138" s="2">
        <f>IF(Data!$H$2,IF(ISNUMBER(B138),B138,NA()),NA())</f>
        <v>15.23</v>
      </c>
    </row>
    <row r="139" spans="1:6" ht="21" customHeight="1">
      <c r="A139" s="164">
        <v>46142</v>
      </c>
      <c r="B139" s="10">
        <v>15.39</v>
      </c>
      <c r="C139" s="2" t="s">
        <v>850</v>
      </c>
      <c r="D139" s="2" t="s">
        <v>248</v>
      </c>
      <c r="F139" s="2">
        <f>IF(Data!$H$2,IF(ISNUMBER(B139),B139,NA()),NA())</f>
        <v>15.39</v>
      </c>
    </row>
    <row r="140" spans="1:6" ht="21" customHeight="1">
      <c r="A140" s="164">
        <v>46143</v>
      </c>
      <c r="B140" s="10">
        <v>15.44</v>
      </c>
      <c r="C140" s="2" t="s">
        <v>850</v>
      </c>
      <c r="D140" s="2" t="s">
        <v>248</v>
      </c>
      <c r="F140" s="2">
        <f>IF(Data!$H$2,IF(ISNUMBER(B140),B140,NA()),NA())</f>
        <v>15.44</v>
      </c>
    </row>
    <row r="141" spans="1:6" ht="21" customHeight="1">
      <c r="A141" s="164">
        <v>46146</v>
      </c>
      <c r="B141" s="10">
        <v>15.38</v>
      </c>
      <c r="C141" s="2" t="s">
        <v>850</v>
      </c>
      <c r="D141" s="2" t="s">
        <v>248</v>
      </c>
      <c r="F141" s="2">
        <f>IF(Data!$H$2,IF(ISNUMBER(B141),B141,NA()),NA())</f>
        <v>15.38</v>
      </c>
    </row>
    <row r="142" spans="1:6" ht="21" customHeight="1">
      <c r="A142" s="164">
        <v>46147</v>
      </c>
      <c r="B142" s="10">
        <v>15.51</v>
      </c>
      <c r="C142" s="2" t="s">
        <v>850</v>
      </c>
      <c r="D142" s="2" t="s">
        <v>248</v>
      </c>
      <c r="F142" s="2">
        <f>IF(Data!$H$2,IF(ISNUMBER(B142),B142,NA()),NA())</f>
        <v>15.51</v>
      </c>
    </row>
    <row r="143" spans="1:6" ht="21" customHeight="1">
      <c r="A143" s="164">
        <v>46148</v>
      </c>
      <c r="B143" s="10">
        <v>15.73</v>
      </c>
      <c r="C143" s="2" t="s">
        <v>850</v>
      </c>
      <c r="D143" s="2" t="s">
        <v>248</v>
      </c>
      <c r="F143" s="2">
        <f>IF(Data!$H$2,IF(ISNUMBER(B143),B143,NA()),NA())</f>
        <v>15.73</v>
      </c>
    </row>
    <row r="144" spans="1:6" ht="21" customHeight="1">
      <c r="A144" s="164">
        <v>46149</v>
      </c>
      <c r="B144" s="10">
        <v>15.66</v>
      </c>
      <c r="C144" s="2" t="s">
        <v>850</v>
      </c>
      <c r="D144" s="2" t="s">
        <v>248</v>
      </c>
      <c r="F144" s="2">
        <f>IF(Data!$H$2,IF(ISNUMBER(B144),B144,NA()),NA())</f>
        <v>15.66</v>
      </c>
    </row>
    <row r="145" spans="1:6" ht="21" customHeight="1">
      <c r="A145" s="164">
        <v>46150</v>
      </c>
      <c r="B145" s="10">
        <v>15.78</v>
      </c>
      <c r="C145" s="2" t="s">
        <v>850</v>
      </c>
      <c r="D145" s="2" t="s">
        <v>248</v>
      </c>
      <c r="F145" s="2">
        <f>IF(Data!$H$2,IF(ISNUMBER(B145),B145,NA()),NA())</f>
        <v>15.78</v>
      </c>
    </row>
    <row r="146" spans="1:6" ht="21" customHeight="1">
      <c r="A146" s="164">
        <v>46153</v>
      </c>
      <c r="B146" s="10">
        <v>15.81</v>
      </c>
      <c r="C146" s="2" t="s">
        <v>850</v>
      </c>
      <c r="D146" s="2" t="s">
        <v>248</v>
      </c>
      <c r="F146" s="2">
        <f>IF(Data!$H$2,IF(ISNUMBER(B146),B146,NA()),NA())</f>
        <v>15.81</v>
      </c>
    </row>
    <row r="147" spans="1:6" ht="21" customHeight="1">
      <c r="A147" s="164">
        <v>46154</v>
      </c>
      <c r="B147" s="10">
        <v>15.78</v>
      </c>
      <c r="C147" s="2" t="s">
        <v>850</v>
      </c>
      <c r="D147" s="2" t="s">
        <v>248</v>
      </c>
      <c r="F147" s="2">
        <f>IF(Data!$H$2,IF(ISNUMBER(B147),B147,NA()),NA())</f>
        <v>15.78</v>
      </c>
    </row>
    <row r="148" spans="1:6" ht="21" customHeight="1">
      <c r="A148" s="164">
        <v>46155</v>
      </c>
      <c r="B148" s="10">
        <v>15.87</v>
      </c>
      <c r="C148" s="2" t="s">
        <v>850</v>
      </c>
      <c r="D148" s="2" t="s">
        <v>248</v>
      </c>
      <c r="F148" s="2">
        <f>IF(Data!$H$2,IF(ISNUMBER(B148),B148,NA()),NA())</f>
        <v>15.87</v>
      </c>
    </row>
    <row r="149" spans="1:6" ht="21" customHeight="1">
      <c r="A149" s="164">
        <v>46156</v>
      </c>
      <c r="B149" s="10">
        <v>15.99</v>
      </c>
      <c r="C149" s="2" t="s">
        <v>850</v>
      </c>
      <c r="D149" s="2" t="s">
        <v>248</v>
      </c>
      <c r="F149" s="2">
        <f>IF(Data!$H$2,IF(ISNUMBER(B149),B149,NA()),NA())</f>
        <v>15.99</v>
      </c>
    </row>
    <row r="150" spans="1:6" ht="21" customHeight="1">
      <c r="A150" s="164">
        <v>46157</v>
      </c>
      <c r="B150" s="10">
        <v>15.79</v>
      </c>
      <c r="C150" s="2" t="s">
        <v>850</v>
      </c>
      <c r="D150" s="2" t="s">
        <v>248</v>
      </c>
      <c r="F150" s="2">
        <f>IF(Data!$H$2,IF(ISNUMBER(B150),B150,NA()),NA())</f>
        <v>15.79</v>
      </c>
    </row>
    <row r="151" spans="1:6" ht="21" customHeight="1">
      <c r="A151" s="164">
        <v>46160</v>
      </c>
      <c r="B151" s="10">
        <v>15.77</v>
      </c>
      <c r="C151" s="2" t="s">
        <v>850</v>
      </c>
      <c r="D151" s="2" t="s">
        <v>248</v>
      </c>
      <c r="F151" s="2">
        <f>IF(Data!$H$2,IF(ISNUMBER(B151),B151,NA()),NA())</f>
        <v>15.77</v>
      </c>
    </row>
    <row r="152" spans="1:6" ht="21" customHeight="1">
      <c r="A152" s="164">
        <v>46161</v>
      </c>
      <c r="B152" s="10">
        <v>15.67</v>
      </c>
      <c r="C152" s="2" t="s">
        <v>850</v>
      </c>
      <c r="D152" s="2" t="s">
        <v>248</v>
      </c>
      <c r="F152" s="2">
        <f>IF(Data!$H$2,IF(ISNUMBER(B152),B152,NA()),NA())</f>
        <v>15.67</v>
      </c>
    </row>
    <row r="153" spans="1:6" ht="21" customHeight="1">
      <c r="A153" s="164">
        <v>46162</v>
      </c>
      <c r="B153" s="10">
        <v>15.85</v>
      </c>
      <c r="C153" s="2" t="s">
        <v>850</v>
      </c>
      <c r="D153" s="2" t="s">
        <v>248</v>
      </c>
      <c r="F153" s="2">
        <f>IF(Data!$H$2,IF(ISNUMBER(B153),B153,NA()),NA())</f>
        <v>15.85</v>
      </c>
    </row>
    <row r="154" spans="1:6" ht="21" customHeight="1">
      <c r="A154" s="164">
        <v>46163</v>
      </c>
      <c r="B154" s="10">
        <v>15.88</v>
      </c>
      <c r="C154" s="2" t="s">
        <v>850</v>
      </c>
      <c r="D154" s="2" t="s">
        <v>248</v>
      </c>
      <c r="F154" s="2">
        <f>IF(Data!$H$2,IF(ISNUMBER(B154),B154,NA()),NA())</f>
        <v>15.88</v>
      </c>
    </row>
    <row r="155" spans="1:6" ht="21" customHeight="1">
      <c r="A155" s="164">
        <v>46164</v>
      </c>
      <c r="B155" s="10">
        <v>15.95</v>
      </c>
      <c r="C155" s="2" t="s">
        <v>850</v>
      </c>
      <c r="D155" s="2" t="s">
        <v>248</v>
      </c>
      <c r="F155" s="2">
        <f>IF(Data!$H$2,IF(ISNUMBER(B155),B155,NA()),NA())</f>
        <v>15.95</v>
      </c>
    </row>
    <row r="156" spans="1:6" ht="21" customHeight="1">
      <c r="A156" s="164">
        <v>46168</v>
      </c>
      <c r="B156" s="10">
        <v>16.059999999999999</v>
      </c>
      <c r="C156" s="2" t="s">
        <v>850</v>
      </c>
      <c r="D156" s="2" t="s">
        <v>248</v>
      </c>
      <c r="F156" s="2">
        <f>IF(Data!$H$2,IF(ISNUMBER(B156),B156,NA()),NA())</f>
        <v>16.059999999999999</v>
      </c>
    </row>
    <row r="157" spans="1:6" ht="21" customHeight="1">
      <c r="A157" s="164">
        <v>46169</v>
      </c>
      <c r="B157" s="10">
        <v>16.059999999999999</v>
      </c>
      <c r="C157" s="2" t="s">
        <v>850</v>
      </c>
      <c r="D157" s="2" t="s">
        <v>248</v>
      </c>
      <c r="F157" s="2">
        <f>IF(Data!$H$2,IF(ISNUMBER(B157),B157,NA()),NA())</f>
        <v>16.059999999999999</v>
      </c>
    </row>
    <row r="158" spans="1:6" ht="21" customHeight="1">
      <c r="A158" s="164">
        <v>46170</v>
      </c>
      <c r="B158" s="10">
        <v>16.16</v>
      </c>
      <c r="C158" s="2" t="s">
        <v>850</v>
      </c>
      <c r="D158" s="2" t="s">
        <v>248</v>
      </c>
      <c r="F158" s="2">
        <f>IF(Data!$H$2,IF(ISNUMBER(B158),B158,NA()),NA())</f>
        <v>16.16</v>
      </c>
    </row>
    <row r="159" spans="1:6" ht="21" customHeight="1">
      <c r="A159" s="164">
        <v>46171</v>
      </c>
      <c r="B159" s="10">
        <v>16.2</v>
      </c>
      <c r="C159" s="2" t="s">
        <v>850</v>
      </c>
      <c r="D159" s="2" t="s">
        <v>248</v>
      </c>
      <c r="F159" s="2">
        <f>IF(Data!$H$2,IF(ISNUMBER(B159),B159,NA()),NA())</f>
        <v>16.2</v>
      </c>
    </row>
    <row r="160" spans="1:6" ht="21" customHeight="1">
      <c r="A160" s="164">
        <v>46174</v>
      </c>
      <c r="B160" s="10">
        <v>16.239999999999998</v>
      </c>
      <c r="C160" s="2" t="s">
        <v>850</v>
      </c>
      <c r="D160" s="2" t="s">
        <v>248</v>
      </c>
      <c r="F160" s="2">
        <f>IF(Data!$H$2,IF(ISNUMBER(B160),B160,NA()),NA())</f>
        <v>16.239999999999998</v>
      </c>
    </row>
    <row r="161" spans="1:6" ht="21" customHeight="1">
      <c r="A161" s="164">
        <v>46175</v>
      </c>
      <c r="B161" s="10">
        <v>16.28</v>
      </c>
      <c r="C161" s="2" t="s">
        <v>850</v>
      </c>
      <c r="D161" s="2" t="s">
        <v>248</v>
      </c>
      <c r="F161" s="2">
        <f>IF(Data!$H$2,IF(ISNUMBER(B161),B161,NA()),NA())</f>
        <v>16.28</v>
      </c>
    </row>
    <row r="162" spans="1:6" ht="21" customHeight="1">
      <c r="A162" s="164">
        <v>46176</v>
      </c>
      <c r="B162" s="10">
        <v>16.16</v>
      </c>
      <c r="C162" s="2" t="s">
        <v>850</v>
      </c>
      <c r="D162" s="2" t="s">
        <v>248</v>
      </c>
      <c r="F162" s="2">
        <f>IF(Data!$H$2,IF(ISNUMBER(B162),B162,NA()),NA())</f>
        <v>16.16</v>
      </c>
    </row>
    <row r="163" spans="1:6" ht="21" customHeight="1">
      <c r="A163" s="164">
        <v>46177</v>
      </c>
      <c r="B163" s="10">
        <v>16.239999999999998</v>
      </c>
      <c r="C163" s="2" t="s">
        <v>850</v>
      </c>
      <c r="D163" s="2" t="s">
        <v>248</v>
      </c>
      <c r="F163" s="2">
        <f>IF(Data!$H$2,IF(ISNUMBER(B163),B163,NA()),NA())</f>
        <v>16.239999999999998</v>
      </c>
    </row>
    <row r="164" spans="1:6" ht="21" customHeight="1">
      <c r="A164" s="164">
        <v>46178</v>
      </c>
      <c r="B164" s="10">
        <v>15.8</v>
      </c>
      <c r="C164" s="2" t="s">
        <v>850</v>
      </c>
      <c r="D164" s="2" t="s">
        <v>248</v>
      </c>
      <c r="F164" s="2">
        <f>IF(Data!$H$2,IF(ISNUMBER(B164),B164,NA()),NA())</f>
        <v>15.8</v>
      </c>
    </row>
    <row r="165" spans="1:6" ht="21" customHeight="1">
      <c r="A165" s="164">
        <v>46181</v>
      </c>
      <c r="B165" s="10">
        <v>15.85</v>
      </c>
      <c r="C165" s="2" t="s">
        <v>850</v>
      </c>
      <c r="D165" s="2" t="s">
        <v>248</v>
      </c>
      <c r="F165" s="2">
        <f>IF(Data!$H$2,IF(ISNUMBER(B165),B165,NA()),NA())</f>
        <v>15.85</v>
      </c>
    </row>
    <row r="166" spans="1:6" ht="21" customHeight="1">
      <c r="A166" s="164">
        <v>46182</v>
      </c>
      <c r="B166" s="10">
        <v>15.81</v>
      </c>
      <c r="C166" s="2" t="s">
        <v>850</v>
      </c>
      <c r="D166" s="2" t="s">
        <v>248</v>
      </c>
      <c r="F166" s="2">
        <f>IF(Data!$H$2,IF(ISNUMBER(B166),B166,NA()),NA())</f>
        <v>15.81</v>
      </c>
    </row>
    <row r="167" spans="1:6" ht="21" customHeight="1">
      <c r="A167" s="164">
        <v>46183</v>
      </c>
      <c r="B167" s="10">
        <v>15.55</v>
      </c>
      <c r="C167" s="2" t="s">
        <v>850</v>
      </c>
      <c r="D167" s="2" t="s">
        <v>248</v>
      </c>
      <c r="F167" s="2">
        <f>IF(Data!$H$2,IF(ISNUMBER(B167),B167,NA()),NA())</f>
        <v>15.55</v>
      </c>
    </row>
    <row r="168" spans="1:6" ht="21" customHeight="1">
      <c r="A168" s="164">
        <v>46184</v>
      </c>
      <c r="B168" s="10">
        <v>15.84</v>
      </c>
      <c r="C168" s="2" t="s">
        <v>850</v>
      </c>
      <c r="D168" s="2" t="s">
        <v>248</v>
      </c>
      <c r="F168" s="2">
        <f>IF(Data!$H$2,IF(ISNUMBER(B168),B168,NA()),NA())</f>
        <v>15.84</v>
      </c>
    </row>
    <row r="169" spans="1:6" ht="21" customHeight="1">
      <c r="A169" s="164">
        <v>46185</v>
      </c>
      <c r="B169" s="10">
        <v>15.92</v>
      </c>
      <c r="C169" s="2" t="s">
        <v>850</v>
      </c>
      <c r="D169" s="2" t="s">
        <v>248</v>
      </c>
      <c r="F169" s="2">
        <f>IF(Data!$H$2,IF(ISNUMBER(B169),B169,NA()),NA())</f>
        <v>15.92</v>
      </c>
    </row>
    <row r="170" spans="1:6" ht="21" customHeight="1">
      <c r="A170" s="164">
        <v>46188</v>
      </c>
      <c r="B170" s="10">
        <v>16.190000000000001</v>
      </c>
      <c r="C170" s="2" t="s">
        <v>850</v>
      </c>
      <c r="D170" s="2" t="s">
        <v>248</v>
      </c>
      <c r="F170" s="2">
        <f>IF(Data!$H$2,IF(ISNUMBER(B170),B170,NA()),NA())</f>
        <v>16.190000000000001</v>
      </c>
    </row>
    <row r="171" spans="1:6" ht="21" customHeight="1">
      <c r="A171" s="164">
        <v>46189</v>
      </c>
      <c r="B171" s="10">
        <v>16.09</v>
      </c>
      <c r="C171" s="2" t="s">
        <v>850</v>
      </c>
      <c r="D171" s="2" t="s">
        <v>248</v>
      </c>
      <c r="F171" s="2">
        <f>IF(Data!$H$2,IF(ISNUMBER(B171),B171,NA()),NA())</f>
        <v>16.09</v>
      </c>
    </row>
    <row r="172" spans="1:6" ht="21" customHeight="1">
      <c r="A172" s="164">
        <v>46190</v>
      </c>
      <c r="B172" s="10">
        <v>15.9</v>
      </c>
      <c r="C172" s="2" t="s">
        <v>850</v>
      </c>
      <c r="D172" s="2" t="s">
        <v>248</v>
      </c>
      <c r="F172" s="2">
        <f>IF(Data!$H$2,IF(ISNUMBER(B172),B172,NA()),NA())</f>
        <v>15.9</v>
      </c>
    </row>
    <row r="173" spans="1:6" ht="21" customHeight="1">
      <c r="A173" s="164">
        <v>46191</v>
      </c>
      <c r="B173" s="10">
        <v>16.079999999999998</v>
      </c>
      <c r="C173" s="2" t="s">
        <v>850</v>
      </c>
      <c r="D173" s="2" t="s">
        <v>248</v>
      </c>
      <c r="F173" s="2">
        <f>IF(Data!$H$2,IF(ISNUMBER(B173),B173,NA()),NA())</f>
        <v>16.079999999999998</v>
      </c>
    </row>
    <row r="174" spans="1:6" ht="21" customHeight="1">
      <c r="A174" s="164">
        <v>46195</v>
      </c>
      <c r="B174" s="10">
        <v>16.02</v>
      </c>
      <c r="C174" s="2" t="s">
        <v>850</v>
      </c>
      <c r="D174" s="2" t="s">
        <v>248</v>
      </c>
      <c r="F174" s="2">
        <f>IF(Data!$H$2,IF(ISNUMBER(B174),B174,NA()),NA())</f>
        <v>16.02</v>
      </c>
    </row>
    <row r="175" spans="1:6" ht="21" customHeight="1">
      <c r="A175" s="164">
        <v>46196</v>
      </c>
      <c r="B175" s="10">
        <v>15.8</v>
      </c>
      <c r="C175" s="2" t="s">
        <v>850</v>
      </c>
      <c r="D175" s="2" t="s">
        <v>248</v>
      </c>
      <c r="F175" s="2">
        <f>IF(Data!$H$2,IF(ISNUMBER(B175),B175,NA()),NA())</f>
        <v>15.8</v>
      </c>
    </row>
    <row r="176" spans="1:6" ht="21" customHeight="1">
      <c r="A176" s="164">
        <v>46197</v>
      </c>
      <c r="B176" s="10">
        <v>15.79</v>
      </c>
      <c r="C176" s="2" t="s">
        <v>850</v>
      </c>
      <c r="D176" s="2" t="s">
        <v>248</v>
      </c>
      <c r="F176" s="2">
        <f>IF(Data!$H$2,IF(ISNUMBER(B176),B176,NA()),NA())</f>
        <v>15.79</v>
      </c>
    </row>
    <row r="177" spans="1:6" ht="21" customHeight="1">
      <c r="A177" s="164">
        <v>46198</v>
      </c>
      <c r="B177" s="10">
        <v>15.79</v>
      </c>
      <c r="C177" s="2" t="s">
        <v>850</v>
      </c>
      <c r="D177" s="2" t="s">
        <v>248</v>
      </c>
      <c r="F177" s="2">
        <f>IF(Data!$H$2,IF(ISNUMBER(B177),B177,NA()),NA())</f>
        <v>15.79</v>
      </c>
    </row>
    <row r="178" spans="1:6" ht="21" customHeight="1">
      <c r="A178" s="164">
        <v>46199</v>
      </c>
      <c r="B178" s="10">
        <v>15.79</v>
      </c>
      <c r="C178" s="2" t="s">
        <v>850</v>
      </c>
      <c r="D178" s="2" t="s">
        <v>248</v>
      </c>
      <c r="F178" s="2">
        <f>IF(Data!$H$2,IF(ISNUMBER(B178),B178,NA()),NA())</f>
        <v>15.79</v>
      </c>
    </row>
    <row r="179" spans="1:6" ht="21" customHeight="1">
      <c r="A179" s="164">
        <v>46202</v>
      </c>
      <c r="B179" s="10">
        <v>15.97</v>
      </c>
      <c r="C179" s="2" t="s">
        <v>850</v>
      </c>
      <c r="D179" s="2" t="s">
        <v>248</v>
      </c>
      <c r="F179" s="2">
        <f>IF(Data!$H$2,IF(ISNUMBER(B179),B179,NA()),NA())</f>
        <v>15.97</v>
      </c>
    </row>
    <row r="180" spans="1:6" ht="21" customHeight="1">
      <c r="A180" s="164">
        <v>46203</v>
      </c>
      <c r="B180" s="10">
        <v>16.100000000000001</v>
      </c>
      <c r="C180" s="2" t="s">
        <v>850</v>
      </c>
      <c r="D180" s="2" t="s">
        <v>248</v>
      </c>
      <c r="F180" s="2">
        <f>IF(Data!$H$2,IF(ISNUMBER(B180),B180,NA()),NA())</f>
        <v>16.100000000000001</v>
      </c>
    </row>
    <row r="181" spans="1:6" ht="21" customHeight="1">
      <c r="A181" s="164">
        <v>46204</v>
      </c>
      <c r="B181" s="10">
        <v>16.07</v>
      </c>
      <c r="C181" s="2" t="s">
        <v>850</v>
      </c>
      <c r="D181" s="2" t="s">
        <v>248</v>
      </c>
      <c r="F181" s="2">
        <f>IF(Data!$H$2,IF(ISNUMBER(B181),B181,NA()),NA())</f>
        <v>16.07</v>
      </c>
    </row>
    <row r="182" spans="1:6" ht="21" customHeight="1">
      <c r="A182" s="164">
        <v>46205</v>
      </c>
      <c r="B182" s="10">
        <v>16.059999999999999</v>
      </c>
      <c r="C182" s="2" t="s">
        <v>850</v>
      </c>
      <c r="D182" s="2" t="s">
        <v>248</v>
      </c>
      <c r="F182" s="2">
        <f>IF(Data!$H$2,IF(ISNUMBER(B182),B182,NA()),NA())</f>
        <v>16.059999999999999</v>
      </c>
    </row>
    <row r="183" spans="1:6" ht="21" customHeight="1">
      <c r="A183" s="164">
        <v>46209</v>
      </c>
      <c r="B183" s="10">
        <v>16.18</v>
      </c>
      <c r="C183" s="2" t="s">
        <v>850</v>
      </c>
      <c r="D183" s="2" t="s">
        <v>248</v>
      </c>
      <c r="F183" s="2">
        <f>IF(Data!$H$2,IF(ISNUMBER(B183),B183,NA()),NA())</f>
        <v>16.18</v>
      </c>
    </row>
    <row r="184" spans="1:6" ht="21" customHeight="1">
      <c r="A184" s="164">
        <v>46210</v>
      </c>
      <c r="B184" s="10">
        <v>16.100000000000001</v>
      </c>
      <c r="C184" s="2" t="s">
        <v>850</v>
      </c>
      <c r="D184" s="2" t="s">
        <v>248</v>
      </c>
      <c r="F184" s="2">
        <f>IF(Data!$H$2,IF(ISNUMBER(B184),B184,NA()),NA())</f>
        <v>16.100000000000001</v>
      </c>
    </row>
    <row r="185" spans="1:6" ht="21" customHeight="1">
      <c r="A185" s="164">
        <v>46211</v>
      </c>
      <c r="B185" s="10">
        <v>16.04</v>
      </c>
      <c r="C185" s="2" t="s">
        <v>850</v>
      </c>
      <c r="D185" s="2" t="s">
        <v>248</v>
      </c>
      <c r="F185" s="2">
        <f>IF(Data!$H$2,IF(ISNUMBER(B185),B185,NA()),NA())</f>
        <v>16.04</v>
      </c>
    </row>
    <row r="186" spans="1:6" ht="21" customHeight="1">
      <c r="A186" s="164">
        <v>46212</v>
      </c>
      <c r="B186" s="10">
        <v>16.18</v>
      </c>
      <c r="C186" s="2" t="s">
        <v>850</v>
      </c>
      <c r="D186" s="2" t="s">
        <v>248</v>
      </c>
      <c r="F186" s="2">
        <f>IF(Data!$H$2,IF(ISNUMBER(B186),B186,NA()),NA())</f>
        <v>16.18</v>
      </c>
    </row>
    <row r="187" spans="1:6" ht="21" customHeight="1">
      <c r="A187" s="164">
        <v>46213</v>
      </c>
      <c r="B187" s="10">
        <v>16.239999999999998</v>
      </c>
      <c r="C187" s="2" t="s">
        <v>850</v>
      </c>
      <c r="D187" s="2" t="s">
        <v>248</v>
      </c>
      <c r="F187" s="2">
        <f>IF(Data!$H$2,IF(ISNUMBER(B187),B187,NA()),NA())</f>
        <v>16.239999999999998</v>
      </c>
    </row>
    <row r="188" spans="1:6" ht="21" customHeight="1">
      <c r="A188" s="164">
        <v>46216</v>
      </c>
      <c r="B188" s="10">
        <v>16.11</v>
      </c>
      <c r="C188" s="2" t="s">
        <v>850</v>
      </c>
      <c r="D188" s="2" t="s">
        <v>248</v>
      </c>
      <c r="F188" s="2">
        <f>IF(Data!$H$2,IF(ISNUMBER(B188),B188,NA()),NA())</f>
        <v>16.11</v>
      </c>
    </row>
    <row r="189" spans="1:6" ht="21" customHeight="1">
      <c r="A189" s="164">
        <v>46217</v>
      </c>
      <c r="B189" s="10">
        <v>16.170000000000002</v>
      </c>
      <c r="C189" s="2" t="s">
        <v>850</v>
      </c>
      <c r="D189" s="2" t="s">
        <v>248</v>
      </c>
      <c r="F189" s="2">
        <f>IF(Data!$H$2,IF(ISNUMBER(B189),B189,NA()),NA())</f>
        <v>16.170000000000002</v>
      </c>
    </row>
    <row r="190" spans="1:6" ht="21" customHeight="1">
      <c r="A190" s="164">
        <v>46218</v>
      </c>
      <c r="B190" s="10">
        <v>16.23</v>
      </c>
      <c r="C190" s="2" t="s">
        <v>850</v>
      </c>
      <c r="D190" s="2" t="s">
        <v>248</v>
      </c>
      <c r="F190" s="2">
        <f>IF(Data!$H$2,IF(ISNUMBER(B190),B190,NA()),NA())</f>
        <v>16.23</v>
      </c>
    </row>
    <row r="191" spans="1:6" ht="21" customHeight="1">
      <c r="A191" s="164">
        <v>46219</v>
      </c>
      <c r="B191" s="10">
        <v>16.149999999999999</v>
      </c>
      <c r="C191" s="2" t="s">
        <v>850</v>
      </c>
      <c r="D191" s="2" t="s">
        <v>248</v>
      </c>
      <c r="F191" s="2">
        <f>IF(Data!$H$2,IF(ISNUMBER(B191),B191,NA()),NA())</f>
        <v>16.149999999999999</v>
      </c>
    </row>
    <row r="192" spans="1:6" ht="21" customHeight="1">
      <c r="A192" s="164">
        <v>46220</v>
      </c>
      <c r="B192" s="10">
        <v>15.99</v>
      </c>
      <c r="C192" s="2" t="s">
        <v>850</v>
      </c>
      <c r="D192" s="2" t="s">
        <v>248</v>
      </c>
      <c r="F192" s="2">
        <f>IF(Data!$H$2,IF(ISNUMBER(B192),B192,NA()),NA())</f>
        <v>15.99</v>
      </c>
    </row>
    <row r="193" spans="1:6" ht="21" customHeight="1">
      <c r="A193" s="164">
        <v>46223</v>
      </c>
      <c r="B193" s="10">
        <v>15.95</v>
      </c>
      <c r="C193" s="2" t="s">
        <v>850</v>
      </c>
      <c r="D193" s="2" t="s">
        <v>248</v>
      </c>
      <c r="F193" s="2">
        <f>IF(Data!$H$2,IF(ISNUMBER(B193),B193,NA()),NA())</f>
        <v>15.95</v>
      </c>
    </row>
    <row r="194" spans="1:6" ht="21" customHeight="1">
      <c r="A194" s="164">
        <v>46224</v>
      </c>
      <c r="B194" s="10">
        <v>16.09</v>
      </c>
      <c r="C194" s="2" t="s">
        <v>850</v>
      </c>
      <c r="D194" s="2" t="s">
        <v>248</v>
      </c>
      <c r="F194" s="2">
        <f>IF(Data!$H$2,IF(ISNUMBER(B194),B194,NA()),NA())</f>
        <v>16.09</v>
      </c>
    </row>
    <row r="195" spans="1:6" ht="21" customHeight="1">
      <c r="A195" s="164">
        <v>46225</v>
      </c>
      <c r="B195" s="10">
        <v>16.07</v>
      </c>
      <c r="C195" s="2" t="s">
        <v>850</v>
      </c>
      <c r="D195" s="2" t="s">
        <v>248</v>
      </c>
      <c r="F195" s="2">
        <f>IF(Data!$H$2,IF(ISNUMBER(B195),B195,NA()),NA())</f>
        <v>16.07</v>
      </c>
    </row>
    <row r="196" spans="1:6" ht="21" customHeight="1">
      <c r="A196" s="164">
        <v>46226</v>
      </c>
      <c r="B196" s="10">
        <v>15.88</v>
      </c>
      <c r="C196" s="2" t="s">
        <v>850</v>
      </c>
      <c r="D196" s="2" t="s">
        <v>248</v>
      </c>
      <c r="F196" s="2">
        <f>IF(Data!$H$2,IF(ISNUMBER(B196),B196,NA()),NA())</f>
        <v>15.88</v>
      </c>
    </row>
    <row r="197" spans="1:6" ht="21" customHeight="1">
      <c r="A197" s="164">
        <v>46227</v>
      </c>
      <c r="B197" s="10">
        <v>15.89</v>
      </c>
      <c r="C197" s="2" t="s">
        <v>850</v>
      </c>
      <c r="D197" s="2" t="s">
        <v>248</v>
      </c>
      <c r="F197" s="2">
        <f>IF(Data!$H$2,IF(ISNUMBER(B197),B197,NA()),NA())</f>
        <v>15.89</v>
      </c>
    </row>
    <row r="198" spans="1:6" ht="21" customHeight="1">
      <c r="A198" s="164">
        <v>46230</v>
      </c>
      <c r="B198" s="10">
        <v>15.91</v>
      </c>
      <c r="C198" s="2" t="s">
        <v>850</v>
      </c>
      <c r="D198" s="2" t="s">
        <v>248</v>
      </c>
      <c r="F198" s="2">
        <f>IF(Data!$H$2,IF(ISNUMBER(B198),B198,NA()),NA())</f>
        <v>15.91</v>
      </c>
    </row>
    <row r="199" spans="1:6" ht="21" customHeight="1">
      <c r="A199" s="164">
        <v>46231</v>
      </c>
      <c r="B199" s="10">
        <v>15.94</v>
      </c>
      <c r="C199" s="2" t="s">
        <v>850</v>
      </c>
      <c r="D199" s="2" t="s">
        <v>248</v>
      </c>
      <c r="F199" s="2">
        <f>IF(Data!$H$2,IF(ISNUMBER(B199),B199,NA()),NA())</f>
        <v>15.94</v>
      </c>
    </row>
    <row r="200" spans="1:6" ht="21" customHeight="1">
      <c r="A200" s="164">
        <v>46232</v>
      </c>
      <c r="B200" s="10">
        <v>15.7</v>
      </c>
      <c r="C200" s="2" t="s">
        <v>850</v>
      </c>
      <c r="D200" s="2" t="s">
        <v>248</v>
      </c>
      <c r="F200" s="2">
        <f>IF(Data!$H$2,IF(ISNUMBER(B200),B200,NA()),NA())</f>
        <v>15.7</v>
      </c>
    </row>
    <row r="201" spans="1:6" ht="21" customHeight="1">
      <c r="A201" s="164">
        <v>46233</v>
      </c>
      <c r="B201" s="10">
        <v>15.95</v>
      </c>
      <c r="C201" s="2" t="s">
        <v>850</v>
      </c>
      <c r="D201" s="2" t="s">
        <v>248</v>
      </c>
      <c r="F201" s="2">
        <f>IF(Data!$H$2,IF(ISNUMBER(B201),B201,NA()),NA())</f>
        <v>15.95</v>
      </c>
    </row>
    <row r="202" spans="1:6" ht="21" customHeight="1">
      <c r="A202" s="164">
        <v>46234</v>
      </c>
      <c r="B202" s="10">
        <v>16.05</v>
      </c>
      <c r="C202" s="2" t="s">
        <v>850</v>
      </c>
      <c r="D202" s="2" t="s">
        <v>248</v>
      </c>
      <c r="F202" s="2">
        <f>IF(Data!$H$2,IF(ISNUMBER(B202),B202,NA()),NA())</f>
        <v>16.05</v>
      </c>
    </row>
    <row r="203" spans="1:6" ht="21" customHeight="1">
      <c r="A203" s="164">
        <v>46237</v>
      </c>
      <c r="B203" s="10">
        <v>16.29</v>
      </c>
      <c r="C203" s="2" t="s">
        <v>850</v>
      </c>
      <c r="D203" s="2" t="s">
        <v>248</v>
      </c>
      <c r="F203" s="2">
        <f>IF(Data!$H$2,IF(ISNUMBER(B203),B203,NA()),NA())</f>
        <v>16.29</v>
      </c>
    </row>
    <row r="204" spans="1:6" ht="21" customHeight="1">
      <c r="A204" s="164">
        <v>46238</v>
      </c>
      <c r="B204" s="10">
        <v>16.59</v>
      </c>
      <c r="C204" s="2" t="s">
        <v>850</v>
      </c>
      <c r="D204" s="2" t="s">
        <v>248</v>
      </c>
      <c r="F204" s="2">
        <f>IF(Data!$H$2,IF(ISNUMBER(B204),B204,NA()),NA())</f>
        <v>16.59</v>
      </c>
    </row>
    <row r="205" spans="1:6" ht="21" customHeight="1">
      <c r="A205" s="164">
        <v>46239</v>
      </c>
      <c r="B205" s="10">
        <v>16.559999999999999</v>
      </c>
      <c r="C205" s="2" t="s">
        <v>850</v>
      </c>
      <c r="D205" s="2" t="s">
        <v>248</v>
      </c>
      <c r="F205" s="2">
        <f>IF(Data!$H$2,IF(ISNUMBER(B205),B205,NA()),NA())</f>
        <v>16.559999999999999</v>
      </c>
    </row>
    <row r="206" spans="1:6" ht="21" customHeight="1">
      <c r="A206" s="164">
        <v>46240</v>
      </c>
      <c r="B206" s="10">
        <v>16.53</v>
      </c>
      <c r="C206" s="2" t="s">
        <v>850</v>
      </c>
      <c r="D206" s="2" t="s">
        <v>248</v>
      </c>
      <c r="F206" s="2">
        <f>IF(Data!$H$2,IF(ISNUMBER(B206),B206,NA()),NA())</f>
        <v>16.53</v>
      </c>
    </row>
    <row r="207" spans="1:6" ht="21" customHeight="1">
      <c r="A207" s="164">
        <v>46241</v>
      </c>
      <c r="B207" s="10">
        <v>16.649999999999999</v>
      </c>
      <c r="C207" s="2" t="s">
        <v>850</v>
      </c>
      <c r="D207" s="2" t="s">
        <v>248</v>
      </c>
      <c r="F207" s="2">
        <f>IF(Data!$H$2,IF(ISNUMBER(B207),B207,NA()),NA())</f>
        <v>16.649999999999999</v>
      </c>
    </row>
    <row r="208" spans="1:6" ht="21" customHeight="1">
      <c r="A208" s="164">
        <v>46244</v>
      </c>
      <c r="B208" s="10">
        <v>16.64</v>
      </c>
      <c r="C208" s="2" t="s">
        <v>850</v>
      </c>
      <c r="D208" s="2" t="s">
        <v>248</v>
      </c>
      <c r="F208" s="2">
        <f>IF(Data!$H$2,IF(ISNUMBER(B208),B208,NA()),NA())</f>
        <v>16.64</v>
      </c>
    </row>
    <row r="209" spans="1:6" ht="21" customHeight="1">
      <c r="A209" s="164">
        <v>46245</v>
      </c>
      <c r="B209" s="10">
        <v>16.59</v>
      </c>
      <c r="C209" s="2" t="s">
        <v>850</v>
      </c>
      <c r="D209" s="2" t="s">
        <v>248</v>
      </c>
      <c r="F209" s="2">
        <f>IF(Data!$H$2,IF(ISNUMBER(B209),B209,NA()),NA())</f>
        <v>16.59</v>
      </c>
    </row>
    <row r="210" spans="1:6" ht="21" customHeight="1">
      <c r="A210" s="164">
        <v>46246</v>
      </c>
      <c r="B210" s="10">
        <v>16.64</v>
      </c>
      <c r="C210" s="2" t="s">
        <v>850</v>
      </c>
      <c r="D210" s="2" t="s">
        <v>248</v>
      </c>
      <c r="F210" s="2">
        <f>IF(Data!$H$2,IF(ISNUMBER(B210),B210,NA()),NA())</f>
        <v>16.64</v>
      </c>
    </row>
    <row r="211" spans="1:6" ht="21" customHeight="1">
      <c r="A211" s="164">
        <v>46247</v>
      </c>
      <c r="B211" s="10">
        <v>16.75</v>
      </c>
      <c r="C211" s="2" t="s">
        <v>850</v>
      </c>
      <c r="D211" s="2" t="s">
        <v>248</v>
      </c>
      <c r="F211" s="2">
        <f>IF(Data!$H$2,IF(ISNUMBER(B211),B211,NA()),NA())</f>
        <v>16.75</v>
      </c>
    </row>
    <row r="212" spans="1:6" ht="21" customHeight="1">
      <c r="A212" s="164">
        <v>46248</v>
      </c>
      <c r="B212" s="10">
        <v>16.72</v>
      </c>
      <c r="C212" s="2" t="s">
        <v>850</v>
      </c>
      <c r="D212" s="2" t="s">
        <v>248</v>
      </c>
      <c r="F212" s="2">
        <f>IF(Data!$H$2,IF(ISNUMBER(B212),B212,NA()),NA())</f>
        <v>16.72</v>
      </c>
    </row>
    <row r="213" spans="1:6" ht="21" customHeight="1">
      <c r="A213" s="164">
        <v>46251</v>
      </c>
      <c r="B213" s="10">
        <v>16.64</v>
      </c>
      <c r="C213" s="2" t="s">
        <v>850</v>
      </c>
      <c r="D213" s="2" t="s">
        <v>248</v>
      </c>
      <c r="F213" s="2">
        <f>IF(Data!$H$2,IF(ISNUMBER(B213),B213,NA()),NA())</f>
        <v>16.64</v>
      </c>
    </row>
    <row r="214" spans="1:6" ht="21" customHeight="1">
      <c r="A214" s="164">
        <v>46252</v>
      </c>
      <c r="B214" s="10">
        <v>16.510000000000002</v>
      </c>
      <c r="C214" s="2" t="s">
        <v>850</v>
      </c>
      <c r="D214" s="2" t="s">
        <v>248</v>
      </c>
      <c r="F214" s="2">
        <f>IF(Data!$H$2,IF(ISNUMBER(B214),B214,NA()),NA())</f>
        <v>16.510000000000002</v>
      </c>
    </row>
    <row r="215" spans="1:6" ht="21" customHeight="1">
      <c r="A215" s="164">
        <v>46253</v>
      </c>
      <c r="B215" s="10">
        <v>16.55</v>
      </c>
      <c r="C215" s="2" t="s">
        <v>850</v>
      </c>
      <c r="D215" s="2" t="s">
        <v>248</v>
      </c>
      <c r="F215" s="2">
        <f>IF(Data!$H$2,IF(ISNUMBER(B215),B215,NA()),NA())</f>
        <v>16.55</v>
      </c>
    </row>
    <row r="216" spans="1:6" ht="21" customHeight="1">
      <c r="A216" s="164">
        <v>46254</v>
      </c>
      <c r="B216" s="10">
        <v>16.41</v>
      </c>
      <c r="C216" s="2" t="s">
        <v>850</v>
      </c>
      <c r="D216" s="2" t="s">
        <v>248</v>
      </c>
      <c r="F216" s="2">
        <f>IF(Data!$H$2,IF(ISNUMBER(B216),B216,NA()),NA())</f>
        <v>16.41</v>
      </c>
    </row>
    <row r="217" spans="1:6" ht="21" customHeight="1">
      <c r="A217" s="164">
        <v>46255</v>
      </c>
      <c r="B217" s="10">
        <v>16.489999999999998</v>
      </c>
      <c r="C217" s="2" t="s">
        <v>850</v>
      </c>
      <c r="D217" s="2" t="s">
        <v>248</v>
      </c>
      <c r="F217" s="2">
        <f>IF(Data!$H$2,IF(ISNUMBER(B217),B217,NA()),NA())</f>
        <v>16.489999999999998</v>
      </c>
    </row>
    <row r="218" spans="1:6" ht="21" customHeight="1">
      <c r="A218" s="164">
        <v>46258</v>
      </c>
      <c r="B218" s="10">
        <v>16.43</v>
      </c>
      <c r="C218" s="2" t="s">
        <v>850</v>
      </c>
      <c r="D218" s="2" t="s">
        <v>248</v>
      </c>
      <c r="F218" s="2">
        <f>IF(Data!$H$2,IF(ISNUMBER(B218),B218,NA()),NA())</f>
        <v>16.43</v>
      </c>
    </row>
    <row r="219" spans="1:6" ht="21" customHeight="1">
      <c r="A219" s="164">
        <v>46259</v>
      </c>
      <c r="B219" s="10">
        <v>16.48</v>
      </c>
      <c r="C219" s="2" t="s">
        <v>850</v>
      </c>
      <c r="D219" s="2" t="s">
        <v>248</v>
      </c>
      <c r="F219" s="2">
        <f>IF(Data!$H$2,IF(ISNUMBER(B219),B219,NA()),NA())</f>
        <v>16.48</v>
      </c>
    </row>
    <row r="220" spans="1:6" ht="21" customHeight="1">
      <c r="A220" s="164">
        <v>46260</v>
      </c>
      <c r="B220" s="10">
        <v>16.48</v>
      </c>
      <c r="C220" s="2" t="s">
        <v>850</v>
      </c>
      <c r="D220" s="2" t="s">
        <v>248</v>
      </c>
      <c r="F220" s="2">
        <f>IF(Data!$H$2,IF(ISNUMBER(B220),B220,NA()),NA())</f>
        <v>16.48</v>
      </c>
    </row>
    <row r="221" spans="1:6" ht="21" customHeight="1">
      <c r="A221" s="164">
        <v>46261</v>
      </c>
      <c r="B221" s="10">
        <v>16.600000000000001</v>
      </c>
      <c r="C221" s="2" t="s">
        <v>850</v>
      </c>
      <c r="D221" s="2" t="s">
        <v>248</v>
      </c>
      <c r="F221" s="2">
        <f>IF(Data!$H$2,IF(ISNUMBER(B221),B221,NA()),NA())</f>
        <v>16.600000000000001</v>
      </c>
    </row>
    <row r="222" spans="1:6" ht="21" customHeight="1">
      <c r="A222" s="164">
        <v>46262</v>
      </c>
      <c r="B222" s="10">
        <v>16.55</v>
      </c>
      <c r="C222" s="2" t="s">
        <v>850</v>
      </c>
      <c r="D222" s="2" t="s">
        <v>248</v>
      </c>
      <c r="F222" s="2">
        <f>IF(Data!$H$2,IF(ISNUMBER(B222),B222,NA()),NA())</f>
        <v>16.55</v>
      </c>
    </row>
    <row r="223" spans="1:6" ht="21" customHeight="1">
      <c r="A223" s="164">
        <v>46265</v>
      </c>
      <c r="B223" s="10">
        <v>16.489999999999998</v>
      </c>
      <c r="C223" s="2" t="s">
        <v>850</v>
      </c>
      <c r="D223" s="2" t="s">
        <v>248</v>
      </c>
      <c r="F223" s="2">
        <f>IF(Data!$H$2,IF(ISNUMBER(B223),B223,NA()),NA())</f>
        <v>16.489999999999998</v>
      </c>
    </row>
    <row r="224" spans="1:6" ht="21" customHeight="1">
      <c r="A224" s="164">
        <v>46266</v>
      </c>
      <c r="B224" s="10">
        <v>16.37</v>
      </c>
      <c r="C224" s="2" t="s">
        <v>850</v>
      </c>
      <c r="D224" s="2" t="s">
        <v>248</v>
      </c>
      <c r="F224" s="2">
        <f>IF(Data!$H$2,IF(ISNUMBER(B224),B224,NA()),NA())</f>
        <v>16.37</v>
      </c>
    </row>
    <row r="225" spans="1:6" ht="21" customHeight="1">
      <c r="A225" s="164">
        <v>46267</v>
      </c>
      <c r="B225" s="10">
        <v>16.440000000000001</v>
      </c>
      <c r="C225" s="2" t="s">
        <v>850</v>
      </c>
      <c r="D225" s="2" t="s">
        <v>248</v>
      </c>
      <c r="F225" s="2">
        <f>IF(Data!$H$2,IF(ISNUMBER(B225),B225,NA()),NA())</f>
        <v>16.440000000000001</v>
      </c>
    </row>
    <row r="226" spans="1:6" ht="21" customHeight="1">
      <c r="A226" s="164">
        <v>46268</v>
      </c>
      <c r="B226" s="10">
        <v>16.62</v>
      </c>
      <c r="C226" s="2" t="s">
        <v>850</v>
      </c>
      <c r="D226" s="2" t="s">
        <v>248</v>
      </c>
      <c r="F226" s="2">
        <f>IF(Data!$H$2,IF(ISNUMBER(B226),B226,NA()),NA())</f>
        <v>16.62</v>
      </c>
    </row>
    <row r="227" spans="1:6" ht="21" customHeight="1">
      <c r="A227" s="164">
        <v>46269</v>
      </c>
      <c r="B227" s="10">
        <v>16.57</v>
      </c>
      <c r="C227" s="2" t="s">
        <v>850</v>
      </c>
      <c r="D227" s="2" t="s">
        <v>248</v>
      </c>
      <c r="F227" s="2">
        <f>IF(Data!$H$2,IF(ISNUMBER(B227),B227,NA()),NA())</f>
        <v>16.57</v>
      </c>
    </row>
    <row r="228" spans="1:6" ht="21" customHeight="1">
      <c r="A228" s="164">
        <v>46273</v>
      </c>
      <c r="B228" s="10">
        <v>16.47</v>
      </c>
      <c r="C228" s="2" t="s">
        <v>850</v>
      </c>
      <c r="D228" s="2" t="s">
        <v>248</v>
      </c>
      <c r="F228" s="2">
        <f>IF(Data!$H$2,IF(ISNUMBER(B228),B228,NA()),NA())</f>
        <v>16.47</v>
      </c>
    </row>
    <row r="229" spans="1:6" ht="21" customHeight="1">
      <c r="A229" s="164">
        <v>46274</v>
      </c>
      <c r="B229" s="10">
        <v>16.38</v>
      </c>
      <c r="C229" s="2" t="s">
        <v>850</v>
      </c>
      <c r="D229" s="2" t="s">
        <v>248</v>
      </c>
      <c r="F229" s="2">
        <f>IF(Data!$H$2,IF(ISNUMBER(B229),B229,NA()),NA())</f>
        <v>16.38</v>
      </c>
    </row>
    <row r="230" spans="1:6" ht="21" customHeight="1">
      <c r="A230" s="164">
        <v>46275</v>
      </c>
      <c r="B230" s="10">
        <v>16.28</v>
      </c>
      <c r="C230" s="2" t="s">
        <v>850</v>
      </c>
      <c r="D230" s="2" t="s">
        <v>248</v>
      </c>
      <c r="F230" s="2">
        <f>IF(Data!$H$2,IF(ISNUMBER(B230),B230,NA()),NA())</f>
        <v>16.28</v>
      </c>
    </row>
    <row r="231" spans="1:6" ht="21" customHeight="1">
      <c r="A231" s="164">
        <v>46276</v>
      </c>
      <c r="B231" s="10">
        <v>16.420000000000002</v>
      </c>
      <c r="C231" s="2" t="s">
        <v>850</v>
      </c>
      <c r="D231" s="2" t="s">
        <v>248</v>
      </c>
      <c r="F231" s="2">
        <f>IF(Data!$H$2,IF(ISNUMBER(B231),B231,NA()),NA())</f>
        <v>16.420000000000002</v>
      </c>
    </row>
    <row r="232" spans="1:6" ht="21" customHeight="1">
      <c r="A232" s="164">
        <v>46279</v>
      </c>
      <c r="B232" s="10">
        <v>16.350000000000001</v>
      </c>
      <c r="C232" s="2" t="s">
        <v>850</v>
      </c>
      <c r="D232" s="2" t="s">
        <v>248</v>
      </c>
      <c r="F232" s="2">
        <f>IF(Data!$H$2,IF(ISNUMBER(B232),B232,NA()),NA())</f>
        <v>16.350000000000001</v>
      </c>
    </row>
    <row r="233" spans="1:6" ht="21" customHeight="1">
      <c r="A233" s="164">
        <v>46280</v>
      </c>
      <c r="B233" s="10">
        <v>16.27</v>
      </c>
      <c r="C233" s="2" t="s">
        <v>850</v>
      </c>
      <c r="D233" s="2" t="s">
        <v>248</v>
      </c>
      <c r="F233" s="2">
        <f>IF(Data!$H$2,IF(ISNUMBER(B233),B233,NA()),NA())</f>
        <v>16.27</v>
      </c>
    </row>
    <row r="234" spans="1:6" ht="21" customHeight="1">
      <c r="A234" s="164">
        <v>46281</v>
      </c>
      <c r="B234" s="10">
        <v>16.2</v>
      </c>
      <c r="C234" s="2" t="s">
        <v>850</v>
      </c>
      <c r="D234" s="2" t="s">
        <v>248</v>
      </c>
      <c r="F234" s="2">
        <f>IF(Data!$H$2,IF(ISNUMBER(B234),B234,NA()),NA())</f>
        <v>16.2</v>
      </c>
    </row>
    <row r="235" spans="1:6" ht="21" customHeight="1">
      <c r="A235" s="164">
        <v>46282</v>
      </c>
      <c r="B235" s="10">
        <v>16.38</v>
      </c>
      <c r="C235" s="2" t="s">
        <v>850</v>
      </c>
      <c r="D235" s="2" t="s">
        <v>248</v>
      </c>
      <c r="F235" s="2">
        <f>IF(Data!$H$2,IF(ISNUMBER(B235),B235,NA()),NA())</f>
        <v>16.38</v>
      </c>
    </row>
    <row r="236" spans="1:6" ht="21" customHeight="1">
      <c r="A236" s="164">
        <v>46283</v>
      </c>
      <c r="B236" s="10">
        <v>16.399999999999999</v>
      </c>
      <c r="C236" s="2" t="s">
        <v>850</v>
      </c>
      <c r="D236" s="2" t="s">
        <v>248</v>
      </c>
      <c r="F236" s="2">
        <f>IF(Data!$H$2,IF(ISNUMBER(B236),B236,NA()),NA())</f>
        <v>16.399999999999999</v>
      </c>
    </row>
    <row r="237" spans="1:6" ht="21" customHeight="1">
      <c r="A237" s="164">
        <v>46286</v>
      </c>
      <c r="B237" s="10">
        <v>16.649999999999999</v>
      </c>
      <c r="C237" s="2" t="s">
        <v>850</v>
      </c>
      <c r="D237" s="2" t="s">
        <v>248</v>
      </c>
      <c r="F237" s="2">
        <f>IF(Data!$H$2,IF(ISNUMBER(B237),B237,NA()),NA())</f>
        <v>16.649999999999999</v>
      </c>
    </row>
    <row r="238" spans="1:6" ht="21" customHeight="1">
      <c r="A238" s="164">
        <v>46287</v>
      </c>
      <c r="B238" s="10">
        <v>16.649999999999999</v>
      </c>
      <c r="C238" s="2" t="s">
        <v>850</v>
      </c>
      <c r="D238" s="2" t="s">
        <v>248</v>
      </c>
      <c r="F238" s="2">
        <f>IF(Data!$H$2,IF(ISNUMBER(B238),B238,NA()),NA())</f>
        <v>16.649999999999999</v>
      </c>
    </row>
    <row r="239" spans="1:6" ht="21" customHeight="1">
      <c r="A239" s="164">
        <v>46288</v>
      </c>
      <c r="B239" s="10">
        <v>16.52</v>
      </c>
      <c r="C239" s="2" t="s">
        <v>850</v>
      </c>
      <c r="D239" s="2" t="s">
        <v>248</v>
      </c>
      <c r="F239" s="2">
        <f>IF(Data!$H$2,IF(ISNUMBER(B239),B239,NA()),NA())</f>
        <v>16.52</v>
      </c>
    </row>
    <row r="240" spans="1:6" ht="21" customHeight="1">
      <c r="A240" s="164">
        <v>46289</v>
      </c>
      <c r="B240" s="10">
        <v>16.52</v>
      </c>
      <c r="C240" s="2" t="s">
        <v>850</v>
      </c>
      <c r="D240" s="2" t="s">
        <v>248</v>
      </c>
      <c r="F240" s="2">
        <f>IF(Data!$H$2,IF(ISNUMBER(B240),B240,NA()),NA())</f>
        <v>16.52</v>
      </c>
    </row>
    <row r="241" spans="1:6" ht="21" customHeight="1">
      <c r="A241" s="164">
        <v>46290</v>
      </c>
      <c r="B241" s="10">
        <v>16.600000000000001</v>
      </c>
      <c r="C241" s="2" t="s">
        <v>850</v>
      </c>
      <c r="D241" s="2" t="s">
        <v>248</v>
      </c>
      <c r="F241" s="2">
        <f>IF(Data!$H$2,IF(ISNUMBER(B241),B241,NA()),NA())</f>
        <v>16.600000000000001</v>
      </c>
    </row>
    <row r="242" spans="1:6" ht="21" customHeight="1">
      <c r="A242" s="164">
        <v>46293</v>
      </c>
      <c r="B242" s="10">
        <v>16.46</v>
      </c>
      <c r="C242" s="2" t="s">
        <v>850</v>
      </c>
      <c r="D242" s="2" t="s">
        <v>248</v>
      </c>
      <c r="F242" s="2">
        <f>IF(Data!$H$2,IF(ISNUMBER(B242),B242,NA()),NA())</f>
        <v>16.46</v>
      </c>
    </row>
    <row r="243" spans="1:6" ht="21" customHeight="1">
      <c r="A243" s="164">
        <v>46294</v>
      </c>
      <c r="B243" s="10">
        <v>16.440000000000001</v>
      </c>
      <c r="C243" s="2" t="s">
        <v>850</v>
      </c>
      <c r="D243" s="2" t="s">
        <v>248</v>
      </c>
      <c r="F243" s="2">
        <f>IF(Data!$H$2,IF(ISNUMBER(B243),B243,NA()),NA())</f>
        <v>16.440000000000001</v>
      </c>
    </row>
    <row r="244" spans="1:6" ht="21" customHeight="1">
      <c r="A244" s="164">
        <v>46295</v>
      </c>
      <c r="B244" s="10">
        <v>16.399999999999999</v>
      </c>
      <c r="C244" s="2" t="s">
        <v>850</v>
      </c>
      <c r="D244" s="2" t="s">
        <v>248</v>
      </c>
      <c r="F244" s="2">
        <f>IF(Data!$H$2,IF(ISNUMBER(B244),B244,NA()),NA())</f>
        <v>16.399999999999999</v>
      </c>
    </row>
    <row r="245" spans="1:6" ht="21" customHeight="1">
      <c r="A245" s="164">
        <v>46296</v>
      </c>
      <c r="B245" s="10">
        <v>16.440000000000001</v>
      </c>
      <c r="C245" s="2" t="s">
        <v>850</v>
      </c>
      <c r="D245" s="2" t="s">
        <v>248</v>
      </c>
      <c r="F245" s="2">
        <f>IF(Data!$H$2,IF(ISNUMBER(B245),B245,NA()),NA())</f>
        <v>16.440000000000001</v>
      </c>
    </row>
    <row r="246" spans="1:6" ht="21" customHeight="1">
      <c r="A246" s="164">
        <v>46297</v>
      </c>
      <c r="B246" s="10">
        <v>16.559999999999999</v>
      </c>
      <c r="C246" s="2" t="s">
        <v>850</v>
      </c>
      <c r="D246" s="2" t="s">
        <v>248</v>
      </c>
      <c r="F246" s="2">
        <f>IF(Data!$H$2,IF(ISNUMBER(B246),B246,NA()),NA())</f>
        <v>16.559999999999999</v>
      </c>
    </row>
    <row r="247" spans="1:6" ht="21" customHeight="1">
      <c r="A247" s="164">
        <v>46300</v>
      </c>
      <c r="B247" s="10">
        <v>16.670000000000002</v>
      </c>
      <c r="C247" s="2" t="s">
        <v>850</v>
      </c>
      <c r="D247" s="2" t="s">
        <v>248</v>
      </c>
      <c r="F247" s="2">
        <f>IF(Data!$H$2,IF(ISNUMBER(B247),B247,NA()),NA())</f>
        <v>16.670000000000002</v>
      </c>
    </row>
    <row r="248" spans="1:6" ht="21" customHeight="1">
      <c r="A248" s="164">
        <v>46301</v>
      </c>
      <c r="B248" s="10">
        <v>16.77</v>
      </c>
      <c r="C248" s="2" t="s">
        <v>850</v>
      </c>
      <c r="D248" s="2" t="s">
        <v>248</v>
      </c>
      <c r="F248" s="2">
        <f>IF(Data!$H$2,IF(ISNUMBER(B248),B248,NA()),NA())</f>
        <v>16.77</v>
      </c>
    </row>
    <row r="249" spans="1:6" ht="21" customHeight="1">
      <c r="A249" s="164">
        <v>46302</v>
      </c>
      <c r="B249" s="10">
        <v>16.71</v>
      </c>
      <c r="C249" s="2" t="s">
        <v>850</v>
      </c>
      <c r="D249" s="2" t="s">
        <v>248</v>
      </c>
      <c r="F249" s="2">
        <f>IF(Data!$H$2,IF(ISNUMBER(B249),B249,NA()),NA())</f>
        <v>16.71</v>
      </c>
    </row>
    <row r="250" spans="1:6" ht="21" customHeight="1">
      <c r="A250" s="164">
        <v>46303</v>
      </c>
      <c r="B250" s="10">
        <v>16.64</v>
      </c>
      <c r="C250" s="2" t="s">
        <v>850</v>
      </c>
      <c r="D250" s="2" t="s">
        <v>248</v>
      </c>
      <c r="F250" s="2">
        <f>IF(Data!$H$2,IF(ISNUMBER(B250),B250,NA()),NA())</f>
        <v>16.64</v>
      </c>
    </row>
    <row r="251" spans="1:6" ht="21" customHeight="1">
      <c r="A251" s="164">
        <v>46304</v>
      </c>
      <c r="B251" s="10">
        <v>16.739999999999998</v>
      </c>
      <c r="C251" s="2" t="s">
        <v>850</v>
      </c>
      <c r="D251" s="2" t="s">
        <v>248</v>
      </c>
      <c r="F251" s="2">
        <f>IF(Data!$H$2,IF(ISNUMBER(B251),B251,NA()),NA())</f>
        <v>16.739999999999998</v>
      </c>
    </row>
    <row r="252" spans="1:6" ht="21" customHeight="1">
      <c r="B252" s="11"/>
      <c r="F252" s="2" t="e">
        <f>IF(Data!$H$2,IF(ISNUMBER(B252),B252,NA()),NA())</f>
        <v>#N/A</v>
      </c>
    </row>
    <row r="253" spans="1:6" ht="21" customHeight="1">
      <c r="B253" s="11"/>
      <c r="F253" s="2" t="e">
        <f>IF(Data!$H$2,IF(ISNUMBER(B253),B253,NA()),NA())</f>
        <v>#N/A</v>
      </c>
    </row>
    <row r="254" spans="1:6" ht="21" customHeight="1">
      <c r="B254" s="11"/>
      <c r="F254" s="2" t="e">
        <f>IF(Data!$H$2,IF(ISNUMBER(B254),B254,NA()),NA())</f>
        <v>#N/A</v>
      </c>
    </row>
    <row r="255" spans="1:6" ht="21" customHeight="1">
      <c r="B255" s="11"/>
      <c r="F255" s="2" t="e">
        <f>IF(Data!$H$2,IF(ISNUMBER(B255),B255,NA()),NA())</f>
        <v>#N/A</v>
      </c>
    </row>
    <row r="256" spans="1:6" ht="21" customHeight="1">
      <c r="B256" s="11"/>
      <c r="F256" s="2" t="e">
        <f>IF(Data!$H$2,IF(ISNUMBER(B256),B256,NA()),NA())</f>
        <v>#N/A</v>
      </c>
    </row>
    <row r="257" spans="2:6" ht="21" customHeight="1">
      <c r="B257" s="11"/>
      <c r="F257" s="2" t="e">
        <f>IF(Data!$H$2,IF(ISNUMBER(B257),B257,NA()),NA())</f>
        <v>#N/A</v>
      </c>
    </row>
    <row r="258" spans="2:6" ht="21" customHeight="1">
      <c r="B258" s="11"/>
      <c r="F258" s="2" t="e">
        <f>IF(Data!$H$2,IF(ISNUMBER(B258),B258,NA()),NA())</f>
        <v>#N/A</v>
      </c>
    </row>
    <row r="259" spans="2:6" ht="21" customHeight="1">
      <c r="B259" s="11"/>
      <c r="F259" s="2" t="e">
        <f>IF(Data!$H$2,IF(ISNUMBER(B259),B259,NA()),NA())</f>
        <v>#N/A</v>
      </c>
    </row>
    <row r="260" spans="2:6" ht="21" customHeight="1">
      <c r="B260" s="11"/>
      <c r="F260" s="2" t="e">
        <f>IF(Data!$H$2,IF(ISNUMBER(B260),B260,NA()),NA())</f>
        <v>#N/A</v>
      </c>
    </row>
    <row r="261" spans="2:6" ht="21" customHeight="1">
      <c r="B261" s="11"/>
      <c r="F261" s="2" t="e">
        <f>IF(Data!$H$2,IF(ISNUMBER(B261),B261,NA()),NA())</f>
        <v>#N/A</v>
      </c>
    </row>
    <row r="262" spans="2:6" ht="21" customHeight="1">
      <c r="B262" s="11"/>
      <c r="F262" s="2" t="e">
        <f>IF(Data!$H$2,IF(ISNUMBER(B262),B262,NA()),NA())</f>
        <v>#N/A</v>
      </c>
    </row>
    <row r="263" spans="2:6" ht="21" customHeight="1">
      <c r="B263" s="11"/>
      <c r="F263" s="2" t="e">
        <f>IF(Data!$H$2,IF(ISNUMBER(B263),B263,NA()),NA())</f>
        <v>#N/A</v>
      </c>
    </row>
    <row r="264" spans="2:6" ht="21" customHeight="1">
      <c r="B264" s="11"/>
      <c r="F264" s="2" t="e">
        <f>IF(Data!$H$2,IF(ISNUMBER(B264),B264,NA()),NA())</f>
        <v>#N/A</v>
      </c>
    </row>
    <row r="265" spans="2:6" ht="21" customHeight="1">
      <c r="B265" s="11"/>
      <c r="F265" s="2" t="e">
        <f>IF(Data!$H$2,IF(ISNUMBER(B265),B265,NA()),NA())</f>
        <v>#N/A</v>
      </c>
    </row>
    <row r="266" spans="2:6" ht="21" customHeight="1">
      <c r="B266" s="11"/>
      <c r="F266" s="2" t="e">
        <f>IF(Data!$H$2,IF(ISNUMBER(B266),B266,NA()),NA())</f>
        <v>#N/A</v>
      </c>
    </row>
    <row r="267" spans="2:6" ht="21" customHeight="1">
      <c r="B267" s="11"/>
      <c r="F267" s="2" t="e">
        <f>IF(Data!$H$2,IF(ISNUMBER(B267),B267,NA()),NA())</f>
        <v>#N/A</v>
      </c>
    </row>
    <row r="268" spans="2:6" ht="21" customHeight="1">
      <c r="B268" s="11"/>
      <c r="F268" s="2" t="e">
        <f>IF(Data!$H$2,IF(ISNUMBER(B268),B268,NA()),NA())</f>
        <v>#N/A</v>
      </c>
    </row>
    <row r="269" spans="2:6" ht="21" customHeight="1">
      <c r="B269" s="11"/>
      <c r="F269" s="2" t="e">
        <f>IF(Data!$H$2,IF(ISNUMBER(B269),B269,NA()),NA())</f>
        <v>#N/A</v>
      </c>
    </row>
    <row r="270" spans="2:6" ht="21" customHeight="1">
      <c r="B270" s="11"/>
      <c r="F270" s="2" t="e">
        <f>IF(Data!$H$2,IF(ISNUMBER(B270),B270,NA()),NA())</f>
        <v>#N/A</v>
      </c>
    </row>
    <row r="271" spans="2:6" ht="21" customHeight="1">
      <c r="B271" s="11"/>
      <c r="F271" s="2" t="e">
        <f>IF(Data!$H$2,IF(ISNUMBER(B271),B271,NA()),NA())</f>
        <v>#N/A</v>
      </c>
    </row>
    <row r="272" spans="2:6" ht="21" customHeight="1">
      <c r="B272" s="11"/>
      <c r="F272" s="2" t="e">
        <f>IF(Data!$H$2,IF(ISNUMBER(B272),B272,NA()),NA())</f>
        <v>#N/A</v>
      </c>
    </row>
    <row r="273" spans="2:6" ht="21" customHeight="1">
      <c r="B273" s="11"/>
      <c r="F273" s="2" t="e">
        <f>IF(Data!$H$2,IF(ISNUMBER(B273),B273,NA()),NA())</f>
        <v>#N/A</v>
      </c>
    </row>
    <row r="274" spans="2:6" ht="21" customHeight="1">
      <c r="B274" s="11"/>
      <c r="F274" s="2" t="e">
        <f>IF(Data!$H$2,IF(ISNUMBER(B274),B274,NA()),NA())</f>
        <v>#N/A</v>
      </c>
    </row>
    <row r="275" spans="2:6" ht="21" customHeight="1">
      <c r="B275" s="11"/>
      <c r="F275" s="2" t="e">
        <f>IF(Data!$H$2,IF(ISNUMBER(B275),B275,NA()),NA())</f>
        <v>#N/A</v>
      </c>
    </row>
    <row r="276" spans="2:6" ht="21" customHeight="1">
      <c r="B276" s="11"/>
      <c r="F276" s="2" t="e">
        <f>IF(Data!$H$2,IF(ISNUMBER(B276),B276,NA()),NA())</f>
        <v>#N/A</v>
      </c>
    </row>
    <row r="277" spans="2:6" ht="21" customHeight="1">
      <c r="B277" s="11"/>
      <c r="F277" s="2" t="e">
        <f>IF(Data!$H$2,IF(ISNUMBER(B277),B277,NA()),NA())</f>
        <v>#N/A</v>
      </c>
    </row>
    <row r="278" spans="2:6" ht="21" customHeight="1">
      <c r="B278" s="11"/>
      <c r="F278" s="2" t="e">
        <f>IF(Data!$H$2,IF(ISNUMBER(B278),B278,NA()),NA())</f>
        <v>#N/A</v>
      </c>
    </row>
    <row r="279" spans="2:6" ht="21" customHeight="1">
      <c r="B279" s="11"/>
      <c r="F279" s="2" t="e">
        <f>IF(Data!$H$2,IF(ISNUMBER(B279),B279,NA()),NA())</f>
        <v>#N/A</v>
      </c>
    </row>
    <row r="280" spans="2:6" ht="21" customHeight="1">
      <c r="B280" s="11"/>
      <c r="F280" s="2" t="e">
        <f>IF(Data!$H$2,IF(ISNUMBER(B280),B280,NA()),NA())</f>
        <v>#N/A</v>
      </c>
    </row>
    <row r="281" spans="2:6" ht="21" customHeight="1">
      <c r="B281" s="11"/>
      <c r="F281" s="2" t="e">
        <f>IF(Data!$H$2,IF(ISNUMBER(B281),B281,NA()),NA())</f>
        <v>#N/A</v>
      </c>
    </row>
    <row r="282" spans="2:6" ht="21" customHeight="1">
      <c r="B282" s="11"/>
      <c r="F282" s="2" t="e">
        <f>IF(Data!$H$2,IF(ISNUMBER(B282),B282,NA()),NA())</f>
        <v>#N/A</v>
      </c>
    </row>
    <row r="283" spans="2:6" ht="21" customHeight="1">
      <c r="B283" s="11"/>
      <c r="F283" s="2" t="e">
        <f>IF(Data!$H$2,IF(ISNUMBER(B283),B283,NA()),NA())</f>
        <v>#N/A</v>
      </c>
    </row>
    <row r="284" spans="2:6" ht="21" customHeight="1">
      <c r="B284" s="11"/>
      <c r="F284" s="2" t="e">
        <f>IF(Data!$H$2,IF(ISNUMBER(B284),B284,NA()),NA())</f>
        <v>#N/A</v>
      </c>
    </row>
    <row r="285" spans="2:6" ht="21" customHeight="1">
      <c r="B285" s="11"/>
      <c r="F285" s="2" t="e">
        <f>IF(Data!$H$2,IF(ISNUMBER(B285),B285,NA()),NA())</f>
        <v>#N/A</v>
      </c>
    </row>
    <row r="286" spans="2:6" ht="21" customHeight="1">
      <c r="B286" s="11"/>
      <c r="F286" s="2" t="e">
        <f>IF(Data!$H$2,IF(ISNUMBER(B286),B286,NA()),NA())</f>
        <v>#N/A</v>
      </c>
    </row>
    <row r="287" spans="2:6" ht="21" customHeight="1">
      <c r="B287" s="11"/>
      <c r="F287" s="2" t="e">
        <f>IF(Data!$H$2,IF(ISNUMBER(B287),B287,NA()),NA())</f>
        <v>#N/A</v>
      </c>
    </row>
    <row r="288" spans="2:6" ht="21" customHeight="1">
      <c r="B288" s="11"/>
      <c r="F288" s="2" t="e">
        <f>IF(Data!$H$2,IF(ISNUMBER(B288),B288,NA()),NA())</f>
        <v>#N/A</v>
      </c>
    </row>
    <row r="289" spans="2:6" ht="21" customHeight="1">
      <c r="B289" s="11"/>
      <c r="F289" s="2" t="e">
        <f>IF(Data!$H$2,IF(ISNUMBER(B289),B289,NA()),NA())</f>
        <v>#N/A</v>
      </c>
    </row>
    <row r="290" spans="2:6" ht="21" customHeight="1">
      <c r="B290" s="11"/>
      <c r="F290" s="2" t="e">
        <f>IF(Data!$H$2,IF(ISNUMBER(B290),B290,NA()),NA())</f>
        <v>#N/A</v>
      </c>
    </row>
    <row r="291" spans="2:6" ht="21" customHeight="1">
      <c r="B291" s="11"/>
      <c r="F291" s="2" t="e">
        <f>IF(Data!$H$2,IF(ISNUMBER(B291),B291,NA()),NA())</f>
        <v>#N/A</v>
      </c>
    </row>
    <row r="292" spans="2:6" ht="21" customHeight="1">
      <c r="B292" s="11"/>
      <c r="F292" s="2" t="e">
        <f>IF(Data!$H$2,IF(ISNUMBER(B292),B292,NA()),NA())</f>
        <v>#N/A</v>
      </c>
    </row>
    <row r="293" spans="2:6" ht="21" customHeight="1">
      <c r="B293" s="11"/>
      <c r="F293" s="2" t="e">
        <f>IF(Data!$H$2,IF(ISNUMBER(B293),B293,NA()),NA())</f>
        <v>#N/A</v>
      </c>
    </row>
    <row r="294" spans="2:6" ht="21" customHeight="1">
      <c r="B294" s="11"/>
      <c r="F294" s="2" t="e">
        <f>IF(Data!$H$2,IF(ISNUMBER(B294),B294,NA()),NA())</f>
        <v>#N/A</v>
      </c>
    </row>
    <row r="295" spans="2:6" ht="21" customHeight="1">
      <c r="B295" s="11"/>
      <c r="F295" s="2" t="e">
        <f>IF(Data!$H$2,IF(ISNUMBER(B295),B295,NA()),NA())</f>
        <v>#N/A</v>
      </c>
    </row>
    <row r="296" spans="2:6" ht="21" customHeight="1">
      <c r="B296" s="11"/>
      <c r="F296" s="2" t="e">
        <f>IF(Data!$H$2,IF(ISNUMBER(B296),B296,NA()),NA())</f>
        <v>#N/A</v>
      </c>
    </row>
    <row r="297" spans="2:6" ht="21" customHeight="1">
      <c r="B297" s="11"/>
      <c r="F297" s="2" t="e">
        <f>IF(Data!$H$2,IF(ISNUMBER(B297),B297,NA()),NA())</f>
        <v>#N/A</v>
      </c>
    </row>
    <row r="298" spans="2:6" ht="21" customHeight="1">
      <c r="B298" s="11"/>
      <c r="F298" s="2" t="e">
        <f>IF(Data!$H$2,IF(ISNUMBER(B298),B298,NA()),NA())</f>
        <v>#N/A</v>
      </c>
    </row>
    <row r="299" spans="2:6" ht="21" customHeight="1">
      <c r="B299" s="11"/>
      <c r="F299" s="2" t="e">
        <f>IF(Data!$H$2,IF(ISNUMBER(B299),B299,NA()),NA())</f>
        <v>#N/A</v>
      </c>
    </row>
    <row r="300" spans="2:6" ht="21" customHeight="1">
      <c r="B300" s="11"/>
      <c r="F300" s="2" t="e">
        <f>IF(Data!$H$2,IF(ISNUMBER(B300),B300,NA()),NA())</f>
        <v>#N/A</v>
      </c>
    </row>
    <row r="301" spans="2:6" ht="21" customHeight="1">
      <c r="B301" s="11"/>
      <c r="F301" s="2" t="e">
        <f>IF(Data!$H$2,IF(ISNUMBER(B301),B301,NA()),NA())</f>
        <v>#N/A</v>
      </c>
    </row>
    <row r="302" spans="2:6" ht="21" customHeight="1">
      <c r="B302" s="11"/>
      <c r="F302" s="2" t="e">
        <f>IF(Data!$H$2,IF(ISNUMBER(B302),B302,NA()),NA())</f>
        <v>#N/A</v>
      </c>
    </row>
    <row r="303" spans="2:6" ht="21" customHeight="1">
      <c r="B303" s="11"/>
      <c r="F303" s="2" t="e">
        <f>IF(Data!$H$2,IF(ISNUMBER(B303),B303,NA()),NA())</f>
        <v>#N/A</v>
      </c>
    </row>
    <row r="304" spans="2:6" ht="21" customHeight="1">
      <c r="B304" s="11"/>
      <c r="F304" s="2" t="e">
        <f>IF(Data!$H$2,IF(ISNUMBER(B304),B304,NA()),NA())</f>
        <v>#N/A</v>
      </c>
    </row>
    <row r="305" spans="2:6" ht="21" customHeight="1">
      <c r="B305" s="11"/>
      <c r="F305" s="2" t="e">
        <f>IF(Data!$H$2,IF(ISNUMBER(B305),B305,NA()),NA())</f>
        <v>#N/A</v>
      </c>
    </row>
    <row r="306" spans="2:6" ht="21" customHeight="1">
      <c r="B306" s="11"/>
      <c r="F306" s="2" t="e">
        <f>IF(Data!$H$2,IF(ISNUMBER(B306),B306,NA()),NA())</f>
        <v>#N/A</v>
      </c>
    </row>
    <row r="307" spans="2:6" ht="21" customHeight="1">
      <c r="B307" s="11"/>
      <c r="F307" s="2" t="e">
        <f>IF(Data!$H$2,IF(ISNUMBER(B307),B307,NA()),NA())</f>
        <v>#N/A</v>
      </c>
    </row>
    <row r="308" spans="2:6" ht="21" customHeight="1">
      <c r="B308" s="11"/>
      <c r="F308" s="2" t="e">
        <f>IF(Data!$H$2,IF(ISNUMBER(B308),B308,NA()),NA())</f>
        <v>#N/A</v>
      </c>
    </row>
    <row r="309" spans="2:6" ht="21" customHeight="1">
      <c r="B309" s="11"/>
      <c r="F309" s="2" t="e">
        <f>IF(Data!$H$2,IF(ISNUMBER(B309),B309,NA()),NA())</f>
        <v>#N/A</v>
      </c>
    </row>
    <row r="310" spans="2:6" ht="21" customHeight="1">
      <c r="B310" s="11"/>
      <c r="F310" s="2" t="e">
        <f>IF(Data!$H$2,IF(ISNUMBER(B310),B310,NA()),NA())</f>
        <v>#N/A</v>
      </c>
    </row>
    <row r="311" spans="2:6" ht="21" customHeight="1">
      <c r="B311" s="11"/>
      <c r="F311" s="2" t="e">
        <f>IF(Data!$H$2,IF(ISNUMBER(B311),B311,NA()),NA())</f>
        <v>#N/A</v>
      </c>
    </row>
    <row r="312" spans="2:6" ht="21" customHeight="1">
      <c r="B312" s="11"/>
      <c r="F312" s="2" t="e">
        <f>IF(Data!$H$2,IF(ISNUMBER(B312),B312,NA()),NA())</f>
        <v>#N/A</v>
      </c>
    </row>
    <row r="313" spans="2:6" ht="21" customHeight="1">
      <c r="B313" s="11"/>
      <c r="F313" s="2" t="e">
        <f>IF(Data!$H$2,IF(ISNUMBER(B313),B313,NA()),NA())</f>
        <v>#N/A</v>
      </c>
    </row>
    <row r="314" spans="2:6" ht="21" customHeight="1">
      <c r="B314" s="11"/>
      <c r="F314" s="2" t="e">
        <f>IF(Data!$H$2,IF(ISNUMBER(B314),B314,NA()),NA())</f>
        <v>#N/A</v>
      </c>
    </row>
    <row r="315" spans="2:6" ht="21" customHeight="1">
      <c r="B315" s="11"/>
      <c r="F315" s="2" t="e">
        <f>IF(Data!$H$2,IF(ISNUMBER(B315),B315,NA()),NA())</f>
        <v>#N/A</v>
      </c>
    </row>
    <row r="316" spans="2:6" ht="21" customHeight="1">
      <c r="B316" s="11"/>
      <c r="F316" s="2" t="e">
        <f>IF(Data!$H$2,IF(ISNUMBER(B316),B316,NA()),NA())</f>
        <v>#N/A</v>
      </c>
    </row>
    <row r="317" spans="2:6" ht="21" customHeight="1">
      <c r="B317" s="11"/>
      <c r="F317" s="2" t="e">
        <f>IF(Data!$H$2,IF(ISNUMBER(B317),B317,NA()),NA())</f>
        <v>#N/A</v>
      </c>
    </row>
    <row r="318" spans="2:6" ht="21" customHeight="1">
      <c r="B318" s="11"/>
      <c r="F318" s="2" t="e">
        <f>IF(Data!$H$2,IF(ISNUMBER(B318),B318,NA()),NA())</f>
        <v>#N/A</v>
      </c>
    </row>
    <row r="319" spans="2:6" ht="21" customHeight="1">
      <c r="B319" s="11"/>
      <c r="F319" s="2" t="e">
        <f>IF(Data!$H$2,IF(ISNUMBER(B319),B319,NA()),NA())</f>
        <v>#N/A</v>
      </c>
    </row>
    <row r="320" spans="2:6" ht="21" customHeight="1">
      <c r="B320" s="11"/>
      <c r="F320" s="2" t="e">
        <f>IF(Data!$H$2,IF(ISNUMBER(B320),B320,NA()),NA())</f>
        <v>#N/A</v>
      </c>
    </row>
    <row r="321" spans="2:6" ht="21" customHeight="1">
      <c r="B321" s="11"/>
      <c r="F321" s="2" t="e">
        <f>IF(Data!$H$2,IF(ISNUMBER(B321),B321,NA()),NA())</f>
        <v>#N/A</v>
      </c>
    </row>
    <row r="322" spans="2:6" ht="21" customHeight="1">
      <c r="B322" s="11"/>
      <c r="F322" s="2" t="e">
        <f>IF(Data!$H$2,IF(ISNUMBER(B322),B322,NA()),NA())</f>
        <v>#N/A</v>
      </c>
    </row>
    <row r="323" spans="2:6" ht="21" customHeight="1">
      <c r="B323" s="11"/>
      <c r="F323" s="2" t="e">
        <f>IF(Data!$H$2,IF(ISNUMBER(B323),B323,NA()),NA())</f>
        <v>#N/A</v>
      </c>
    </row>
    <row r="324" spans="2:6" ht="21" customHeight="1">
      <c r="B324" s="11"/>
      <c r="F324" s="2" t="e">
        <f>IF(Data!$H$2,IF(ISNUMBER(B324),B324,NA()),NA())</f>
        <v>#N/A</v>
      </c>
    </row>
    <row r="325" spans="2:6" ht="21" customHeight="1">
      <c r="B325" s="11"/>
      <c r="F325" s="2" t="e">
        <f>IF(Data!$H$2,IF(ISNUMBER(B325),B325,NA()),NA())</f>
        <v>#N/A</v>
      </c>
    </row>
    <row r="326" spans="2:6" ht="21" customHeight="1">
      <c r="B326" s="11"/>
      <c r="F326" s="2" t="e">
        <f>IF(Data!$H$2,IF(ISNUMBER(B326),B326,NA()),NA())</f>
        <v>#N/A</v>
      </c>
    </row>
    <row r="327" spans="2:6" ht="21" customHeight="1">
      <c r="B327" s="11"/>
      <c r="F327" s="2" t="e">
        <f>IF(Data!$H$2,IF(ISNUMBER(B327),B327,NA()),NA())</f>
        <v>#N/A</v>
      </c>
    </row>
    <row r="328" spans="2:6" ht="21" customHeight="1">
      <c r="B328" s="11"/>
      <c r="F328" s="2" t="e">
        <f>IF(Data!$H$2,IF(ISNUMBER(B328),B328,NA()),NA())</f>
        <v>#N/A</v>
      </c>
    </row>
    <row r="329" spans="2:6" ht="21" customHeight="1">
      <c r="B329" s="11"/>
      <c r="F329" s="2" t="e">
        <f>IF(Data!$H$2,IF(ISNUMBER(B329),B329,NA()),NA())</f>
        <v>#N/A</v>
      </c>
    </row>
    <row r="330" spans="2:6" ht="21" customHeight="1">
      <c r="B330" s="11"/>
      <c r="F330" s="2" t="e">
        <f>IF(Data!$H$2,IF(ISNUMBER(B330),B330,NA()),NA())</f>
        <v>#N/A</v>
      </c>
    </row>
    <row r="331" spans="2:6" ht="21" customHeight="1">
      <c r="B331" s="11"/>
      <c r="F331" s="2" t="e">
        <f>IF(Data!$H$2,IF(ISNUMBER(B331),B331,NA()),NA())</f>
        <v>#N/A</v>
      </c>
    </row>
    <row r="332" spans="2:6" ht="21" customHeight="1">
      <c r="B332" s="11"/>
      <c r="F332" s="2" t="e">
        <f>IF(Data!$H$2,IF(ISNUMBER(B332),B332,NA()),NA())</f>
        <v>#N/A</v>
      </c>
    </row>
    <row r="333" spans="2:6" ht="21" customHeight="1">
      <c r="B333" s="11"/>
      <c r="F333" s="2" t="e">
        <f>IF(Data!$H$2,IF(ISNUMBER(B333),B333,NA()),NA())</f>
        <v>#N/A</v>
      </c>
    </row>
    <row r="334" spans="2:6" ht="21" customHeight="1">
      <c r="B334" s="11"/>
      <c r="F334" s="2" t="e">
        <f>IF(Data!$H$2,IF(ISNUMBER(B334),B334,NA()),NA())</f>
        <v>#N/A</v>
      </c>
    </row>
    <row r="335" spans="2:6" ht="21" customHeight="1">
      <c r="B335" s="11"/>
      <c r="F335" s="2" t="e">
        <f>IF(Data!$H$2,IF(ISNUMBER(B335),B335,NA()),NA())</f>
        <v>#N/A</v>
      </c>
    </row>
    <row r="336" spans="2:6" ht="21" customHeight="1">
      <c r="B336" s="11"/>
      <c r="F336" s="2" t="e">
        <f>IF(Data!$H$2,IF(ISNUMBER(B336),B336,NA()),NA())</f>
        <v>#N/A</v>
      </c>
    </row>
    <row r="337" spans="2:6" ht="21" customHeight="1">
      <c r="B337" s="11"/>
      <c r="F337" s="2" t="e">
        <f>IF(Data!$H$2,IF(ISNUMBER(B337),B337,NA()),NA())</f>
        <v>#N/A</v>
      </c>
    </row>
    <row r="338" spans="2:6" ht="21" customHeight="1">
      <c r="B338" s="11"/>
      <c r="F338" s="2" t="e">
        <f>IF(Data!$H$2,IF(ISNUMBER(B338),B338,NA()),NA())</f>
        <v>#N/A</v>
      </c>
    </row>
    <row r="339" spans="2:6" ht="21" customHeight="1">
      <c r="B339" s="11"/>
      <c r="F339" s="2" t="e">
        <f>IF(Data!$H$2,IF(ISNUMBER(B339),B339,NA()),NA())</f>
        <v>#N/A</v>
      </c>
    </row>
    <row r="340" spans="2:6" ht="21" customHeight="1">
      <c r="B340" s="11"/>
      <c r="F340" s="2" t="e">
        <f>IF(Data!$H$2,IF(ISNUMBER(B340),B340,NA()),NA())</f>
        <v>#N/A</v>
      </c>
    </row>
    <row r="341" spans="2:6" ht="21" customHeight="1">
      <c r="B341" s="11"/>
      <c r="F341" s="2" t="e">
        <f>IF(Data!$H$2,IF(ISNUMBER(B341),B341,NA()),NA())</f>
        <v>#N/A</v>
      </c>
    </row>
    <row r="342" spans="2:6" ht="21" customHeight="1">
      <c r="B342" s="11"/>
      <c r="F342" s="2" t="e">
        <f>IF(Data!$H$2,IF(ISNUMBER(B342),B342,NA()),NA())</f>
        <v>#N/A</v>
      </c>
    </row>
    <row r="343" spans="2:6" ht="21" customHeight="1">
      <c r="B343" s="11"/>
      <c r="F343" s="2" t="e">
        <f>IF(Data!$H$2,IF(ISNUMBER(B343),B343,NA()),NA())</f>
        <v>#N/A</v>
      </c>
    </row>
    <row r="344" spans="2:6" ht="21" customHeight="1">
      <c r="B344" s="11"/>
      <c r="F344" s="2" t="e">
        <f>IF(Data!$H$2,IF(ISNUMBER(B344),B344,NA()),NA())</f>
        <v>#N/A</v>
      </c>
    </row>
    <row r="345" spans="2:6" ht="21" customHeight="1">
      <c r="B345" s="11"/>
      <c r="F345" s="2" t="e">
        <f>IF(Data!$H$2,IF(ISNUMBER(B345),B345,NA()),NA())</f>
        <v>#N/A</v>
      </c>
    </row>
    <row r="346" spans="2:6" ht="21" customHeight="1">
      <c r="B346" s="11"/>
      <c r="F346" s="2" t="e">
        <f>IF(Data!$H$2,IF(ISNUMBER(B346),B346,NA()),NA())</f>
        <v>#N/A</v>
      </c>
    </row>
    <row r="347" spans="2:6" ht="21" customHeight="1">
      <c r="B347" s="11"/>
      <c r="F347" s="2" t="e">
        <f>IF(Data!$H$2,IF(ISNUMBER(B347),B347,NA()),NA())</f>
        <v>#N/A</v>
      </c>
    </row>
    <row r="348" spans="2:6" ht="21" customHeight="1">
      <c r="B348" s="11"/>
      <c r="F348" s="2" t="e">
        <f>IF(Data!$H$2,IF(ISNUMBER(B348),B348,NA()),NA())</f>
        <v>#N/A</v>
      </c>
    </row>
    <row r="349" spans="2:6" ht="21" customHeight="1">
      <c r="B349" s="11"/>
      <c r="F349" s="2" t="e">
        <f>IF(Data!$H$2,IF(ISNUMBER(B349),B349,NA()),NA())</f>
        <v>#N/A</v>
      </c>
    </row>
    <row r="350" spans="2:6" ht="21" customHeight="1">
      <c r="B350" s="11"/>
      <c r="F350" s="2" t="e">
        <f>IF(Data!$H$2,IF(ISNUMBER(B350),B350,NA()),NA())</f>
        <v>#N/A</v>
      </c>
    </row>
    <row r="351" spans="2:6" ht="21" customHeight="1">
      <c r="B351" s="11"/>
      <c r="F351" s="2" t="e">
        <f>IF(Data!$H$2,IF(ISNUMBER(B351),B351,NA()),NA())</f>
        <v>#N/A</v>
      </c>
    </row>
    <row r="352" spans="2:6" ht="21" customHeight="1">
      <c r="B352" s="11"/>
      <c r="F352" s="2" t="e">
        <f>IF(Data!$H$2,IF(ISNUMBER(B352),B352,NA()),NA())</f>
        <v>#N/A</v>
      </c>
    </row>
    <row r="353" spans="2:6" ht="21" customHeight="1">
      <c r="B353" s="11"/>
      <c r="F353" s="2" t="e">
        <f>IF(Data!$H$2,IF(ISNUMBER(B353),B353,NA()),NA())</f>
        <v>#N/A</v>
      </c>
    </row>
    <row r="354" spans="2:6" ht="21" customHeight="1">
      <c r="B354" s="11"/>
      <c r="F354" s="2" t="e">
        <f>IF(Data!$H$2,IF(ISNUMBER(B354),B354,NA()),NA())</f>
        <v>#N/A</v>
      </c>
    </row>
    <row r="355" spans="2:6" ht="21" customHeight="1">
      <c r="B355" s="11"/>
      <c r="F355" s="2" t="e">
        <f>IF(Data!$H$2,IF(ISNUMBER(B355),B355,NA()),NA())</f>
        <v>#N/A</v>
      </c>
    </row>
    <row r="356" spans="2:6" ht="21" customHeight="1">
      <c r="B356" s="11"/>
      <c r="F356" s="2" t="e">
        <f>IF(Data!$H$2,IF(ISNUMBER(B356),B356,NA()),NA())</f>
        <v>#N/A</v>
      </c>
    </row>
    <row r="357" spans="2:6" ht="21" customHeight="1">
      <c r="B357" s="11"/>
      <c r="F357" s="2" t="e">
        <f>IF(Data!$H$2,IF(ISNUMBER(B357),B357,NA()),NA())</f>
        <v>#N/A</v>
      </c>
    </row>
    <row r="358" spans="2:6" ht="21" customHeight="1">
      <c r="B358" s="11"/>
      <c r="F358" s="2" t="e">
        <f>IF(Data!$H$2,IF(ISNUMBER(B358),B358,NA()),NA())</f>
        <v>#N/A</v>
      </c>
    </row>
    <row r="359" spans="2:6" ht="21" customHeight="1">
      <c r="B359" s="11"/>
      <c r="F359" s="2" t="e">
        <f>IF(Data!$H$2,IF(ISNUMBER(B359),B359,NA()),NA())</f>
        <v>#N/A</v>
      </c>
    </row>
    <row r="360" spans="2:6" ht="21" customHeight="1">
      <c r="B360" s="11"/>
      <c r="F360" s="2" t="e">
        <f>IF(Data!$H$2,IF(ISNUMBER(B360),B360,NA()),NA())</f>
        <v>#N/A</v>
      </c>
    </row>
    <row r="361" spans="2:6" ht="21" customHeight="1">
      <c r="B361" s="11"/>
      <c r="F361" s="2" t="e">
        <f>IF(Data!$H$2,IF(ISNUMBER(B361),B361,NA()),NA())</f>
        <v>#N/A</v>
      </c>
    </row>
    <row r="362" spans="2:6" ht="21" customHeight="1">
      <c r="B362" s="11"/>
      <c r="F362" s="2" t="e">
        <f>IF(Data!$H$2,IF(ISNUMBER(B362),B362,NA()),NA())</f>
        <v>#N/A</v>
      </c>
    </row>
    <row r="363" spans="2:6" ht="21" customHeight="1">
      <c r="B363" s="11"/>
      <c r="F363" s="2" t="e">
        <f>IF(Data!$H$2,IF(ISNUMBER(B363),B363,NA()),NA())</f>
        <v>#N/A</v>
      </c>
    </row>
    <row r="364" spans="2:6" ht="21" customHeight="1">
      <c r="B364" s="11"/>
      <c r="F364" s="2" t="e">
        <f>IF(Data!$H$2,IF(ISNUMBER(B364),B364,NA()),NA())</f>
        <v>#N/A</v>
      </c>
    </row>
    <row r="365" spans="2:6" ht="21" customHeight="1">
      <c r="B365" s="11"/>
      <c r="F365" s="2" t="e">
        <f>IF(Data!$H$2,IF(ISNUMBER(B365),B365,NA()),NA())</f>
        <v>#N/A</v>
      </c>
    </row>
    <row r="366" spans="2:6" ht="21" customHeight="1">
      <c r="B366" s="11"/>
      <c r="F366" s="2" t="e">
        <f>IF(Data!$H$2,IF(ISNUMBER(B366),B366,NA()),NA())</f>
        <v>#N/A</v>
      </c>
    </row>
    <row r="367" spans="2:6" ht="21" customHeight="1">
      <c r="B367" s="11"/>
      <c r="F367" s="2" t="e">
        <f>IF(Data!$H$2,IF(ISNUMBER(B367),B367,NA()),NA())</f>
        <v>#N/A</v>
      </c>
    </row>
    <row r="368" spans="2:6" ht="21" customHeight="1">
      <c r="B368" s="11"/>
      <c r="F368" s="2" t="e">
        <f>IF(Data!$H$2,IF(ISNUMBER(B368),B368,NA()),NA())</f>
        <v>#N/A</v>
      </c>
    </row>
    <row r="369" spans="2:6" ht="21" customHeight="1">
      <c r="B369" s="11"/>
      <c r="F369" s="2" t="e">
        <f>IF(Data!$H$2,IF(ISNUMBER(B369),B369,NA()),NA())</f>
        <v>#N/A</v>
      </c>
    </row>
    <row r="370" spans="2:6" ht="21" customHeight="1">
      <c r="B370" s="11"/>
      <c r="F370" s="2" t="e">
        <f>IF(Data!$H$2,IF(ISNUMBER(B370),B370,NA()),NA())</f>
        <v>#N/A</v>
      </c>
    </row>
    <row r="371" spans="2:6" ht="21" customHeight="1">
      <c r="B371" s="11"/>
      <c r="F371" s="2" t="e">
        <f>IF(Data!$H$2,IF(ISNUMBER(B371),B371,NA()),NA())</f>
        <v>#N/A</v>
      </c>
    </row>
    <row r="372" spans="2:6" ht="21" customHeight="1">
      <c r="B372" s="11"/>
      <c r="F372" s="2" t="e">
        <f>IF(Data!$H$2,IF(ISNUMBER(B372),B372,NA()),NA())</f>
        <v>#N/A</v>
      </c>
    </row>
    <row r="373" spans="2:6" ht="21" customHeight="1">
      <c r="B373" s="11"/>
      <c r="F373" s="2" t="e">
        <f>IF(Data!$H$2,IF(ISNUMBER(B373),B373,NA()),NA())</f>
        <v>#N/A</v>
      </c>
    </row>
    <row r="374" spans="2:6" ht="21" customHeight="1">
      <c r="B374" s="11"/>
      <c r="F374" s="2" t="e">
        <f>IF(Data!$H$2,IF(ISNUMBER(B374),B374,NA()),NA())</f>
        <v>#N/A</v>
      </c>
    </row>
    <row r="375" spans="2:6" ht="21" customHeight="1">
      <c r="B375" s="11"/>
      <c r="F375" s="2" t="e">
        <f>IF(Data!$H$2,IF(ISNUMBER(B375),B375,NA()),NA())</f>
        <v>#N/A</v>
      </c>
    </row>
    <row r="376" spans="2:6" ht="21" customHeight="1">
      <c r="B376" s="11"/>
      <c r="F376" s="2" t="e">
        <f>IF(Data!$H$2,IF(ISNUMBER(B376),B376,NA()),NA())</f>
        <v>#N/A</v>
      </c>
    </row>
    <row r="377" spans="2:6" ht="21" customHeight="1">
      <c r="B377" s="11"/>
      <c r="F377" s="2" t="e">
        <f>IF(Data!$H$2,IF(ISNUMBER(B377),B377,NA()),NA())</f>
        <v>#N/A</v>
      </c>
    </row>
    <row r="378" spans="2:6" ht="21" customHeight="1">
      <c r="B378" s="11"/>
      <c r="F378" s="2" t="e">
        <f>IF(Data!$H$2,IF(ISNUMBER(B378),B378,NA()),NA())</f>
        <v>#N/A</v>
      </c>
    </row>
    <row r="379" spans="2:6" ht="21" customHeight="1">
      <c r="B379" s="11"/>
      <c r="F379" s="2" t="e">
        <f>IF(Data!$H$2,IF(ISNUMBER(B379),B379,NA()),NA())</f>
        <v>#N/A</v>
      </c>
    </row>
    <row r="380" spans="2:6" ht="21" customHeight="1">
      <c r="B380" s="11"/>
      <c r="F380" s="2" t="e">
        <f>IF(Data!$H$2,IF(ISNUMBER(B380),B380,NA()),NA())</f>
        <v>#N/A</v>
      </c>
    </row>
    <row r="381" spans="2:6" ht="21" customHeight="1">
      <c r="B381" s="11"/>
      <c r="F381" s="2" t="e">
        <f>IF(Data!$H$2,IF(ISNUMBER(B381),B381,NA()),NA())</f>
        <v>#N/A</v>
      </c>
    </row>
    <row r="382" spans="2:6" ht="21" customHeight="1">
      <c r="B382" s="11"/>
      <c r="F382" s="2" t="e">
        <f>IF(Data!$H$2,IF(ISNUMBER(B382),B382,NA()),NA())</f>
        <v>#N/A</v>
      </c>
    </row>
    <row r="383" spans="2:6" ht="21" customHeight="1">
      <c r="B383" s="11"/>
      <c r="F383" s="2" t="e">
        <f>IF(Data!$H$2,IF(ISNUMBER(B383),B383,NA()),NA())</f>
        <v>#N/A</v>
      </c>
    </row>
    <row r="384" spans="2:6" ht="21" customHeight="1">
      <c r="B384" s="11"/>
      <c r="F384" s="2" t="e">
        <f>IF(Data!$H$2,IF(ISNUMBER(B384),B384,NA()),NA())</f>
        <v>#N/A</v>
      </c>
    </row>
    <row r="385" spans="2:6" ht="21" customHeight="1">
      <c r="B385" s="11"/>
      <c r="F385" s="2" t="e">
        <f>IF(Data!$H$2,IF(ISNUMBER(B385),B385,NA()),NA())</f>
        <v>#N/A</v>
      </c>
    </row>
    <row r="386" spans="2:6" ht="21" customHeight="1">
      <c r="B386" s="11"/>
      <c r="F386" s="2" t="e">
        <f>IF(Data!$H$2,IF(ISNUMBER(B386),B386,NA()),NA())</f>
        <v>#N/A</v>
      </c>
    </row>
    <row r="387" spans="2:6" ht="21" customHeight="1">
      <c r="B387" s="11"/>
      <c r="F387" s="2" t="e">
        <f>IF(Data!$H$2,IF(ISNUMBER(B387),B387,NA()),NA())</f>
        <v>#N/A</v>
      </c>
    </row>
    <row r="388" spans="2:6" ht="21" customHeight="1">
      <c r="B388" s="11"/>
      <c r="F388" s="2" t="e">
        <f>IF(Data!$H$2,IF(ISNUMBER(B388),B388,NA()),NA())</f>
        <v>#N/A</v>
      </c>
    </row>
    <row r="389" spans="2:6" ht="21" customHeight="1">
      <c r="B389" s="11"/>
      <c r="F389" s="2" t="e">
        <f>IF(Data!$H$2,IF(ISNUMBER(B389),B389,NA()),NA())</f>
        <v>#N/A</v>
      </c>
    </row>
    <row r="390" spans="2:6" ht="21" customHeight="1">
      <c r="B390" s="11"/>
      <c r="F390" s="2" t="e">
        <f>IF(Data!$H$2,IF(ISNUMBER(B390),B390,NA()),NA())</f>
        <v>#N/A</v>
      </c>
    </row>
    <row r="391" spans="2:6" ht="21" customHeight="1">
      <c r="B391" s="11"/>
      <c r="F391" s="2" t="e">
        <f>IF(Data!$H$2,IF(ISNUMBER(B391),B391,NA()),NA())</f>
        <v>#N/A</v>
      </c>
    </row>
    <row r="392" spans="2:6" ht="21" customHeight="1">
      <c r="B392" s="11"/>
      <c r="F392" s="2" t="e">
        <f>IF(Data!$H$2,IF(ISNUMBER(B392),B392,NA()),NA())</f>
        <v>#N/A</v>
      </c>
    </row>
    <row r="393" spans="2:6" ht="21" customHeight="1">
      <c r="B393" s="11"/>
      <c r="F393" s="2" t="e">
        <f>IF(Data!$H$2,IF(ISNUMBER(B393),B393,NA()),NA())</f>
        <v>#N/A</v>
      </c>
    </row>
    <row r="394" spans="2:6" ht="21" customHeight="1">
      <c r="B394" s="11"/>
      <c r="F394" s="2" t="e">
        <f>IF(Data!$H$2,IF(ISNUMBER(B394),B394,NA()),NA())</f>
        <v>#N/A</v>
      </c>
    </row>
    <row r="395" spans="2:6" ht="21" customHeight="1">
      <c r="B395" s="11"/>
      <c r="F395" s="2" t="e">
        <f>IF(Data!$H$2,IF(ISNUMBER(B395),B395,NA()),NA())</f>
        <v>#N/A</v>
      </c>
    </row>
    <row r="396" spans="2:6" ht="21" customHeight="1">
      <c r="B396" s="11"/>
      <c r="F396" s="2" t="e">
        <f>IF(Data!$H$2,IF(ISNUMBER(B396),B396,NA()),NA())</f>
        <v>#N/A</v>
      </c>
    </row>
    <row r="397" spans="2:6" ht="21" customHeight="1">
      <c r="B397" s="11"/>
      <c r="F397" s="2" t="e">
        <f>IF(Data!$H$2,IF(ISNUMBER(B397),B397,NA()),NA())</f>
        <v>#N/A</v>
      </c>
    </row>
    <row r="398" spans="2:6" ht="21" customHeight="1">
      <c r="B398" s="11"/>
      <c r="F398" s="2" t="e">
        <f>IF(Data!$H$2,IF(ISNUMBER(B398),B398,NA()),NA())</f>
        <v>#N/A</v>
      </c>
    </row>
    <row r="399" spans="2:6" ht="21" customHeight="1">
      <c r="B399" s="11"/>
      <c r="F399" s="2" t="e">
        <f>IF(Data!$H$2,IF(ISNUMBER(B399),B399,NA()),NA())</f>
        <v>#N/A</v>
      </c>
    </row>
    <row r="400" spans="2:6" ht="21" customHeight="1">
      <c r="B400" s="11"/>
      <c r="F400" s="2" t="e">
        <f>IF(Data!$H$2,IF(ISNUMBER(B400),B400,NA()),NA())</f>
        <v>#N/A</v>
      </c>
    </row>
    <row r="401" spans="2:6" ht="21" customHeight="1">
      <c r="B401" s="11"/>
      <c r="F401" s="2" t="e">
        <f>IF(Data!$H$2,IF(ISNUMBER(B401),B401,NA()),NA())</f>
        <v>#N/A</v>
      </c>
    </row>
    <row r="402" spans="2:6" ht="21" customHeight="1">
      <c r="B402" s="11"/>
      <c r="F402" s="2" t="e">
        <f>IF(Data!$H$2,IF(ISNUMBER(B402),B402,NA()),NA())</f>
        <v>#N/A</v>
      </c>
    </row>
    <row r="403" spans="2:6" ht="21" customHeight="1">
      <c r="B403" s="11"/>
      <c r="F403" s="2" t="e">
        <f>IF(Data!$H$2,IF(ISNUMBER(B403),B403,NA()),NA())</f>
        <v>#N/A</v>
      </c>
    </row>
    <row r="404" spans="2:6" ht="21" customHeight="1">
      <c r="B404" s="11"/>
      <c r="F404" s="2" t="e">
        <f>IF(Data!$H$2,IF(ISNUMBER(B404),B404,NA()),NA())</f>
        <v>#N/A</v>
      </c>
    </row>
    <row r="405" spans="2:6" ht="21" customHeight="1">
      <c r="B405" s="11"/>
      <c r="F405" s="2" t="e">
        <f>IF(Data!$H$2,IF(ISNUMBER(B405),B405,NA()),NA())</f>
        <v>#N/A</v>
      </c>
    </row>
    <row r="406" spans="2:6" ht="21" customHeight="1">
      <c r="B406" s="11"/>
      <c r="F406" s="2" t="e">
        <f>IF(Data!$H$2,IF(ISNUMBER(B406),B406,NA()),NA())</f>
        <v>#N/A</v>
      </c>
    </row>
    <row r="407" spans="2:6" ht="21" customHeight="1">
      <c r="B407" s="11"/>
      <c r="F407" s="2" t="e">
        <f>IF(Data!$H$2,IF(ISNUMBER(B407),B407,NA()),NA())</f>
        <v>#N/A</v>
      </c>
    </row>
    <row r="408" spans="2:6" ht="21" customHeight="1">
      <c r="B408" s="11"/>
      <c r="F408" s="2" t="e">
        <f>IF(Data!$H$2,IF(ISNUMBER(B408),B408,NA()),NA())</f>
        <v>#N/A</v>
      </c>
    </row>
    <row r="409" spans="2:6" ht="21" customHeight="1">
      <c r="B409" s="11"/>
      <c r="F409" s="2" t="e">
        <f>IF(Data!$H$2,IF(ISNUMBER(B409),B409,NA()),NA())</f>
        <v>#N/A</v>
      </c>
    </row>
    <row r="410" spans="2:6" ht="21" customHeight="1">
      <c r="B410" s="11"/>
      <c r="F410" s="2" t="e">
        <f>IF(Data!$H$2,IF(ISNUMBER(B410),B410,NA()),NA())</f>
        <v>#N/A</v>
      </c>
    </row>
    <row r="411" spans="2:6" ht="21" customHeight="1">
      <c r="B411" s="11"/>
      <c r="F411" s="2" t="e">
        <f>IF(Data!$H$2,IF(ISNUMBER(B411),B411,NA()),NA())</f>
        <v>#N/A</v>
      </c>
    </row>
    <row r="412" spans="2:6" ht="21" customHeight="1">
      <c r="B412" s="11"/>
      <c r="F412" s="2" t="e">
        <f>IF(Data!$H$2,IF(ISNUMBER(B412),B412,NA()),NA())</f>
        <v>#N/A</v>
      </c>
    </row>
    <row r="413" spans="2:6" ht="21" customHeight="1">
      <c r="B413" s="11"/>
      <c r="F413" s="2" t="e">
        <f>IF(Data!$H$2,IF(ISNUMBER(B413),B413,NA()),NA())</f>
        <v>#N/A</v>
      </c>
    </row>
    <row r="414" spans="2:6" ht="21" customHeight="1">
      <c r="B414" s="11"/>
      <c r="F414" s="2" t="e">
        <f>IF(Data!$H$2,IF(ISNUMBER(B414),B414,NA()),NA())</f>
        <v>#N/A</v>
      </c>
    </row>
    <row r="415" spans="2:6" ht="21" customHeight="1">
      <c r="B415" s="11"/>
      <c r="F415" s="2" t="e">
        <f>IF(Data!$H$2,IF(ISNUMBER(B415),B415,NA()),NA())</f>
        <v>#N/A</v>
      </c>
    </row>
    <row r="416" spans="2:6" ht="21" customHeight="1">
      <c r="B416" s="11"/>
      <c r="F416" s="2" t="e">
        <f>IF(Data!$H$2,IF(ISNUMBER(B416),B416,NA()),NA())</f>
        <v>#N/A</v>
      </c>
    </row>
    <row r="417" spans="2:6" ht="21" customHeight="1">
      <c r="B417" s="11"/>
      <c r="F417" s="2" t="e">
        <f>IF(Data!$H$2,IF(ISNUMBER(B417),B417,NA()),NA())</f>
        <v>#N/A</v>
      </c>
    </row>
    <row r="418" spans="2:6" ht="21" customHeight="1">
      <c r="B418" s="11"/>
      <c r="F418" s="2" t="e">
        <f>IF(Data!$H$2,IF(ISNUMBER(B418),B418,NA()),NA())</f>
        <v>#N/A</v>
      </c>
    </row>
    <row r="419" spans="2:6" ht="21" customHeight="1">
      <c r="B419" s="11"/>
      <c r="F419" s="2" t="e">
        <f>IF(Data!$H$2,IF(ISNUMBER(B419),B419,NA()),NA())</f>
        <v>#N/A</v>
      </c>
    </row>
    <row r="420" spans="2:6" ht="21" customHeight="1">
      <c r="B420" s="11"/>
      <c r="F420" s="2" t="e">
        <f>IF(Data!$H$2,IF(ISNUMBER(B420),B420,NA()),NA())</f>
        <v>#N/A</v>
      </c>
    </row>
    <row r="421" spans="2:6" ht="21" customHeight="1">
      <c r="B421" s="11"/>
      <c r="F421" s="2" t="e">
        <f>IF(Data!$H$2,IF(ISNUMBER(B421),B421,NA()),NA())</f>
        <v>#N/A</v>
      </c>
    </row>
    <row r="422" spans="2:6" ht="21" customHeight="1">
      <c r="B422" s="11"/>
      <c r="F422" s="2" t="e">
        <f>IF(Data!$H$2,IF(ISNUMBER(B422),B422,NA()),NA())</f>
        <v>#N/A</v>
      </c>
    </row>
    <row r="423" spans="2:6" ht="21" customHeight="1">
      <c r="B423" s="11"/>
      <c r="F423" s="2" t="e">
        <f>IF(Data!$H$2,IF(ISNUMBER(B423),B423,NA()),NA())</f>
        <v>#N/A</v>
      </c>
    </row>
    <row r="424" spans="2:6" ht="21" customHeight="1">
      <c r="B424" s="11"/>
      <c r="F424" s="2" t="e">
        <f>IF(Data!$H$2,IF(ISNUMBER(B424),B424,NA()),NA())</f>
        <v>#N/A</v>
      </c>
    </row>
    <row r="425" spans="2:6" ht="21" customHeight="1">
      <c r="B425" s="11"/>
      <c r="F425" s="2" t="e">
        <f>IF(Data!$H$2,IF(ISNUMBER(B425),B425,NA()),NA())</f>
        <v>#N/A</v>
      </c>
    </row>
    <row r="426" spans="2:6" ht="21" customHeight="1">
      <c r="B426" s="11"/>
      <c r="F426" s="2" t="e">
        <f>IF(Data!$H$2,IF(ISNUMBER(B426),B426,NA()),NA())</f>
        <v>#N/A</v>
      </c>
    </row>
    <row r="427" spans="2:6" ht="21" customHeight="1">
      <c r="B427" s="11"/>
      <c r="F427" s="2" t="e">
        <f>IF(Data!$H$2,IF(ISNUMBER(B427),B427,NA()),NA())</f>
        <v>#N/A</v>
      </c>
    </row>
    <row r="428" spans="2:6" ht="21" customHeight="1">
      <c r="B428" s="11"/>
      <c r="F428" s="2" t="e">
        <f>IF(Data!$H$2,IF(ISNUMBER(B428),B428,NA()),NA())</f>
        <v>#N/A</v>
      </c>
    </row>
    <row r="429" spans="2:6" ht="21" customHeight="1">
      <c r="B429" s="11"/>
      <c r="F429" s="2" t="e">
        <f>IF(Data!$H$2,IF(ISNUMBER(B429),B429,NA()),NA())</f>
        <v>#N/A</v>
      </c>
    </row>
    <row r="430" spans="2:6" ht="21" customHeight="1">
      <c r="B430" s="11"/>
      <c r="F430" s="2" t="e">
        <f>IF(Data!$H$2,IF(ISNUMBER(B430),B430,NA()),NA())</f>
        <v>#N/A</v>
      </c>
    </row>
    <row r="431" spans="2:6" ht="21" customHeight="1">
      <c r="B431" s="11"/>
      <c r="F431" s="2" t="e">
        <f>IF(Data!$H$2,IF(ISNUMBER(B431),B431,NA()),NA())</f>
        <v>#N/A</v>
      </c>
    </row>
    <row r="432" spans="2:6" ht="21" customHeight="1">
      <c r="B432" s="11"/>
      <c r="F432" s="2" t="e">
        <f>IF(Data!$H$2,IF(ISNUMBER(B432),B432,NA()),NA())</f>
        <v>#N/A</v>
      </c>
    </row>
    <row r="433" spans="2:6" ht="21" customHeight="1">
      <c r="B433" s="11"/>
      <c r="F433" s="2" t="e">
        <f>IF(Data!$H$2,IF(ISNUMBER(B433),B433,NA()),NA())</f>
        <v>#N/A</v>
      </c>
    </row>
    <row r="434" spans="2:6" ht="21" customHeight="1">
      <c r="B434" s="11"/>
      <c r="F434" s="2" t="e">
        <f>IF(Data!$H$2,IF(ISNUMBER(B434),B434,NA()),NA())</f>
        <v>#N/A</v>
      </c>
    </row>
    <row r="435" spans="2:6" ht="21" customHeight="1">
      <c r="B435" s="11"/>
      <c r="F435" s="2" t="e">
        <f>IF(Data!$H$2,IF(ISNUMBER(B435),B435,NA()),NA())</f>
        <v>#N/A</v>
      </c>
    </row>
    <row r="436" spans="2:6" ht="21" customHeight="1">
      <c r="B436" s="11"/>
      <c r="F436" s="2" t="e">
        <f>IF(Data!$H$2,IF(ISNUMBER(B436),B436,NA()),NA())</f>
        <v>#N/A</v>
      </c>
    </row>
    <row r="437" spans="2:6" ht="21" customHeight="1">
      <c r="B437" s="11"/>
      <c r="F437" s="2" t="e">
        <f>IF(Data!$H$2,IF(ISNUMBER(B437),B437,NA()),NA())</f>
        <v>#N/A</v>
      </c>
    </row>
    <row r="438" spans="2:6" ht="21" customHeight="1">
      <c r="B438" s="11"/>
      <c r="F438" s="2" t="e">
        <f>IF(Data!$H$2,IF(ISNUMBER(B438),B438,NA()),NA())</f>
        <v>#N/A</v>
      </c>
    </row>
    <row r="439" spans="2:6" ht="21" customHeight="1">
      <c r="B439" s="11"/>
      <c r="F439" s="2" t="e">
        <f>IF(Data!$H$2,IF(ISNUMBER(B439),B439,NA()),NA())</f>
        <v>#N/A</v>
      </c>
    </row>
    <row r="440" spans="2:6" ht="21" customHeight="1">
      <c r="B440" s="11"/>
      <c r="F440" s="2" t="e">
        <f>IF(Data!$H$2,IF(ISNUMBER(B440),B440,NA()),NA())</f>
        <v>#N/A</v>
      </c>
    </row>
    <row r="441" spans="2:6" ht="21" customHeight="1">
      <c r="B441" s="11"/>
      <c r="F441" s="2" t="e">
        <f>IF(Data!$H$2,IF(ISNUMBER(B441),B441,NA()),NA())</f>
        <v>#N/A</v>
      </c>
    </row>
    <row r="442" spans="2:6" ht="21" customHeight="1">
      <c r="B442" s="11"/>
      <c r="F442" s="2" t="e">
        <f>IF(Data!$H$2,IF(ISNUMBER(B442),B442,NA()),NA())</f>
        <v>#N/A</v>
      </c>
    </row>
    <row r="443" spans="2:6" ht="21" customHeight="1">
      <c r="B443" s="11"/>
      <c r="F443" s="2" t="e">
        <f>IF(Data!$H$2,IF(ISNUMBER(B443),B443,NA()),NA())</f>
        <v>#N/A</v>
      </c>
    </row>
    <row r="444" spans="2:6" ht="21" customHeight="1">
      <c r="B444" s="11"/>
      <c r="F444" s="2" t="e">
        <f>IF(Data!$H$2,IF(ISNUMBER(B444),B444,NA()),NA())</f>
        <v>#N/A</v>
      </c>
    </row>
    <row r="445" spans="2:6" ht="21" customHeight="1">
      <c r="B445" s="11"/>
      <c r="F445" s="2" t="e">
        <f>IF(Data!$H$2,IF(ISNUMBER(B445),B445,NA()),NA())</f>
        <v>#N/A</v>
      </c>
    </row>
    <row r="446" spans="2:6" ht="21" customHeight="1">
      <c r="B446" s="11"/>
      <c r="F446" s="2" t="e">
        <f>IF(Data!$H$2,IF(ISNUMBER(B446),B446,NA()),NA())</f>
        <v>#N/A</v>
      </c>
    </row>
    <row r="447" spans="2:6" ht="21" customHeight="1">
      <c r="B447" s="11"/>
      <c r="F447" s="2" t="e">
        <f>IF(Data!$H$2,IF(ISNUMBER(B447),B447,NA()),NA())</f>
        <v>#N/A</v>
      </c>
    </row>
    <row r="448" spans="2:6" ht="21" customHeight="1">
      <c r="B448" s="11"/>
      <c r="F448" s="2" t="e">
        <f>IF(Data!$H$2,IF(ISNUMBER(B448),B448,NA()),NA())</f>
        <v>#N/A</v>
      </c>
    </row>
    <row r="449" spans="2:6" ht="21" customHeight="1">
      <c r="B449" s="11"/>
      <c r="F449" s="2" t="e">
        <f>IF(Data!$H$2,IF(ISNUMBER(B449),B449,NA()),NA())</f>
        <v>#N/A</v>
      </c>
    </row>
    <row r="450" spans="2:6" ht="21" customHeight="1">
      <c r="B450" s="11"/>
      <c r="F450" s="2" t="e">
        <f>IF(Data!$H$2,IF(ISNUMBER(B450),B450,NA()),NA())</f>
        <v>#N/A</v>
      </c>
    </row>
    <row r="451" spans="2:6" ht="21" customHeight="1">
      <c r="B451" s="11"/>
      <c r="F451" s="2" t="e">
        <f>IF(Data!$H$2,IF(ISNUMBER(B451),B451,NA()),NA())</f>
        <v>#N/A</v>
      </c>
    </row>
    <row r="452" spans="2:6" ht="21" customHeight="1">
      <c r="B452" s="11"/>
      <c r="F452" s="2" t="e">
        <f>IF(Data!$H$2,IF(ISNUMBER(B452),B452,NA()),NA())</f>
        <v>#N/A</v>
      </c>
    </row>
    <row r="453" spans="2:6" ht="21" customHeight="1">
      <c r="B453" s="11"/>
      <c r="F453" s="2" t="e">
        <f>IF(Data!$H$2,IF(ISNUMBER(B453),B453,NA()),NA())</f>
        <v>#N/A</v>
      </c>
    </row>
    <row r="454" spans="2:6" ht="21" customHeight="1">
      <c r="B454" s="11"/>
      <c r="F454" s="2" t="e">
        <f>IF(Data!$H$2,IF(ISNUMBER(B454),B454,NA()),NA())</f>
        <v>#N/A</v>
      </c>
    </row>
    <row r="455" spans="2:6" ht="21" customHeight="1">
      <c r="B455" s="11"/>
      <c r="F455" s="2" t="e">
        <f>IF(Data!$H$2,IF(ISNUMBER(B455),B455,NA()),NA())</f>
        <v>#N/A</v>
      </c>
    </row>
    <row r="456" spans="2:6" ht="21" customHeight="1">
      <c r="B456" s="11"/>
      <c r="F456" s="2" t="e">
        <f>IF(Data!$H$2,IF(ISNUMBER(B456),B456,NA()),NA())</f>
        <v>#N/A</v>
      </c>
    </row>
    <row r="457" spans="2:6" ht="21" customHeight="1">
      <c r="B457" s="11"/>
      <c r="F457" s="2" t="e">
        <f>IF(Data!$H$2,IF(ISNUMBER(B457),B457,NA()),NA())</f>
        <v>#N/A</v>
      </c>
    </row>
    <row r="458" spans="2:6" ht="21" customHeight="1">
      <c r="B458" s="11"/>
      <c r="F458" s="2" t="e">
        <f>IF(Data!$H$2,IF(ISNUMBER(B458),B458,NA()),NA())</f>
        <v>#N/A</v>
      </c>
    </row>
    <row r="459" spans="2:6" ht="21" customHeight="1">
      <c r="B459" s="11"/>
      <c r="F459" s="2" t="e">
        <f>IF(Data!$H$2,IF(ISNUMBER(B459),B459,NA()),NA())</f>
        <v>#N/A</v>
      </c>
    </row>
    <row r="460" spans="2:6" ht="21" customHeight="1">
      <c r="B460" s="11"/>
      <c r="F460" s="2" t="e">
        <f>IF(Data!$H$2,IF(ISNUMBER(B460),B460,NA()),NA())</f>
        <v>#N/A</v>
      </c>
    </row>
    <row r="461" spans="2:6" ht="21" customHeight="1">
      <c r="B461" s="11"/>
      <c r="F461" s="2" t="e">
        <f>IF(Data!$H$2,IF(ISNUMBER(B461),B461,NA()),NA())</f>
        <v>#N/A</v>
      </c>
    </row>
    <row r="462" spans="2:6" ht="21" customHeight="1">
      <c r="B462" s="11"/>
      <c r="F462" s="2" t="e">
        <f>IF(Data!$H$2,IF(ISNUMBER(B462),B462,NA()),NA())</f>
        <v>#N/A</v>
      </c>
    </row>
    <row r="463" spans="2:6" ht="21" customHeight="1">
      <c r="B463" s="11"/>
      <c r="F463" s="2" t="e">
        <f>IF(Data!$H$2,IF(ISNUMBER(B463),B463,NA()),NA())</f>
        <v>#N/A</v>
      </c>
    </row>
    <row r="464" spans="2:6" ht="21" customHeight="1">
      <c r="B464" s="11"/>
      <c r="F464" s="2" t="e">
        <f>IF(Data!$H$2,IF(ISNUMBER(B464),B464,NA()),NA())</f>
        <v>#N/A</v>
      </c>
    </row>
    <row r="465" spans="2:6" ht="21" customHeight="1">
      <c r="B465" s="11"/>
      <c r="F465" s="2" t="e">
        <f>IF(Data!$H$2,IF(ISNUMBER(B465),B465,NA()),NA())</f>
        <v>#N/A</v>
      </c>
    </row>
    <row r="466" spans="2:6" ht="21" customHeight="1">
      <c r="B466" s="11"/>
      <c r="F466" s="2" t="e">
        <f>IF(Data!$H$2,IF(ISNUMBER(B466),B466,NA()),NA())</f>
        <v>#N/A</v>
      </c>
    </row>
    <row r="467" spans="2:6" ht="21" customHeight="1">
      <c r="B467" s="11"/>
      <c r="F467" s="2" t="e">
        <f>IF(Data!$H$2,IF(ISNUMBER(B467),B467,NA()),NA())</f>
        <v>#N/A</v>
      </c>
    </row>
    <row r="468" spans="2:6" ht="21" customHeight="1">
      <c r="B468" s="11"/>
      <c r="F468" s="2" t="e">
        <f>IF(Data!$H$2,IF(ISNUMBER(B468),B468,NA()),NA())</f>
        <v>#N/A</v>
      </c>
    </row>
    <row r="469" spans="2:6" ht="21" customHeight="1">
      <c r="B469" s="11"/>
      <c r="F469" s="2" t="e">
        <f>IF(Data!$H$2,IF(ISNUMBER(B469),B469,NA()),NA())</f>
        <v>#N/A</v>
      </c>
    </row>
    <row r="470" spans="2:6" ht="21" customHeight="1">
      <c r="B470" s="11"/>
      <c r="F470" s="2" t="e">
        <f>IF(Data!$H$2,IF(ISNUMBER(B470),B470,NA()),NA())</f>
        <v>#N/A</v>
      </c>
    </row>
    <row r="471" spans="2:6" ht="21" customHeight="1">
      <c r="B471" s="11"/>
      <c r="F471" s="2" t="e">
        <f>IF(Data!$H$2,IF(ISNUMBER(B471),B471,NA()),NA())</f>
        <v>#N/A</v>
      </c>
    </row>
    <row r="472" spans="2:6" ht="21" customHeight="1">
      <c r="B472" s="11"/>
      <c r="F472" s="2" t="e">
        <f>IF(Data!$H$2,IF(ISNUMBER(B472),B472,NA()),NA())</f>
        <v>#N/A</v>
      </c>
    </row>
    <row r="473" spans="2:6" ht="21" customHeight="1">
      <c r="B473" s="11"/>
      <c r="F473" s="2" t="e">
        <f>IF(Data!$H$2,IF(ISNUMBER(B473),B473,NA()),NA())</f>
        <v>#N/A</v>
      </c>
    </row>
    <row r="474" spans="2:6" ht="21" customHeight="1">
      <c r="B474" s="11"/>
      <c r="F474" s="2" t="e">
        <f>IF(Data!$H$2,IF(ISNUMBER(B474),B474,NA()),NA())</f>
        <v>#N/A</v>
      </c>
    </row>
    <row r="475" spans="2:6" ht="21" customHeight="1">
      <c r="B475" s="11"/>
      <c r="F475" s="2" t="e">
        <f>IF(Data!$H$2,IF(ISNUMBER(B475),B475,NA()),NA())</f>
        <v>#N/A</v>
      </c>
    </row>
    <row r="476" spans="2:6" ht="21" customHeight="1">
      <c r="B476" s="11"/>
      <c r="F476" s="2" t="e">
        <f>IF(Data!$H$2,IF(ISNUMBER(B476),B476,NA()),NA())</f>
        <v>#N/A</v>
      </c>
    </row>
    <row r="477" spans="2:6" ht="21" customHeight="1">
      <c r="B477" s="11"/>
      <c r="F477" s="2" t="e">
        <f>IF(Data!$H$2,IF(ISNUMBER(B477),B477,NA()),NA())</f>
        <v>#N/A</v>
      </c>
    </row>
    <row r="478" spans="2:6" ht="21" customHeight="1">
      <c r="B478" s="11"/>
      <c r="F478" s="2" t="e">
        <f>IF(Data!$H$2,IF(ISNUMBER(B478),B478,NA()),NA())</f>
        <v>#N/A</v>
      </c>
    </row>
    <row r="479" spans="2:6" ht="21" customHeight="1">
      <c r="B479" s="11"/>
      <c r="F479" s="2" t="e">
        <f>IF(Data!$H$2,IF(ISNUMBER(B479),B479,NA()),NA())</f>
        <v>#N/A</v>
      </c>
    </row>
    <row r="480" spans="2:6" ht="21" customHeight="1">
      <c r="B480" s="11"/>
      <c r="F480" s="2" t="e">
        <f>IF(Data!$H$2,IF(ISNUMBER(B480),B480,NA()),NA())</f>
        <v>#N/A</v>
      </c>
    </row>
    <row r="481" spans="2:6" ht="21" customHeight="1">
      <c r="B481" s="11"/>
      <c r="F481" s="2" t="e">
        <f>IF(Data!$H$2,IF(ISNUMBER(B481),B481,NA()),NA())</f>
        <v>#N/A</v>
      </c>
    </row>
    <row r="482" spans="2:6" ht="21" customHeight="1">
      <c r="B482" s="11"/>
      <c r="F482" s="2" t="e">
        <f>IF(Data!$H$2,IF(ISNUMBER(B482),B482,NA()),NA())</f>
        <v>#N/A</v>
      </c>
    </row>
    <row r="483" spans="2:6" ht="21" customHeight="1">
      <c r="B483" s="11"/>
      <c r="F483" s="2" t="e">
        <f>IF(Data!$H$2,IF(ISNUMBER(B483),B483,NA()),NA())</f>
        <v>#N/A</v>
      </c>
    </row>
    <row r="484" spans="2:6" ht="21" customHeight="1">
      <c r="B484" s="11"/>
      <c r="F484" s="2" t="e">
        <f>IF(Data!$H$2,IF(ISNUMBER(B484),B484,NA()),NA())</f>
        <v>#N/A</v>
      </c>
    </row>
    <row r="485" spans="2:6" ht="21" customHeight="1">
      <c r="B485" s="11"/>
      <c r="F485" s="2" t="e">
        <f>IF(Data!$H$2,IF(ISNUMBER(B485),B485,NA()),NA())</f>
        <v>#N/A</v>
      </c>
    </row>
    <row r="486" spans="2:6" ht="21" customHeight="1">
      <c r="B486" s="11"/>
      <c r="F486" s="2" t="e">
        <f>IF(Data!$H$2,IF(ISNUMBER(B486),B486,NA()),NA())</f>
        <v>#N/A</v>
      </c>
    </row>
    <row r="487" spans="2:6" ht="21" customHeight="1">
      <c r="B487" s="11"/>
      <c r="F487" s="2" t="e">
        <f>IF(Data!$H$2,IF(ISNUMBER(B487),B487,NA()),NA())</f>
        <v>#N/A</v>
      </c>
    </row>
    <row r="488" spans="2:6" ht="21" customHeight="1">
      <c r="B488" s="11"/>
      <c r="F488" s="2" t="e">
        <f>IF(Data!$H$2,IF(ISNUMBER(B488),B488,NA()),NA())</f>
        <v>#N/A</v>
      </c>
    </row>
    <row r="489" spans="2:6" ht="21" customHeight="1">
      <c r="B489" s="11"/>
      <c r="F489" s="2" t="e">
        <f>IF(Data!$H$2,IF(ISNUMBER(B489),B489,NA()),NA())</f>
        <v>#N/A</v>
      </c>
    </row>
    <row r="490" spans="2:6" ht="21" customHeight="1">
      <c r="B490" s="11"/>
      <c r="F490" s="2" t="e">
        <f>IF(Data!$H$2,IF(ISNUMBER(B490),B490,NA()),NA())</f>
        <v>#N/A</v>
      </c>
    </row>
    <row r="491" spans="2:6" ht="21" customHeight="1">
      <c r="B491" s="11"/>
      <c r="F491" s="2" t="e">
        <f>IF(Data!$H$2,IF(ISNUMBER(B491),B491,NA()),NA())</f>
        <v>#N/A</v>
      </c>
    </row>
    <row r="492" spans="2:6" ht="21" customHeight="1">
      <c r="B492" s="11"/>
      <c r="F492" s="2" t="e">
        <f>IF(Data!$H$2,IF(ISNUMBER(B492),B492,NA()),NA())</f>
        <v>#N/A</v>
      </c>
    </row>
    <row r="493" spans="2:6" ht="21" customHeight="1">
      <c r="B493" s="11"/>
      <c r="F493" s="2" t="e">
        <f>IF(Data!$H$2,IF(ISNUMBER(B493),B493,NA()),NA())</f>
        <v>#N/A</v>
      </c>
    </row>
    <row r="494" spans="2:6" ht="21" customHeight="1">
      <c r="B494" s="11"/>
      <c r="F494" s="2" t="e">
        <f>IF(Data!$H$2,IF(ISNUMBER(B494),B494,NA()),NA())</f>
        <v>#N/A</v>
      </c>
    </row>
    <row r="495" spans="2:6" ht="21" customHeight="1">
      <c r="B495" s="11"/>
      <c r="F495" s="2" t="e">
        <f>IF(Data!$H$2,IF(ISNUMBER(B495),B495,NA()),NA())</f>
        <v>#N/A</v>
      </c>
    </row>
    <row r="496" spans="2:6" ht="21" customHeight="1">
      <c r="B496" s="11"/>
      <c r="F496" s="2" t="e">
        <f>IF(Data!$H$2,IF(ISNUMBER(B496),B496,NA()),NA())</f>
        <v>#N/A</v>
      </c>
    </row>
    <row r="497" spans="2:6" ht="21" customHeight="1">
      <c r="B497" s="11"/>
      <c r="F497" s="2" t="e">
        <f>IF(Data!$H$2,IF(ISNUMBER(B497),B497,NA()),NA())</f>
        <v>#N/A</v>
      </c>
    </row>
    <row r="498" spans="2:6" ht="21" customHeight="1">
      <c r="B498" s="11"/>
      <c r="F498" s="2" t="e">
        <f>IF(Data!$H$2,IF(ISNUMBER(B498),B498,NA()),NA())</f>
        <v>#N/A</v>
      </c>
    </row>
    <row r="499" spans="2:6" ht="21" customHeight="1">
      <c r="B499" s="11"/>
      <c r="F499" s="2" t="e">
        <f>IF(Data!$H$2,IF(ISNUMBER(B499),B499,NA()),NA())</f>
        <v>#N/A</v>
      </c>
    </row>
    <row r="500" spans="2:6" ht="21" customHeight="1">
      <c r="B500" s="11"/>
      <c r="F500" s="2" t="e">
        <f>IF(Data!$H$2,IF(ISNUMBER(B500),B500,NA()),NA())</f>
        <v>#N/A</v>
      </c>
    </row>
    <row r="501" spans="2:6" ht="21" customHeight="1">
      <c r="B501" s="11"/>
      <c r="F501" s="2" t="e">
        <f>IF(Data!$H$2,IF(ISNUMBER(B501),B501,NA()),NA())</f>
        <v>#N/A</v>
      </c>
    </row>
    <row r="502" spans="2:6" ht="21" customHeight="1">
      <c r="B502" s="11"/>
      <c r="F502" s="2" t="e">
        <f>IF(Data!$H$2,IF(ISNUMBER(B502),B502,NA()),NA())</f>
        <v>#N/A</v>
      </c>
    </row>
    <row r="503" spans="2:6" ht="21" customHeight="1">
      <c r="B503" s="11"/>
      <c r="F503" s="2" t="e">
        <f>IF(Data!$H$2,IF(ISNUMBER(B503),B503,NA()),NA())</f>
        <v>#N/A</v>
      </c>
    </row>
    <row r="504" spans="2:6" ht="21" customHeight="1">
      <c r="B504" s="11"/>
      <c r="F504" s="2" t="e">
        <f>IF(Data!$H$2,IF(ISNUMBER(B504),B504,NA()),NA())</f>
        <v>#N/A</v>
      </c>
    </row>
    <row r="505" spans="2:6" ht="21" customHeight="1">
      <c r="B505" s="11"/>
      <c r="F505" s="2" t="e">
        <f>IF(Data!$H$2,IF(ISNUMBER(B505),B505,NA()),NA())</f>
        <v>#N/A</v>
      </c>
    </row>
    <row r="506" spans="2:6" ht="21" customHeight="1">
      <c r="B506" s="11"/>
      <c r="F506" s="2" t="e">
        <f>IF(Data!$H$2,IF(ISNUMBER(B506),B506,NA()),NA())</f>
        <v>#N/A</v>
      </c>
    </row>
    <row r="507" spans="2:6" ht="21" customHeight="1">
      <c r="B507" s="11"/>
      <c r="F507" s="2" t="e">
        <f>IF(Data!$H$2,IF(ISNUMBER(B507),B507,NA()),NA())</f>
        <v>#N/A</v>
      </c>
    </row>
    <row r="508" spans="2:6" ht="21" customHeight="1">
      <c r="B508" s="11"/>
      <c r="F508" s="2" t="e">
        <f>IF(Data!$H$2,IF(ISNUMBER(B508),B508,NA()),NA())</f>
        <v>#N/A</v>
      </c>
    </row>
    <row r="509" spans="2:6" ht="21" customHeight="1">
      <c r="B509" s="11"/>
      <c r="F509" s="2" t="e">
        <f>IF(Data!$H$2,IF(ISNUMBER(B509),B509,NA()),NA())</f>
        <v>#N/A</v>
      </c>
    </row>
    <row r="510" spans="2:6" ht="21" customHeight="1">
      <c r="B510" s="11"/>
      <c r="F510" s="2" t="e">
        <f>IF(Data!$H$2,IF(ISNUMBER(B510),B510,NA()),NA())</f>
        <v>#N/A</v>
      </c>
    </row>
    <row r="511" spans="2:6" ht="21" customHeight="1">
      <c r="B511" s="11"/>
      <c r="F511" s="2" t="e">
        <f>IF(Data!$H$2,IF(ISNUMBER(B511),B511,NA()),NA())</f>
        <v>#N/A</v>
      </c>
    </row>
    <row r="512" spans="2:6" ht="21" customHeight="1">
      <c r="B512" s="11"/>
      <c r="F512" s="2" t="e">
        <f>IF(Data!$H$2,IF(ISNUMBER(B512),B512,NA()),NA())</f>
        <v>#N/A</v>
      </c>
    </row>
    <row r="513" spans="2:6" ht="21" customHeight="1">
      <c r="B513" s="11"/>
      <c r="F513" s="2" t="e">
        <f>IF(Data!$H$2,IF(ISNUMBER(B513),B513,NA()),NA())</f>
        <v>#N/A</v>
      </c>
    </row>
    <row r="514" spans="2:6" ht="21" customHeight="1">
      <c r="B514" s="11"/>
      <c r="F514" s="2" t="e">
        <f>IF(Data!$H$2,IF(ISNUMBER(B514),B514,NA()),NA())</f>
        <v>#N/A</v>
      </c>
    </row>
    <row r="515" spans="2:6" ht="21" customHeight="1">
      <c r="B515" s="11"/>
      <c r="F515" s="2" t="e">
        <f>IF(Data!$H$2,IF(ISNUMBER(B515),B515,NA()),NA())</f>
        <v>#N/A</v>
      </c>
    </row>
    <row r="516" spans="2:6" ht="21" customHeight="1">
      <c r="B516" s="11"/>
      <c r="F516" s="2" t="e">
        <f>IF(Data!$H$2,IF(ISNUMBER(B516),B516,NA()),NA())</f>
        <v>#N/A</v>
      </c>
    </row>
    <row r="517" spans="2:6" ht="21" customHeight="1">
      <c r="B517" s="11"/>
      <c r="F517" s="2" t="e">
        <f>IF(Data!$H$2,IF(ISNUMBER(B517),B517,NA()),NA())</f>
        <v>#N/A</v>
      </c>
    </row>
    <row r="518" spans="2:6" ht="21" customHeight="1">
      <c r="B518" s="11"/>
      <c r="F518" s="2" t="e">
        <f>IF(Data!$H$2,IF(ISNUMBER(B518),B518,NA()),NA())</f>
        <v>#N/A</v>
      </c>
    </row>
    <row r="519" spans="2:6" ht="21" customHeight="1">
      <c r="B519" s="11"/>
      <c r="F519" s="2" t="e">
        <f>IF(Data!$H$2,IF(ISNUMBER(B519),B519,NA()),NA())</f>
        <v>#N/A</v>
      </c>
    </row>
    <row r="520" spans="2:6" ht="21" customHeight="1">
      <c r="B520" s="11"/>
      <c r="F520" s="2" t="e">
        <f>IF(Data!$H$2,IF(ISNUMBER(B520),B520,NA()),NA())</f>
        <v>#N/A</v>
      </c>
    </row>
    <row r="521" spans="2:6" ht="21" customHeight="1">
      <c r="B521" s="11"/>
      <c r="F521" s="2" t="e">
        <f>IF(Data!$H$2,IF(ISNUMBER(B521),B521,NA()),NA())</f>
        <v>#N/A</v>
      </c>
    </row>
    <row r="522" spans="2:6" ht="21" customHeight="1">
      <c r="B522" s="11"/>
      <c r="F522" s="2" t="e">
        <f>IF(Data!$H$2,IF(ISNUMBER(B522),B522,NA()),NA())</f>
        <v>#N/A</v>
      </c>
    </row>
    <row r="523" spans="2:6" ht="21" customHeight="1">
      <c r="B523" s="11"/>
      <c r="F523" s="2" t="e">
        <f>IF(Data!$H$2,IF(ISNUMBER(B523),B523,NA()),NA())</f>
        <v>#N/A</v>
      </c>
    </row>
    <row r="524" spans="2:6" ht="21" customHeight="1">
      <c r="B524" s="11"/>
      <c r="F524" s="2" t="e">
        <f>IF(Data!$H$2,IF(ISNUMBER(B524),B524,NA()),NA())</f>
        <v>#N/A</v>
      </c>
    </row>
    <row r="525" spans="2:6" ht="21" customHeight="1">
      <c r="B525" s="11"/>
      <c r="F525" s="2" t="e">
        <f>IF(Data!$H$2,IF(ISNUMBER(B525),B525,NA()),NA())</f>
        <v>#N/A</v>
      </c>
    </row>
    <row r="526" spans="2:6" ht="21" customHeight="1">
      <c r="B526" s="11"/>
      <c r="F526" s="2" t="e">
        <f>IF(Data!$H$2,IF(ISNUMBER(B526),B526,NA()),NA())</f>
        <v>#N/A</v>
      </c>
    </row>
    <row r="527" spans="2:6" ht="21" customHeight="1">
      <c r="B527" s="11"/>
      <c r="F527" s="2" t="e">
        <f>IF(Data!$H$2,IF(ISNUMBER(B527),B527,NA()),NA())</f>
        <v>#N/A</v>
      </c>
    </row>
    <row r="528" spans="2:6" ht="21" customHeight="1">
      <c r="B528" s="11"/>
      <c r="F528" s="2" t="e">
        <f>IF(Data!$H$2,IF(ISNUMBER(B528),B528,NA()),NA())</f>
        <v>#N/A</v>
      </c>
    </row>
    <row r="529" spans="2:6" ht="21" customHeight="1">
      <c r="B529" s="11"/>
      <c r="F529" s="2" t="e">
        <f>IF(Data!$H$2,IF(ISNUMBER(B529),B529,NA()),NA())</f>
        <v>#N/A</v>
      </c>
    </row>
    <row r="530" spans="2:6" ht="21" customHeight="1">
      <c r="B530" s="11"/>
      <c r="F530" s="2" t="e">
        <f>IF(Data!$H$2,IF(ISNUMBER(B530),B530,NA()),NA())</f>
        <v>#N/A</v>
      </c>
    </row>
    <row r="531" spans="2:6" ht="21" customHeight="1">
      <c r="B531" s="11"/>
      <c r="F531" s="2" t="e">
        <f>IF(Data!$H$2,IF(ISNUMBER(B531),B531,NA()),NA())</f>
        <v>#N/A</v>
      </c>
    </row>
    <row r="532" spans="2:6" ht="21" customHeight="1">
      <c r="B532" s="11"/>
      <c r="F532" s="2" t="e">
        <f>IF(Data!$H$2,IF(ISNUMBER(B532),B532,NA()),NA())</f>
        <v>#N/A</v>
      </c>
    </row>
    <row r="533" spans="2:6" ht="21" customHeight="1">
      <c r="B533" s="11"/>
      <c r="F533" s="2" t="e">
        <f>IF(Data!$H$2,IF(ISNUMBER(B533),B533,NA()),NA())</f>
        <v>#N/A</v>
      </c>
    </row>
    <row r="534" spans="2:6" ht="21" customHeight="1">
      <c r="B534" s="11"/>
      <c r="F534" s="2" t="e">
        <f>IF(Data!$H$2,IF(ISNUMBER(B534),B534,NA()),NA())</f>
        <v>#N/A</v>
      </c>
    </row>
    <row r="535" spans="2:6" ht="21" customHeight="1">
      <c r="B535" s="11"/>
      <c r="F535" s="2" t="e">
        <f>IF(Data!$H$2,IF(ISNUMBER(B535),B535,NA()),NA())</f>
        <v>#N/A</v>
      </c>
    </row>
    <row r="536" spans="2:6" ht="21" customHeight="1">
      <c r="B536" s="11"/>
      <c r="F536" s="2" t="e">
        <f>IF(Data!$H$2,IF(ISNUMBER(B536),B536,NA()),NA())</f>
        <v>#N/A</v>
      </c>
    </row>
    <row r="537" spans="2:6" ht="21" customHeight="1">
      <c r="B537" s="11"/>
      <c r="F537" s="2" t="e">
        <f>IF(Data!$H$2,IF(ISNUMBER(B537),B537,NA()),NA())</f>
        <v>#N/A</v>
      </c>
    </row>
    <row r="538" spans="2:6" ht="21" customHeight="1">
      <c r="B538" s="11"/>
      <c r="F538" s="2" t="e">
        <f>IF(Data!$H$2,IF(ISNUMBER(B538),B538,NA()),NA())</f>
        <v>#N/A</v>
      </c>
    </row>
    <row r="539" spans="2:6" ht="21" customHeight="1">
      <c r="B539" s="11"/>
      <c r="F539" s="2" t="e">
        <f>IF(Data!$H$2,IF(ISNUMBER(B539),B539,NA()),NA())</f>
        <v>#N/A</v>
      </c>
    </row>
    <row r="540" spans="2:6" ht="21" customHeight="1">
      <c r="B540" s="11"/>
      <c r="F540" s="2" t="e">
        <f>IF(Data!$H$2,IF(ISNUMBER(B540),B540,NA()),NA())</f>
        <v>#N/A</v>
      </c>
    </row>
    <row r="541" spans="2:6" ht="21" customHeight="1">
      <c r="B541" s="11"/>
      <c r="F541" s="2" t="e">
        <f>IF(Data!$H$2,IF(ISNUMBER(B541),B541,NA()),NA())</f>
        <v>#N/A</v>
      </c>
    </row>
    <row r="542" spans="2:6" ht="21" customHeight="1">
      <c r="B542" s="11"/>
      <c r="F542" s="2" t="e">
        <f>IF(Data!$H$2,IF(ISNUMBER(B542),B542,NA()),NA())</f>
        <v>#N/A</v>
      </c>
    </row>
    <row r="543" spans="2:6" ht="21" customHeight="1">
      <c r="B543" s="11"/>
      <c r="F543" s="2" t="e">
        <f>IF(Data!$H$2,IF(ISNUMBER(B543),B543,NA()),NA())</f>
        <v>#N/A</v>
      </c>
    </row>
    <row r="544" spans="2:6" ht="21" customHeight="1">
      <c r="B544" s="11"/>
      <c r="F544" s="2" t="e">
        <f>IF(Data!$H$2,IF(ISNUMBER(B544),B544,NA()),NA())</f>
        <v>#N/A</v>
      </c>
    </row>
    <row r="545" spans="2:6" ht="21" customHeight="1">
      <c r="B545" s="11"/>
      <c r="F545" s="2" t="e">
        <f>IF(Data!$H$2,IF(ISNUMBER(B545),B545,NA()),NA())</f>
        <v>#N/A</v>
      </c>
    </row>
    <row r="546" spans="2:6" ht="21" customHeight="1">
      <c r="B546" s="11"/>
      <c r="F546" s="2" t="e">
        <f>IF(Data!$H$2,IF(ISNUMBER(B546),B546,NA()),NA())</f>
        <v>#N/A</v>
      </c>
    </row>
    <row r="547" spans="2:6" ht="21" customHeight="1">
      <c r="B547" s="11"/>
      <c r="F547" s="2" t="e">
        <f>IF(Data!$H$2,IF(ISNUMBER(B547),B547,NA()),NA())</f>
        <v>#N/A</v>
      </c>
    </row>
    <row r="548" spans="2:6" ht="21" customHeight="1">
      <c r="B548" s="11"/>
      <c r="F548" s="2" t="e">
        <f>IF(Data!$H$2,IF(ISNUMBER(B548),B548,NA()),NA())</f>
        <v>#N/A</v>
      </c>
    </row>
    <row r="549" spans="2:6" ht="21" customHeight="1">
      <c r="B549" s="11"/>
      <c r="F549" s="2" t="e">
        <f>IF(Data!$H$2,IF(ISNUMBER(B549),B549,NA()),NA())</f>
        <v>#N/A</v>
      </c>
    </row>
    <row r="550" spans="2:6" ht="21" customHeight="1">
      <c r="B550" s="11"/>
      <c r="F550" s="2" t="e">
        <f>IF(Data!$H$2,IF(ISNUMBER(B550),B550,NA()),NA())</f>
        <v>#N/A</v>
      </c>
    </row>
    <row r="551" spans="2:6" ht="21" customHeight="1">
      <c r="B551" s="11"/>
      <c r="F551" s="2" t="e">
        <f>IF(Data!$H$2,IF(ISNUMBER(B551),B551,NA()),NA())</f>
        <v>#N/A</v>
      </c>
    </row>
    <row r="552" spans="2:6" ht="21" customHeight="1">
      <c r="B552" s="11"/>
      <c r="F552" s="2" t="e">
        <f>IF(Data!$H$2,IF(ISNUMBER(B552),B552,NA()),NA())</f>
        <v>#N/A</v>
      </c>
    </row>
    <row r="553" spans="2:6" ht="21" customHeight="1">
      <c r="B553" s="11"/>
      <c r="F553" s="2" t="e">
        <f>IF(Data!$H$2,IF(ISNUMBER(B553),B553,NA()),NA())</f>
        <v>#N/A</v>
      </c>
    </row>
    <row r="554" spans="2:6" ht="21" customHeight="1">
      <c r="B554" s="11"/>
      <c r="F554" s="2" t="e">
        <f>IF(Data!$H$2,IF(ISNUMBER(B554),B554,NA()),NA())</f>
        <v>#N/A</v>
      </c>
    </row>
    <row r="555" spans="2:6" ht="21" customHeight="1">
      <c r="B555" s="11"/>
      <c r="F555" s="2" t="e">
        <f>IF(Data!$H$2,IF(ISNUMBER(B555),B555,NA()),NA())</f>
        <v>#N/A</v>
      </c>
    </row>
    <row r="556" spans="2:6" ht="21" customHeight="1">
      <c r="B556" s="11"/>
      <c r="F556" s="2" t="e">
        <f>IF(Data!$H$2,IF(ISNUMBER(B556),B556,NA()),NA())</f>
        <v>#N/A</v>
      </c>
    </row>
    <row r="557" spans="2:6" ht="21" customHeight="1">
      <c r="B557" s="11"/>
      <c r="F557" s="2" t="e">
        <f>IF(Data!$H$2,IF(ISNUMBER(B557),B557,NA()),NA())</f>
        <v>#N/A</v>
      </c>
    </row>
    <row r="558" spans="2:6" ht="21" customHeight="1">
      <c r="B558" s="11"/>
      <c r="F558" s="2" t="e">
        <f>IF(Data!$H$2,IF(ISNUMBER(B558),B558,NA()),NA())</f>
        <v>#N/A</v>
      </c>
    </row>
    <row r="559" spans="2:6" ht="21" customHeight="1">
      <c r="B559" s="11"/>
      <c r="F559" s="2" t="e">
        <f>IF(Data!$H$2,IF(ISNUMBER(B559),B559,NA()),NA())</f>
        <v>#N/A</v>
      </c>
    </row>
    <row r="560" spans="2:6" ht="21" customHeight="1">
      <c r="B560" s="11"/>
      <c r="F560" s="2" t="e">
        <f>IF(Data!$H$2,IF(ISNUMBER(B560),B560,NA()),NA())</f>
        <v>#N/A</v>
      </c>
    </row>
    <row r="561" spans="2:6" ht="21" customHeight="1">
      <c r="B561" s="11"/>
      <c r="F561" s="2" t="e">
        <f>IF(Data!$H$2,IF(ISNUMBER(B561),B561,NA()),NA())</f>
        <v>#N/A</v>
      </c>
    </row>
    <row r="562" spans="2:6" ht="21" customHeight="1">
      <c r="B562" s="11"/>
      <c r="F562" s="2" t="e">
        <f>IF(Data!$H$2,IF(ISNUMBER(B562),B562,NA()),NA())</f>
        <v>#N/A</v>
      </c>
    </row>
    <row r="563" spans="2:6" ht="21" customHeight="1">
      <c r="B563" s="11"/>
      <c r="F563" s="2" t="e">
        <f>IF(Data!$H$2,IF(ISNUMBER(B563),B563,NA()),NA())</f>
        <v>#N/A</v>
      </c>
    </row>
    <row r="564" spans="2:6" ht="21" customHeight="1">
      <c r="B564" s="11"/>
      <c r="F564" s="2" t="e">
        <f>IF(Data!$H$2,IF(ISNUMBER(B564),B564,NA()),NA())</f>
        <v>#N/A</v>
      </c>
    </row>
    <row r="565" spans="2:6" ht="21" customHeight="1">
      <c r="B565" s="11"/>
      <c r="F565" s="2" t="e">
        <f>IF(Data!$H$2,IF(ISNUMBER(B565),B565,NA()),NA())</f>
        <v>#N/A</v>
      </c>
    </row>
    <row r="566" spans="2:6" ht="21" customHeight="1">
      <c r="B566" s="11"/>
      <c r="F566" s="2" t="e">
        <f>IF(Data!$H$2,IF(ISNUMBER(B566),B566,NA()),NA())</f>
        <v>#N/A</v>
      </c>
    </row>
    <row r="567" spans="2:6" ht="21" customHeight="1">
      <c r="B567" s="11"/>
      <c r="F567" s="2" t="e">
        <f>IF(Data!$H$2,IF(ISNUMBER(B567),B567,NA()),NA())</f>
        <v>#N/A</v>
      </c>
    </row>
    <row r="568" spans="2:6" ht="21" customHeight="1">
      <c r="B568" s="11"/>
      <c r="F568" s="2" t="e">
        <f>IF(Data!$H$2,IF(ISNUMBER(B568),B568,NA()),NA())</f>
        <v>#N/A</v>
      </c>
    </row>
    <row r="569" spans="2:6" ht="21" customHeight="1">
      <c r="B569" s="11"/>
      <c r="F569" s="2" t="e">
        <f>IF(Data!$H$2,IF(ISNUMBER(B569),B569,NA()),NA())</f>
        <v>#N/A</v>
      </c>
    </row>
    <row r="570" spans="2:6" ht="21" customHeight="1">
      <c r="B570" s="11"/>
      <c r="F570" s="2" t="e">
        <f>IF(Data!$H$2,IF(ISNUMBER(B570),B570,NA()),NA())</f>
        <v>#N/A</v>
      </c>
    </row>
    <row r="571" spans="2:6" ht="21" customHeight="1">
      <c r="B571" s="11"/>
      <c r="F571" s="2" t="e">
        <f>IF(Data!$H$2,IF(ISNUMBER(B571),B571,NA()),NA())</f>
        <v>#N/A</v>
      </c>
    </row>
    <row r="572" spans="2:6" ht="21" customHeight="1">
      <c r="B572" s="11"/>
      <c r="F572" s="2" t="e">
        <f>IF(Data!$H$2,IF(ISNUMBER(B572),B572,NA()),NA())</f>
        <v>#N/A</v>
      </c>
    </row>
    <row r="573" spans="2:6" ht="21" customHeight="1">
      <c r="B573" s="11"/>
      <c r="F573" s="2" t="e">
        <f>IF(Data!$H$2,IF(ISNUMBER(B573),B573,NA()),NA())</f>
        <v>#N/A</v>
      </c>
    </row>
    <row r="574" spans="2:6" ht="21" customHeight="1">
      <c r="B574" s="11"/>
      <c r="F574" s="2" t="e">
        <f>IF(Data!$H$2,IF(ISNUMBER(B574),B574,NA()),NA())</f>
        <v>#N/A</v>
      </c>
    </row>
    <row r="575" spans="2:6" ht="21" customHeight="1">
      <c r="B575" s="11"/>
      <c r="F575" s="2" t="e">
        <f>IF(Data!$H$2,IF(ISNUMBER(B575),B575,NA()),NA())</f>
        <v>#N/A</v>
      </c>
    </row>
    <row r="576" spans="2:6" ht="21" customHeight="1">
      <c r="B576" s="11"/>
      <c r="F576" s="2" t="e">
        <f>IF(Data!$H$2,IF(ISNUMBER(B576),B576,NA()),NA())</f>
        <v>#N/A</v>
      </c>
    </row>
    <row r="577" spans="2:6" ht="21" customHeight="1">
      <c r="B577" s="11"/>
      <c r="F577" s="2" t="e">
        <f>IF(Data!$H$2,IF(ISNUMBER(B577),B577,NA()),NA())</f>
        <v>#N/A</v>
      </c>
    </row>
    <row r="578" spans="2:6" ht="21" customHeight="1">
      <c r="B578" s="11"/>
      <c r="F578" s="2" t="e">
        <f>IF(Data!$H$2,IF(ISNUMBER(B578),B578,NA()),NA())</f>
        <v>#N/A</v>
      </c>
    </row>
    <row r="579" spans="2:6" ht="21" customHeight="1">
      <c r="B579" s="11"/>
      <c r="F579" s="2" t="e">
        <f>IF(Data!$H$2,IF(ISNUMBER(B579),B579,NA()),NA())</f>
        <v>#N/A</v>
      </c>
    </row>
    <row r="580" spans="2:6" ht="21" customHeight="1">
      <c r="B580" s="11"/>
      <c r="F580" s="2" t="e">
        <f>IF(Data!$H$2,IF(ISNUMBER(B580),B580,NA()),NA())</f>
        <v>#N/A</v>
      </c>
    </row>
    <row r="581" spans="2:6" ht="21" customHeight="1">
      <c r="B581" s="11"/>
      <c r="F581" s="2" t="e">
        <f>IF(Data!$H$2,IF(ISNUMBER(B581),B581,NA()),NA())</f>
        <v>#N/A</v>
      </c>
    </row>
    <row r="582" spans="2:6" ht="21" customHeight="1">
      <c r="B582" s="11"/>
      <c r="F582" s="2" t="e">
        <f>IF(Data!$H$2,IF(ISNUMBER(B582),B582,NA()),NA())</f>
        <v>#N/A</v>
      </c>
    </row>
    <row r="583" spans="2:6" ht="21" customHeight="1">
      <c r="B583" s="11"/>
      <c r="F583" s="2" t="e">
        <f>IF(Data!$H$2,IF(ISNUMBER(B583),B583,NA()),NA())</f>
        <v>#N/A</v>
      </c>
    </row>
    <row r="584" spans="2:6" ht="21" customHeight="1">
      <c r="B584" s="11"/>
      <c r="F584" s="2" t="e">
        <f>IF(Data!$H$2,IF(ISNUMBER(B584),B584,NA()),NA())</f>
        <v>#N/A</v>
      </c>
    </row>
    <row r="585" spans="2:6" ht="21" customHeight="1">
      <c r="B585" s="11"/>
      <c r="F585" s="2" t="e">
        <f>IF(Data!$H$2,IF(ISNUMBER(B585),B585,NA()),NA())</f>
        <v>#N/A</v>
      </c>
    </row>
    <row r="586" spans="2:6" ht="21" customHeight="1">
      <c r="B586" s="11"/>
      <c r="F586" s="2" t="e">
        <f>IF(Data!$H$2,IF(ISNUMBER(B586),B586,NA()),NA())</f>
        <v>#N/A</v>
      </c>
    </row>
    <row r="587" spans="2:6" ht="21" customHeight="1">
      <c r="B587" s="11"/>
      <c r="F587" s="2" t="e">
        <f>IF(Data!$H$2,IF(ISNUMBER(B587),B587,NA()),NA())</f>
        <v>#N/A</v>
      </c>
    </row>
    <row r="588" spans="2:6" ht="21" customHeight="1">
      <c r="B588" s="11"/>
      <c r="F588" s="2" t="e">
        <f>IF(Data!$H$2,IF(ISNUMBER(B588),B588,NA()),NA())</f>
        <v>#N/A</v>
      </c>
    </row>
    <row r="589" spans="2:6" ht="21" customHeight="1">
      <c r="B589" s="11"/>
      <c r="F589" s="2" t="e">
        <f>IF(Data!$H$2,IF(ISNUMBER(B589),B589,NA()),NA())</f>
        <v>#N/A</v>
      </c>
    </row>
    <row r="590" spans="2:6" ht="21" customHeight="1">
      <c r="B590" s="11"/>
      <c r="F590" s="2" t="e">
        <f>IF(Data!$H$2,IF(ISNUMBER(B590),B590,NA()),NA())</f>
        <v>#N/A</v>
      </c>
    </row>
    <row r="591" spans="2:6" ht="21" customHeight="1">
      <c r="B591" s="11"/>
      <c r="F591" s="2" t="e">
        <f>IF(Data!$H$2,IF(ISNUMBER(B591),B591,NA()),NA())</f>
        <v>#N/A</v>
      </c>
    </row>
    <row r="592" spans="2:6" ht="21" customHeight="1">
      <c r="B592" s="11"/>
      <c r="F592" s="2" t="e">
        <f>IF(Data!$H$2,IF(ISNUMBER(B592),B592,NA()),NA())</f>
        <v>#N/A</v>
      </c>
    </row>
    <row r="593" spans="2:6" ht="21" customHeight="1">
      <c r="B593" s="11"/>
      <c r="F593" s="2" t="e">
        <f>IF(Data!$H$2,IF(ISNUMBER(B593),B593,NA()),NA())</f>
        <v>#N/A</v>
      </c>
    </row>
    <row r="594" spans="2:6" ht="21" customHeight="1">
      <c r="B594" s="11"/>
      <c r="F594" s="2" t="e">
        <f>IF(Data!$H$2,IF(ISNUMBER(B594),B594,NA()),NA())</f>
        <v>#N/A</v>
      </c>
    </row>
    <row r="595" spans="2:6" ht="21" customHeight="1">
      <c r="B595" s="11"/>
      <c r="F595" s="2" t="e">
        <f>IF(Data!$H$2,IF(ISNUMBER(B595),B595,NA()),NA())</f>
        <v>#N/A</v>
      </c>
    </row>
    <row r="596" spans="2:6" ht="21" customHeight="1">
      <c r="B596" s="11"/>
      <c r="F596" s="2" t="e">
        <f>IF(Data!$H$2,IF(ISNUMBER(B596),B596,NA()),NA())</f>
        <v>#N/A</v>
      </c>
    </row>
    <row r="597" spans="2:6" ht="21" customHeight="1">
      <c r="B597" s="11"/>
      <c r="F597" s="2" t="e">
        <f>IF(Data!$H$2,IF(ISNUMBER(B597),B597,NA()),NA())</f>
        <v>#N/A</v>
      </c>
    </row>
    <row r="598" spans="2:6" ht="21" customHeight="1">
      <c r="B598" s="11"/>
      <c r="F598" s="2" t="e">
        <f>IF(Data!$H$2,IF(ISNUMBER(B598),B598,NA()),NA())</f>
        <v>#N/A</v>
      </c>
    </row>
    <row r="599" spans="2:6" ht="21" customHeight="1">
      <c r="B599" s="11"/>
      <c r="F599" s="2" t="e">
        <f>IF(Data!$H$2,IF(ISNUMBER(B599),B599,NA()),NA())</f>
        <v>#N/A</v>
      </c>
    </row>
    <row r="600" spans="2:6" ht="21" customHeight="1">
      <c r="B600" s="11"/>
      <c r="F600" s="2" t="e">
        <f>IF(Data!$H$2,IF(ISNUMBER(B600),B600,NA()),NA())</f>
        <v>#N/A</v>
      </c>
    </row>
  </sheetData>
  <sortState xmlns:xlrd2="http://schemas.microsoft.com/office/spreadsheetml/2017/richdata2" ref="A2:D251">
    <sortCondition ref="A2"/>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P600"/>
  <sheetViews>
    <sheetView showGridLines="0" workbookViewId="0">
      <pane ySplit="1" topLeftCell="A2" activePane="bottomLeft" state="frozen"/>
      <selection pane="bottomLeft"/>
    </sheetView>
  </sheetViews>
  <sheetFormatPr defaultRowHeight="14.25"/>
  <cols>
    <col min="1" max="5" width="20" customWidth="1"/>
    <col min="6" max="6" width="63" customWidth="1"/>
    <col min="7" max="7" width="20" customWidth="1"/>
  </cols>
  <sheetData>
    <row r="1" spans="1:16" ht="21" customHeight="1">
      <c r="A1" s="6" t="s">
        <v>545</v>
      </c>
      <c r="B1" s="6" t="s">
        <v>537</v>
      </c>
      <c r="C1" s="6" t="s">
        <v>38</v>
      </c>
      <c r="D1" s="6" t="s">
        <v>546</v>
      </c>
      <c r="E1" s="6" t="s">
        <v>547</v>
      </c>
      <c r="F1" s="6" t="s">
        <v>128</v>
      </c>
      <c r="G1" s="6" t="s">
        <v>548</v>
      </c>
      <c r="H1" s="2"/>
      <c r="I1" s="2"/>
      <c r="J1" s="2"/>
      <c r="K1" s="2"/>
      <c r="L1" s="2"/>
      <c r="M1" s="2"/>
      <c r="N1" s="2"/>
      <c r="O1" s="2"/>
      <c r="P1" s="2"/>
    </row>
    <row r="2" spans="1:16" ht="21" customHeight="1">
      <c r="A2" s="2"/>
      <c r="B2" s="2"/>
      <c r="C2" s="10"/>
      <c r="D2" s="164"/>
      <c r="E2" s="2"/>
      <c r="F2" s="2"/>
      <c r="G2" s="12"/>
      <c r="H2" s="2"/>
      <c r="I2" s="2"/>
      <c r="J2" s="2"/>
      <c r="K2" s="2"/>
      <c r="L2" s="2"/>
      <c r="M2" s="2"/>
      <c r="N2" s="2"/>
      <c r="O2" s="2"/>
      <c r="P2" s="2"/>
    </row>
    <row r="3" spans="1:16" ht="21" customHeight="1">
      <c r="A3" s="2"/>
      <c r="B3" s="2"/>
      <c r="C3" s="10"/>
      <c r="D3" s="164"/>
      <c r="E3" s="2"/>
      <c r="F3" s="2"/>
      <c r="G3" s="12"/>
      <c r="H3" s="2"/>
      <c r="I3" s="2"/>
      <c r="J3" s="2"/>
      <c r="K3" s="2"/>
      <c r="L3" s="2"/>
      <c r="M3" s="2"/>
      <c r="N3" s="2"/>
      <c r="O3" s="2"/>
      <c r="P3" s="2"/>
    </row>
    <row r="4" spans="1:16" ht="21" customHeight="1">
      <c r="A4" s="2"/>
      <c r="B4" s="2"/>
      <c r="C4" s="10"/>
      <c r="D4" s="164"/>
      <c r="E4" s="2"/>
      <c r="F4" s="2"/>
      <c r="G4" s="12"/>
      <c r="H4" s="2"/>
      <c r="I4" s="2"/>
      <c r="J4" s="2"/>
      <c r="K4" s="2"/>
      <c r="L4" s="2"/>
      <c r="M4" s="2"/>
      <c r="N4" s="2"/>
      <c r="O4" s="2"/>
      <c r="P4" s="2"/>
    </row>
    <row r="5" spans="1:16" ht="21" customHeight="1">
      <c r="A5" s="2"/>
      <c r="B5" s="2"/>
      <c r="C5" s="10"/>
      <c r="D5" s="164"/>
      <c r="E5" s="2"/>
      <c r="F5" s="2"/>
      <c r="G5" s="12"/>
      <c r="H5" s="2"/>
      <c r="I5" s="2"/>
      <c r="J5" s="2"/>
      <c r="K5" s="2"/>
      <c r="L5" s="2"/>
      <c r="M5" s="2"/>
      <c r="N5" s="2"/>
      <c r="O5" s="2"/>
      <c r="P5" s="2"/>
    </row>
    <row r="6" spans="1:16" ht="21" customHeight="1">
      <c r="A6" s="2"/>
      <c r="B6" s="2"/>
      <c r="C6" s="10"/>
      <c r="D6" s="164"/>
      <c r="E6" s="2"/>
      <c r="F6" s="2"/>
      <c r="G6" s="12"/>
      <c r="H6" s="2"/>
      <c r="I6" s="2"/>
      <c r="J6" s="2"/>
      <c r="K6" s="2"/>
      <c r="L6" s="2"/>
      <c r="M6" s="2"/>
      <c r="N6" s="2"/>
      <c r="O6" s="2"/>
      <c r="P6" s="2"/>
    </row>
    <row r="7" spans="1:16" ht="21" customHeight="1">
      <c r="A7" s="2"/>
      <c r="B7" s="2"/>
      <c r="C7" s="10"/>
      <c r="D7" s="164"/>
      <c r="E7" s="2"/>
      <c r="F7" s="2"/>
      <c r="G7" s="12"/>
      <c r="H7" s="2"/>
      <c r="I7" s="2"/>
      <c r="J7" s="2"/>
      <c r="K7" s="2"/>
      <c r="L7" s="2"/>
      <c r="M7" s="2"/>
      <c r="N7" s="2"/>
      <c r="O7" s="2"/>
      <c r="P7" s="2"/>
    </row>
    <row r="8" spans="1:16" ht="21" customHeight="1">
      <c r="A8" s="2"/>
      <c r="B8" s="2"/>
      <c r="C8" s="10"/>
      <c r="D8" s="164"/>
      <c r="E8" s="2"/>
      <c r="F8" s="2"/>
      <c r="G8" s="12"/>
      <c r="H8" s="2"/>
      <c r="I8" s="2"/>
      <c r="J8" s="2"/>
      <c r="K8" s="2"/>
      <c r="L8" s="2"/>
      <c r="M8" s="2"/>
      <c r="N8" s="2"/>
      <c r="O8" s="2"/>
      <c r="P8" s="2"/>
    </row>
    <row r="9" spans="1:16" ht="21" customHeight="1">
      <c r="A9" s="2"/>
      <c r="B9" s="2"/>
      <c r="C9" s="10"/>
      <c r="D9" s="164"/>
      <c r="E9" s="2"/>
      <c r="F9" s="2"/>
      <c r="G9" s="12"/>
      <c r="H9" s="2"/>
      <c r="I9" s="2"/>
      <c r="J9" s="2"/>
      <c r="K9" s="2"/>
      <c r="L9" s="2"/>
      <c r="M9" s="2"/>
      <c r="N9" s="2"/>
      <c r="O9" s="2"/>
      <c r="P9" s="2"/>
    </row>
    <row r="10" spans="1:16" ht="21" customHeight="1">
      <c r="A10" s="2"/>
      <c r="B10" s="2"/>
      <c r="C10" s="10"/>
      <c r="D10" s="164"/>
      <c r="E10" s="2"/>
      <c r="F10" s="2"/>
      <c r="G10" s="12"/>
      <c r="H10" s="2"/>
      <c r="I10" s="2"/>
      <c r="J10" s="2"/>
      <c r="K10" s="2"/>
      <c r="L10" s="2"/>
      <c r="M10" s="2"/>
      <c r="N10" s="2"/>
      <c r="O10" s="2"/>
      <c r="P10" s="2"/>
    </row>
    <row r="11" spans="1:16" ht="21" customHeight="1">
      <c r="A11" s="2"/>
      <c r="B11" s="2"/>
      <c r="C11" s="10"/>
      <c r="D11" s="164"/>
      <c r="E11" s="2"/>
      <c r="F11" s="2"/>
      <c r="G11" s="12"/>
      <c r="H11" s="2"/>
      <c r="I11" s="2"/>
      <c r="J11" s="2"/>
      <c r="K11" s="2"/>
      <c r="L11" s="2"/>
      <c r="M11" s="2"/>
      <c r="N11" s="2"/>
      <c r="O11" s="2"/>
      <c r="P11" s="2"/>
    </row>
    <row r="12" spans="1:16" ht="21" customHeight="1">
      <c r="A12" s="2"/>
      <c r="B12" s="2"/>
      <c r="C12" s="10"/>
      <c r="D12" s="164"/>
      <c r="E12" s="2"/>
      <c r="F12" s="2"/>
      <c r="G12" s="12"/>
      <c r="H12" s="2"/>
      <c r="I12" s="2"/>
      <c r="J12" s="2"/>
      <c r="K12" s="2"/>
      <c r="L12" s="2"/>
      <c r="M12" s="2"/>
      <c r="N12" s="2"/>
      <c r="O12" s="2"/>
      <c r="P12" s="2"/>
    </row>
    <row r="13" spans="1:16" ht="21" customHeight="1">
      <c r="A13" s="2"/>
      <c r="B13" s="2"/>
      <c r="C13" s="10"/>
      <c r="D13" s="164"/>
      <c r="E13" s="2"/>
      <c r="F13" s="2"/>
      <c r="G13" s="12"/>
      <c r="H13" s="2"/>
      <c r="I13" s="2"/>
      <c r="J13" s="2"/>
      <c r="K13" s="2"/>
      <c r="L13" s="2"/>
      <c r="M13" s="2"/>
      <c r="N13" s="2"/>
      <c r="O13" s="2"/>
      <c r="P13" s="2"/>
    </row>
    <row r="14" spans="1:16" ht="21" customHeight="1">
      <c r="A14" s="2"/>
      <c r="B14" s="2"/>
      <c r="C14" s="10"/>
      <c r="D14" s="164"/>
      <c r="E14" s="2"/>
      <c r="F14" s="2"/>
      <c r="G14" s="12"/>
      <c r="H14" s="2"/>
      <c r="I14" s="2"/>
      <c r="J14" s="2"/>
      <c r="K14" s="2"/>
      <c r="L14" s="2"/>
      <c r="M14" s="2"/>
      <c r="N14" s="2"/>
      <c r="O14" s="2"/>
      <c r="P14" s="2"/>
    </row>
    <row r="15" spans="1:16" ht="21" customHeight="1">
      <c r="A15" s="2"/>
      <c r="B15" s="2"/>
      <c r="C15" s="10"/>
      <c r="D15" s="164"/>
      <c r="E15" s="2"/>
      <c r="F15" s="2"/>
      <c r="G15" s="12"/>
      <c r="H15" s="2"/>
      <c r="I15" s="2"/>
      <c r="J15" s="2"/>
      <c r="K15" s="2"/>
      <c r="L15" s="2"/>
      <c r="M15" s="2"/>
      <c r="N15" s="2"/>
      <c r="O15" s="2"/>
      <c r="P15" s="2"/>
    </row>
    <row r="16" spans="1:16" ht="21" customHeight="1">
      <c r="A16" s="2"/>
      <c r="B16" s="2"/>
      <c r="C16" s="10"/>
      <c r="D16" s="2"/>
      <c r="E16" s="2"/>
      <c r="F16" s="2"/>
      <c r="G16" s="12"/>
      <c r="H16" s="2"/>
      <c r="I16" s="2"/>
      <c r="J16" s="2"/>
      <c r="K16" s="2"/>
      <c r="L16" s="2"/>
      <c r="M16" s="2"/>
      <c r="N16" s="2"/>
      <c r="O16" s="2"/>
      <c r="P16" s="2"/>
    </row>
    <row r="17" spans="1:16" ht="21" customHeight="1">
      <c r="A17" s="2"/>
      <c r="B17" s="2"/>
      <c r="C17" s="10"/>
      <c r="D17" s="2"/>
      <c r="E17" s="2"/>
      <c r="F17" s="2"/>
      <c r="G17" s="12"/>
      <c r="H17" s="2"/>
      <c r="I17" s="2"/>
      <c r="J17" s="2"/>
      <c r="K17" s="2"/>
      <c r="L17" s="2"/>
      <c r="M17" s="2"/>
      <c r="N17" s="2"/>
      <c r="O17" s="2"/>
      <c r="P17" s="2"/>
    </row>
    <row r="18" spans="1:16" ht="21" customHeight="1">
      <c r="A18" s="2"/>
      <c r="B18" s="2"/>
      <c r="C18" s="10"/>
      <c r="D18" s="2"/>
      <c r="E18" s="2"/>
      <c r="F18" s="2"/>
      <c r="G18" s="12"/>
      <c r="H18" s="2"/>
      <c r="I18" s="2"/>
      <c r="J18" s="2"/>
      <c r="K18" s="2"/>
      <c r="L18" s="2"/>
      <c r="M18" s="2"/>
      <c r="N18" s="2"/>
      <c r="O18" s="2"/>
      <c r="P18" s="2"/>
    </row>
    <row r="19" spans="1:16" ht="21" customHeight="1">
      <c r="A19" s="2"/>
      <c r="B19" s="2"/>
      <c r="C19" s="10"/>
      <c r="D19" s="2"/>
      <c r="E19" s="2"/>
      <c r="F19" s="2"/>
      <c r="G19" s="12"/>
      <c r="H19" s="2"/>
      <c r="I19" s="2"/>
      <c r="J19" s="2"/>
      <c r="K19" s="2"/>
      <c r="L19" s="2"/>
      <c r="M19" s="2"/>
      <c r="N19" s="2"/>
      <c r="O19" s="2"/>
      <c r="P19" s="2"/>
    </row>
    <row r="20" spans="1:16" ht="21" customHeight="1">
      <c r="A20" s="2"/>
      <c r="B20" s="2"/>
      <c r="C20" s="10"/>
      <c r="D20" s="2"/>
      <c r="E20" s="2"/>
      <c r="F20" s="2"/>
      <c r="G20" s="12"/>
      <c r="H20" s="2"/>
      <c r="I20" s="2"/>
      <c r="J20" s="2"/>
      <c r="K20" s="2"/>
      <c r="L20" s="2"/>
      <c r="M20" s="2"/>
      <c r="N20" s="2"/>
      <c r="O20" s="2"/>
      <c r="P20" s="2"/>
    </row>
    <row r="21" spans="1:16" ht="21" customHeight="1">
      <c r="A21" s="2"/>
      <c r="B21" s="2"/>
      <c r="C21" s="10"/>
      <c r="D21" s="2"/>
      <c r="E21" s="2"/>
      <c r="F21" s="2"/>
      <c r="G21" s="12"/>
      <c r="H21" s="2"/>
      <c r="I21" s="2"/>
      <c r="J21" s="2"/>
      <c r="K21" s="2"/>
      <c r="L21" s="2"/>
      <c r="M21" s="2"/>
      <c r="N21" s="2"/>
      <c r="O21" s="2"/>
      <c r="P21" s="2"/>
    </row>
    <row r="22" spans="1:16" ht="21" customHeight="1">
      <c r="A22" s="2"/>
      <c r="B22" s="2"/>
      <c r="C22" s="10"/>
      <c r="D22" s="2"/>
      <c r="E22" s="2"/>
      <c r="F22" s="2"/>
      <c r="G22" s="12"/>
      <c r="H22" s="2"/>
      <c r="I22" s="2"/>
      <c r="J22" s="2"/>
      <c r="K22" s="2"/>
      <c r="L22" s="2"/>
      <c r="M22" s="2"/>
      <c r="N22" s="2"/>
      <c r="O22" s="2"/>
      <c r="P22" s="2"/>
    </row>
    <row r="23" spans="1:16" ht="21" customHeight="1">
      <c r="A23" s="2"/>
      <c r="B23" s="2"/>
      <c r="C23" s="10"/>
      <c r="D23" s="2"/>
      <c r="E23" s="2"/>
      <c r="F23" s="2"/>
      <c r="G23" s="12"/>
      <c r="H23" s="2"/>
      <c r="I23" s="2"/>
      <c r="J23" s="2"/>
      <c r="K23" s="2"/>
      <c r="L23" s="2"/>
      <c r="M23" s="2"/>
      <c r="N23" s="2"/>
      <c r="O23" s="2"/>
      <c r="P23" s="2"/>
    </row>
    <row r="24" spans="1:16" ht="21" customHeight="1">
      <c r="A24" s="2"/>
      <c r="B24" s="2"/>
      <c r="C24" s="10"/>
      <c r="D24" s="2"/>
      <c r="E24" s="2"/>
      <c r="F24" s="2"/>
      <c r="G24" s="12"/>
      <c r="H24" s="2"/>
      <c r="I24" s="2"/>
      <c r="J24" s="2"/>
      <c r="K24" s="2"/>
      <c r="L24" s="2"/>
      <c r="M24" s="2"/>
      <c r="N24" s="2"/>
      <c r="O24" s="2"/>
      <c r="P24" s="2"/>
    </row>
    <row r="25" spans="1:16" ht="21" customHeight="1">
      <c r="A25" s="2"/>
      <c r="B25" s="2"/>
      <c r="C25" s="10"/>
      <c r="D25" s="2"/>
      <c r="E25" s="2"/>
      <c r="F25" s="2"/>
      <c r="G25" s="12"/>
      <c r="H25" s="2"/>
      <c r="I25" s="2"/>
      <c r="J25" s="2"/>
      <c r="K25" s="2"/>
      <c r="L25" s="2"/>
      <c r="M25" s="2"/>
      <c r="N25" s="2"/>
      <c r="O25" s="2"/>
      <c r="P25" s="2"/>
    </row>
    <row r="26" spans="1:16" ht="21" customHeight="1">
      <c r="A26" s="2"/>
      <c r="B26" s="2"/>
      <c r="C26" s="10"/>
      <c r="D26" s="2"/>
      <c r="E26" s="2"/>
      <c r="F26" s="2"/>
      <c r="G26" s="12"/>
      <c r="H26" s="2"/>
      <c r="I26" s="2"/>
      <c r="J26" s="2"/>
      <c r="K26" s="2"/>
      <c r="L26" s="2"/>
      <c r="M26" s="2"/>
      <c r="N26" s="2"/>
      <c r="O26" s="2"/>
      <c r="P26" s="2"/>
    </row>
    <row r="27" spans="1:16" ht="21" customHeight="1">
      <c r="A27" s="2"/>
      <c r="B27" s="2"/>
      <c r="C27" s="10"/>
      <c r="D27" s="2"/>
      <c r="E27" s="2"/>
      <c r="F27" s="2"/>
      <c r="G27" s="12"/>
      <c r="H27" s="2"/>
      <c r="I27" s="2"/>
      <c r="J27" s="2"/>
      <c r="K27" s="2"/>
      <c r="L27" s="2"/>
      <c r="M27" s="2"/>
      <c r="N27" s="2"/>
      <c r="O27" s="2"/>
      <c r="P27" s="2"/>
    </row>
    <row r="28" spans="1:16" ht="21" customHeight="1">
      <c r="A28" s="2"/>
      <c r="B28" s="2"/>
      <c r="C28" s="10"/>
      <c r="D28" s="2"/>
      <c r="E28" s="2"/>
      <c r="F28" s="2"/>
      <c r="G28" s="12"/>
      <c r="H28" s="2"/>
      <c r="I28" s="2"/>
      <c r="J28" s="2"/>
      <c r="K28" s="2"/>
      <c r="L28" s="2"/>
      <c r="M28" s="2"/>
      <c r="N28" s="2"/>
      <c r="O28" s="2"/>
      <c r="P28" s="2"/>
    </row>
    <row r="29" spans="1:16" ht="21" customHeight="1">
      <c r="A29" s="2"/>
      <c r="B29" s="2"/>
      <c r="C29" s="10"/>
      <c r="D29" s="2"/>
      <c r="E29" s="2"/>
      <c r="F29" s="2"/>
      <c r="G29" s="12"/>
      <c r="H29" s="2"/>
      <c r="I29" s="2"/>
      <c r="J29" s="2"/>
      <c r="K29" s="2"/>
      <c r="L29" s="2"/>
      <c r="M29" s="2"/>
      <c r="N29" s="2"/>
      <c r="O29" s="2"/>
      <c r="P29" s="2"/>
    </row>
    <row r="30" spans="1:16" ht="21" customHeight="1">
      <c r="A30" s="2"/>
      <c r="B30" s="2"/>
      <c r="C30" s="10"/>
      <c r="D30" s="2"/>
      <c r="E30" s="2"/>
      <c r="F30" s="2"/>
      <c r="G30" s="1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sortState xmlns:xlrd2="http://schemas.microsoft.com/office/spreadsheetml/2017/richdata2" ref="A2:G15">
    <sortCondition ref="A2"/>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600"/>
  <sheetViews>
    <sheetView showGridLines="0" workbookViewId="0">
      <pane ySplit="1" topLeftCell="A2" activePane="bottomLeft" state="frozen"/>
      <selection pane="bottomLeft"/>
    </sheetView>
  </sheetViews>
  <sheetFormatPr defaultRowHeight="14.25"/>
  <cols>
    <col min="1" max="1" width="100" customWidth="1"/>
    <col min="2" max="7" width="20" customWidth="1"/>
  </cols>
  <sheetData>
    <row r="1" spans="1:16" ht="21" customHeight="1">
      <c r="A1" s="6" t="s">
        <v>549</v>
      </c>
      <c r="B1" s="6" t="s">
        <v>542</v>
      </c>
      <c r="C1" s="6" t="s">
        <v>550</v>
      </c>
      <c r="D1" s="6" t="s">
        <v>551</v>
      </c>
      <c r="E1" s="2"/>
      <c r="F1" s="2"/>
      <c r="G1" s="2"/>
      <c r="H1" s="2"/>
      <c r="I1" s="2"/>
      <c r="J1" s="2"/>
      <c r="K1" s="2"/>
      <c r="L1" s="2"/>
      <c r="M1" s="2"/>
      <c r="N1" s="2"/>
      <c r="O1" s="2"/>
      <c r="P1" s="2"/>
    </row>
    <row r="2" spans="1:16" ht="21" customHeight="1">
      <c r="A2" s="2"/>
      <c r="B2" s="164"/>
      <c r="C2" s="2"/>
      <c r="D2" s="2"/>
      <c r="E2" s="2"/>
      <c r="F2" s="2"/>
      <c r="G2" s="2"/>
      <c r="H2" s="2"/>
      <c r="I2" s="2"/>
      <c r="J2" s="2"/>
      <c r="K2" s="2"/>
      <c r="L2" s="2"/>
      <c r="M2" s="2"/>
      <c r="N2" s="2"/>
      <c r="O2" s="2"/>
      <c r="P2" s="2"/>
    </row>
    <row r="3" spans="1:16" ht="21" customHeight="1">
      <c r="A3" s="2"/>
      <c r="B3" s="164"/>
      <c r="C3" s="2"/>
      <c r="D3" s="2"/>
      <c r="E3" s="2"/>
      <c r="F3" s="2"/>
      <c r="G3" s="2"/>
      <c r="H3" s="2"/>
      <c r="I3" s="2"/>
      <c r="J3" s="2"/>
      <c r="K3" s="2"/>
      <c r="L3" s="2"/>
      <c r="M3" s="2"/>
      <c r="N3" s="2"/>
      <c r="O3" s="2"/>
      <c r="P3" s="2"/>
    </row>
    <row r="4" spans="1:16" ht="21" customHeight="1">
      <c r="A4" s="2"/>
      <c r="B4" s="164"/>
      <c r="C4" s="2"/>
      <c r="D4" s="2"/>
      <c r="E4" s="2"/>
      <c r="F4" s="2"/>
      <c r="G4" s="2"/>
      <c r="H4" s="2"/>
      <c r="I4" s="2"/>
      <c r="J4" s="2"/>
      <c r="K4" s="2"/>
      <c r="L4" s="2"/>
      <c r="M4" s="2"/>
      <c r="N4" s="2"/>
      <c r="O4" s="2"/>
      <c r="P4" s="2"/>
    </row>
    <row r="5" spans="1:16" ht="21" customHeight="1">
      <c r="A5" s="2"/>
      <c r="B5" s="164"/>
      <c r="C5" s="2"/>
      <c r="D5" s="2"/>
      <c r="E5" s="2"/>
      <c r="F5" s="2"/>
      <c r="G5" s="2"/>
      <c r="H5" s="2"/>
      <c r="I5" s="2"/>
      <c r="J5" s="2"/>
      <c r="K5" s="2"/>
      <c r="L5" s="2"/>
      <c r="M5" s="2"/>
      <c r="N5" s="2"/>
      <c r="O5" s="2"/>
      <c r="P5" s="2"/>
    </row>
    <row r="6" spans="1:16" ht="21" customHeight="1">
      <c r="A6" s="2"/>
      <c r="B6" s="164"/>
      <c r="C6" s="2"/>
      <c r="D6" s="2"/>
      <c r="E6" s="2"/>
      <c r="F6" s="2"/>
      <c r="G6" s="2"/>
      <c r="H6" s="2"/>
      <c r="I6" s="2"/>
      <c r="J6" s="2"/>
      <c r="K6" s="2"/>
      <c r="L6" s="2"/>
      <c r="M6" s="2"/>
      <c r="N6" s="2"/>
      <c r="O6" s="2"/>
      <c r="P6" s="2"/>
    </row>
    <row r="7" spans="1:16" ht="21" customHeight="1">
      <c r="A7" s="2"/>
      <c r="B7" s="2"/>
      <c r="C7" s="2"/>
      <c r="D7" s="2"/>
      <c r="E7" s="2"/>
      <c r="F7" s="2"/>
      <c r="G7" s="2"/>
      <c r="H7" s="2"/>
      <c r="I7" s="2"/>
      <c r="J7" s="2"/>
      <c r="K7" s="2"/>
      <c r="L7" s="2"/>
      <c r="M7" s="2"/>
      <c r="N7" s="2"/>
      <c r="O7" s="2"/>
      <c r="P7" s="2"/>
    </row>
    <row r="8" spans="1:16" ht="21" customHeight="1">
      <c r="A8" s="2"/>
      <c r="B8" s="2"/>
      <c r="C8" s="2"/>
      <c r="D8" s="2"/>
      <c r="E8" s="2"/>
      <c r="F8" s="2"/>
      <c r="G8" s="2"/>
      <c r="H8" s="2"/>
      <c r="I8" s="2"/>
      <c r="J8" s="2"/>
      <c r="K8" s="2"/>
      <c r="L8" s="2"/>
      <c r="M8" s="2"/>
      <c r="N8" s="2"/>
      <c r="O8" s="2"/>
      <c r="P8" s="2"/>
    </row>
    <row r="9" spans="1:16" ht="21" customHeight="1">
      <c r="A9" s="2"/>
      <c r="B9" s="2"/>
      <c r="C9" s="2"/>
      <c r="D9" s="2"/>
      <c r="E9" s="2"/>
      <c r="F9" s="2"/>
      <c r="G9" s="2"/>
      <c r="H9" s="2"/>
      <c r="I9" s="2"/>
      <c r="J9" s="2"/>
      <c r="K9" s="2"/>
      <c r="L9" s="2"/>
      <c r="M9" s="2"/>
      <c r="N9" s="2"/>
      <c r="O9" s="2"/>
      <c r="P9" s="2"/>
    </row>
    <row r="10" spans="1:16" ht="21" customHeight="1">
      <c r="A10" s="2"/>
      <c r="B10" s="2"/>
      <c r="C10" s="2"/>
      <c r="D10" s="2"/>
      <c r="E10" s="2"/>
      <c r="F10" s="2"/>
      <c r="G10" s="2"/>
      <c r="H10" s="2"/>
      <c r="I10" s="2"/>
      <c r="J10" s="2"/>
      <c r="K10" s="2"/>
      <c r="L10" s="2"/>
      <c r="M10" s="2"/>
      <c r="N10" s="2"/>
      <c r="O10" s="2"/>
      <c r="P10" s="2"/>
    </row>
    <row r="11" spans="1:16" ht="21" customHeight="1">
      <c r="A11" s="2"/>
      <c r="B11" s="2"/>
      <c r="C11" s="2"/>
      <c r="D11" s="2"/>
      <c r="E11" s="2"/>
      <c r="F11" s="2"/>
      <c r="G11" s="2"/>
      <c r="H11" s="2"/>
      <c r="I11" s="2"/>
      <c r="J11" s="2"/>
      <c r="K11" s="2"/>
      <c r="L11" s="2"/>
      <c r="M11" s="2"/>
      <c r="N11" s="2"/>
      <c r="O11" s="2"/>
      <c r="P11" s="2"/>
    </row>
    <row r="12" spans="1:16" ht="21" customHeight="1">
      <c r="A12" s="2"/>
      <c r="B12" s="2"/>
      <c r="C12" s="2"/>
      <c r="D12" s="2"/>
      <c r="E12" s="2"/>
      <c r="F12" s="2"/>
      <c r="G12" s="2"/>
      <c r="H12" s="2"/>
      <c r="I12" s="2"/>
      <c r="J12" s="2"/>
      <c r="K12" s="2"/>
      <c r="L12" s="2"/>
      <c r="M12" s="2"/>
      <c r="N12" s="2"/>
      <c r="O12" s="2"/>
      <c r="P12" s="2"/>
    </row>
    <row r="13" spans="1:16" ht="21" customHeight="1">
      <c r="A13" s="2"/>
      <c r="B13" s="2"/>
      <c r="C13" s="2"/>
      <c r="D13" s="2"/>
      <c r="E13" s="2"/>
      <c r="F13" s="2"/>
      <c r="G13" s="2"/>
      <c r="H13" s="2"/>
      <c r="I13" s="2"/>
      <c r="J13" s="2"/>
      <c r="K13" s="2"/>
      <c r="L13" s="2"/>
      <c r="M13" s="2"/>
      <c r="N13" s="2"/>
      <c r="O13" s="2"/>
      <c r="P13" s="2"/>
    </row>
    <row r="14" spans="1:16" ht="21" customHeight="1">
      <c r="A14" s="2"/>
      <c r="B14" s="2"/>
      <c r="C14" s="2"/>
      <c r="D14" s="2"/>
      <c r="E14" s="2"/>
      <c r="F14" s="2"/>
      <c r="G14" s="2"/>
      <c r="H14" s="2"/>
      <c r="I14" s="2"/>
      <c r="J14" s="2"/>
      <c r="K14" s="2"/>
      <c r="L14" s="2"/>
      <c r="M14" s="2"/>
      <c r="N14" s="2"/>
      <c r="O14" s="2"/>
      <c r="P14" s="2"/>
    </row>
    <row r="15" spans="1:16" ht="21" customHeight="1">
      <c r="A15" s="2"/>
      <c r="B15" s="2"/>
      <c r="C15" s="2"/>
      <c r="D15" s="2"/>
      <c r="E15" s="2"/>
      <c r="F15" s="2"/>
      <c r="G15" s="2"/>
      <c r="H15" s="2"/>
      <c r="I15" s="2"/>
      <c r="J15" s="2"/>
      <c r="K15" s="2"/>
      <c r="L15" s="2"/>
      <c r="M15" s="2"/>
      <c r="N15" s="2"/>
      <c r="O15" s="2"/>
      <c r="P15" s="2"/>
    </row>
    <row r="16" spans="1:16" ht="21" customHeight="1">
      <c r="A16" s="2"/>
      <c r="B16" s="2"/>
      <c r="C16" s="2"/>
      <c r="D16" s="2"/>
      <c r="E16" s="2"/>
      <c r="F16" s="2"/>
      <c r="G16" s="2"/>
      <c r="H16" s="2"/>
      <c r="I16" s="2"/>
      <c r="J16" s="2"/>
      <c r="K16" s="2"/>
      <c r="L16" s="2"/>
      <c r="M16" s="2"/>
      <c r="N16" s="2"/>
      <c r="O16" s="2"/>
      <c r="P16" s="2"/>
    </row>
    <row r="17" spans="1:16" ht="21" customHeight="1">
      <c r="A17" s="2"/>
      <c r="B17" s="2"/>
      <c r="C17" s="2"/>
      <c r="D17" s="2"/>
      <c r="E17" s="2"/>
      <c r="F17" s="2"/>
      <c r="G17" s="2"/>
      <c r="H17" s="2"/>
      <c r="I17" s="2"/>
      <c r="J17" s="2"/>
      <c r="K17" s="2"/>
      <c r="L17" s="2"/>
      <c r="M17" s="2"/>
      <c r="N17" s="2"/>
      <c r="O17" s="2"/>
      <c r="P17" s="2"/>
    </row>
    <row r="18" spans="1:16" ht="21" customHeight="1">
      <c r="A18" s="2"/>
      <c r="B18" s="2"/>
      <c r="C18" s="2"/>
      <c r="D18" s="2"/>
      <c r="E18" s="2"/>
      <c r="F18" s="2"/>
      <c r="G18" s="2"/>
      <c r="H18" s="2"/>
      <c r="I18" s="2"/>
      <c r="J18" s="2"/>
      <c r="K18" s="2"/>
      <c r="L18" s="2"/>
      <c r="M18" s="2"/>
      <c r="N18" s="2"/>
      <c r="O18" s="2"/>
      <c r="P18" s="2"/>
    </row>
    <row r="19" spans="1:16" ht="21" customHeight="1">
      <c r="A19" s="2"/>
      <c r="B19" s="2"/>
      <c r="C19" s="2"/>
      <c r="D19" s="2"/>
      <c r="E19" s="2"/>
      <c r="F19" s="2"/>
      <c r="G19" s="2"/>
      <c r="H19" s="2"/>
      <c r="I19" s="2"/>
      <c r="J19" s="2"/>
      <c r="K19" s="2"/>
      <c r="L19" s="2"/>
      <c r="M19" s="2"/>
      <c r="N19" s="2"/>
      <c r="O19" s="2"/>
      <c r="P19" s="2"/>
    </row>
    <row r="20" spans="1:16" ht="21" customHeight="1">
      <c r="A20" s="2"/>
      <c r="B20" s="2"/>
      <c r="C20" s="2"/>
      <c r="D20" s="2"/>
      <c r="E20" s="2"/>
      <c r="F20" s="2"/>
      <c r="G20" s="2"/>
      <c r="H20" s="2"/>
      <c r="I20" s="2"/>
      <c r="J20" s="2"/>
      <c r="K20" s="2"/>
      <c r="L20" s="2"/>
      <c r="M20" s="2"/>
      <c r="N20" s="2"/>
      <c r="O20" s="2"/>
      <c r="P20" s="2"/>
    </row>
    <row r="21" spans="1:16" ht="21" customHeight="1">
      <c r="A21" s="2"/>
      <c r="B21" s="2"/>
      <c r="C21" s="2"/>
      <c r="D21" s="2"/>
      <c r="E21" s="2"/>
      <c r="F21" s="2"/>
      <c r="G21" s="2"/>
      <c r="H21" s="2"/>
      <c r="I21" s="2"/>
      <c r="J21" s="2"/>
      <c r="K21" s="2"/>
      <c r="L21" s="2"/>
      <c r="M21" s="2"/>
      <c r="N21" s="2"/>
      <c r="O21" s="2"/>
      <c r="P21" s="2"/>
    </row>
    <row r="22" spans="1:16" ht="21" customHeight="1">
      <c r="A22" s="2"/>
      <c r="B22" s="2"/>
      <c r="C22" s="2"/>
      <c r="D22" s="2"/>
      <c r="E22" s="2"/>
      <c r="F22" s="2"/>
      <c r="G22" s="2"/>
      <c r="H22" s="2"/>
      <c r="I22" s="2"/>
      <c r="J22" s="2"/>
      <c r="K22" s="2"/>
      <c r="L22" s="2"/>
      <c r="M22" s="2"/>
      <c r="N22" s="2"/>
      <c r="O22" s="2"/>
      <c r="P22" s="2"/>
    </row>
    <row r="23" spans="1:16" ht="21" customHeight="1">
      <c r="A23" s="2"/>
      <c r="B23" s="2"/>
      <c r="C23" s="2"/>
      <c r="D23" s="2"/>
      <c r="E23" s="2"/>
      <c r="F23" s="2"/>
      <c r="G23" s="2"/>
      <c r="H23" s="2"/>
      <c r="I23" s="2"/>
      <c r="J23" s="2"/>
      <c r="K23" s="2"/>
      <c r="L23" s="2"/>
      <c r="M23" s="2"/>
      <c r="N23" s="2"/>
      <c r="O23" s="2"/>
      <c r="P23" s="2"/>
    </row>
    <row r="24" spans="1:16" ht="21" customHeight="1">
      <c r="A24" s="2"/>
      <c r="B24" s="2"/>
      <c r="C24" s="2"/>
      <c r="D24" s="2"/>
      <c r="E24" s="2"/>
      <c r="F24" s="2"/>
      <c r="G24" s="2"/>
      <c r="H24" s="2"/>
      <c r="I24" s="2"/>
      <c r="J24" s="2"/>
      <c r="K24" s="2"/>
      <c r="L24" s="2"/>
      <c r="M24" s="2"/>
      <c r="N24" s="2"/>
      <c r="O24" s="2"/>
      <c r="P24" s="2"/>
    </row>
    <row r="25" spans="1:16" ht="21" customHeight="1">
      <c r="A25" s="2"/>
      <c r="B25" s="2"/>
      <c r="C25" s="2"/>
      <c r="D25" s="2"/>
      <c r="E25" s="2"/>
      <c r="F25" s="2"/>
      <c r="G25" s="2"/>
      <c r="H25" s="2"/>
      <c r="I25" s="2"/>
      <c r="J25" s="2"/>
      <c r="K25" s="2"/>
      <c r="L25" s="2"/>
      <c r="M25" s="2"/>
      <c r="N25" s="2"/>
      <c r="O25" s="2"/>
      <c r="P25" s="2"/>
    </row>
    <row r="26" spans="1:16" ht="21" customHeight="1">
      <c r="A26" s="2"/>
      <c r="B26" s="2"/>
      <c r="C26" s="2"/>
      <c r="D26" s="2"/>
      <c r="E26" s="2"/>
      <c r="F26" s="2"/>
      <c r="G26" s="2"/>
      <c r="H26" s="2"/>
      <c r="I26" s="2"/>
      <c r="J26" s="2"/>
      <c r="K26" s="2"/>
      <c r="L26" s="2"/>
      <c r="M26" s="2"/>
      <c r="N26" s="2"/>
      <c r="O26" s="2"/>
      <c r="P26" s="2"/>
    </row>
    <row r="27" spans="1:16" ht="21" customHeight="1">
      <c r="A27" s="2"/>
      <c r="B27" s="2"/>
      <c r="C27" s="2"/>
      <c r="D27" s="2"/>
      <c r="E27" s="2"/>
      <c r="F27" s="2"/>
      <c r="G27" s="2"/>
      <c r="H27" s="2"/>
      <c r="I27" s="2"/>
      <c r="J27" s="2"/>
      <c r="K27" s="2"/>
      <c r="L27" s="2"/>
      <c r="M27" s="2"/>
      <c r="N27" s="2"/>
      <c r="O27" s="2"/>
      <c r="P27" s="2"/>
    </row>
    <row r="28" spans="1:16" ht="21" customHeight="1">
      <c r="A28" s="2"/>
      <c r="B28" s="2"/>
      <c r="C28" s="2"/>
      <c r="D28" s="2"/>
      <c r="E28" s="2"/>
      <c r="F28" s="2"/>
      <c r="G28" s="2"/>
      <c r="H28" s="2"/>
      <c r="I28" s="2"/>
      <c r="J28" s="2"/>
      <c r="K28" s="2"/>
      <c r="L28" s="2"/>
      <c r="M28" s="2"/>
      <c r="N28" s="2"/>
      <c r="O28" s="2"/>
      <c r="P28" s="2"/>
    </row>
    <row r="29" spans="1:16" ht="21" customHeight="1">
      <c r="A29" s="2"/>
      <c r="B29" s="2"/>
      <c r="C29" s="2"/>
      <c r="D29" s="2"/>
      <c r="E29" s="2"/>
      <c r="F29" s="2"/>
      <c r="G29" s="2"/>
      <c r="H29" s="2"/>
      <c r="I29" s="2"/>
      <c r="J29" s="2"/>
      <c r="K29" s="2"/>
      <c r="L29" s="2"/>
      <c r="M29" s="2"/>
      <c r="N29" s="2"/>
      <c r="O29" s="2"/>
      <c r="P29" s="2"/>
    </row>
    <row r="30" spans="1:16" ht="21" customHeight="1">
      <c r="A30" s="2"/>
      <c r="B30" s="2"/>
      <c r="C30" s="2"/>
      <c r="D30" s="2"/>
      <c r="E30" s="2"/>
      <c r="F30" s="2"/>
      <c r="G30" s="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P600"/>
  <sheetViews>
    <sheetView showGridLines="0" workbookViewId="0">
      <pane ySplit="1" topLeftCell="A2" activePane="bottomLeft" state="frozen"/>
      <selection pane="bottomLeft"/>
    </sheetView>
  </sheetViews>
  <sheetFormatPr defaultRowHeight="14.25"/>
  <cols>
    <col min="1" max="1" width="20" customWidth="1"/>
    <col min="2" max="2" width="62" customWidth="1"/>
    <col min="3" max="3" width="20" customWidth="1"/>
    <col min="4" max="4" width="75" customWidth="1"/>
    <col min="5" max="5" width="20" customWidth="1"/>
    <col min="6" max="6" width="27" customWidth="1"/>
    <col min="7" max="7" width="20" customWidth="1"/>
  </cols>
  <sheetData>
    <row r="1" spans="1:16" ht="21" customHeight="1">
      <c r="A1" s="6" t="s">
        <v>552</v>
      </c>
      <c r="B1" s="6" t="s">
        <v>128</v>
      </c>
      <c r="C1" s="6" t="s">
        <v>553</v>
      </c>
      <c r="D1" s="6" t="s">
        <v>554</v>
      </c>
      <c r="E1" s="6" t="s">
        <v>555</v>
      </c>
      <c r="F1" s="6" t="s">
        <v>877</v>
      </c>
      <c r="G1" s="2"/>
      <c r="H1" s="2"/>
      <c r="I1" s="2"/>
      <c r="J1" s="2"/>
      <c r="K1" s="2"/>
      <c r="L1" s="2"/>
      <c r="M1" s="2"/>
      <c r="N1" s="2"/>
      <c r="O1" s="2"/>
      <c r="P1" s="2"/>
    </row>
    <row r="2" spans="1:16" ht="21" customHeight="1">
      <c r="A2" s="2" t="s">
        <v>588</v>
      </c>
      <c r="B2" s="2" t="s">
        <v>589</v>
      </c>
      <c r="C2" s="2" t="s">
        <v>566</v>
      </c>
      <c r="D2" s="2"/>
      <c r="E2" s="2">
        <v>200</v>
      </c>
      <c r="F2" s="13">
        <v>46307.76939814815</v>
      </c>
      <c r="G2" s="2"/>
      <c r="H2" s="2"/>
      <c r="I2" s="2"/>
      <c r="J2" s="2"/>
      <c r="K2" s="2"/>
      <c r="L2" s="2"/>
      <c r="M2" s="2"/>
      <c r="N2" s="2"/>
      <c r="O2" s="2"/>
      <c r="P2" s="2"/>
    </row>
    <row r="3" spans="1:16" ht="21" customHeight="1">
      <c r="A3" s="2" t="s">
        <v>881</v>
      </c>
      <c r="B3" s="2" t="s">
        <v>882</v>
      </c>
      <c r="C3" s="2" t="s">
        <v>566</v>
      </c>
      <c r="D3" s="2" t="s">
        <v>980</v>
      </c>
      <c r="E3" s="2">
        <v>200</v>
      </c>
      <c r="F3" s="13">
        <v>46307.76939814815</v>
      </c>
      <c r="G3" s="2"/>
      <c r="H3" s="2"/>
      <c r="I3" s="2"/>
      <c r="J3" s="2"/>
      <c r="K3" s="2"/>
      <c r="L3" s="2"/>
      <c r="M3" s="2"/>
      <c r="N3" s="2"/>
      <c r="O3" s="2"/>
      <c r="P3" s="2"/>
    </row>
    <row r="4" spans="1:16" ht="21" customHeight="1">
      <c r="A4" s="2" t="s">
        <v>199</v>
      </c>
      <c r="B4" s="2" t="s">
        <v>203</v>
      </c>
      <c r="C4" s="2" t="s">
        <v>851</v>
      </c>
      <c r="D4" s="2" t="s">
        <v>852</v>
      </c>
      <c r="E4" s="2">
        <v>200</v>
      </c>
      <c r="F4" s="13">
        <v>46307.769409722219</v>
      </c>
      <c r="G4" s="2"/>
      <c r="H4" s="2"/>
      <c r="I4" s="2"/>
      <c r="J4" s="2"/>
      <c r="K4" s="2"/>
      <c r="L4" s="2"/>
      <c r="M4" s="2"/>
      <c r="N4" s="2"/>
      <c r="O4" s="2"/>
      <c r="P4" s="2"/>
    </row>
    <row r="5" spans="1:16" ht="21" customHeight="1">
      <c r="A5" s="2" t="s">
        <v>206</v>
      </c>
      <c r="B5" s="2" t="s">
        <v>210</v>
      </c>
      <c r="C5" s="2" t="s">
        <v>566</v>
      </c>
      <c r="D5" s="2"/>
      <c r="E5" s="2">
        <v>200</v>
      </c>
      <c r="F5" s="13">
        <v>46307.769409722219</v>
      </c>
      <c r="G5" s="2"/>
      <c r="H5" s="2"/>
      <c r="I5" s="2"/>
      <c r="J5" s="2"/>
      <c r="K5" s="2"/>
      <c r="L5" s="2"/>
      <c r="M5" s="2"/>
      <c r="N5" s="2"/>
      <c r="O5" s="2"/>
      <c r="P5" s="2"/>
    </row>
    <row r="6" spans="1:16" ht="21" customHeight="1">
      <c r="A6" s="2" t="s">
        <v>213</v>
      </c>
      <c r="B6" s="2" t="s">
        <v>216</v>
      </c>
      <c r="C6" s="2" t="s">
        <v>566</v>
      </c>
      <c r="D6" s="2"/>
      <c r="E6" s="2">
        <v>200</v>
      </c>
      <c r="F6" s="13">
        <v>46307.769421296296</v>
      </c>
      <c r="G6" s="2"/>
      <c r="H6" s="2"/>
      <c r="I6" s="2"/>
      <c r="J6" s="2"/>
      <c r="K6" s="2"/>
      <c r="L6" s="2"/>
      <c r="M6" s="2"/>
      <c r="N6" s="2"/>
      <c r="O6" s="2"/>
      <c r="P6" s="2"/>
    </row>
    <row r="7" spans="1:16" ht="21" customHeight="1">
      <c r="A7" s="2" t="s">
        <v>219</v>
      </c>
      <c r="B7" s="2" t="s">
        <v>221</v>
      </c>
      <c r="C7" s="2" t="s">
        <v>566</v>
      </c>
      <c r="D7" s="2"/>
      <c r="E7" s="2">
        <v>200</v>
      </c>
      <c r="F7" s="13">
        <v>46307.769421296296</v>
      </c>
      <c r="G7" s="2"/>
      <c r="H7" s="2"/>
      <c r="I7" s="2"/>
      <c r="J7" s="2"/>
      <c r="K7" s="2"/>
      <c r="L7" s="2"/>
      <c r="M7" s="2"/>
      <c r="N7" s="2"/>
      <c r="O7" s="2"/>
      <c r="P7" s="2"/>
    </row>
    <row r="8" spans="1:16" ht="21" customHeight="1">
      <c r="A8" s="2" t="s">
        <v>224</v>
      </c>
      <c r="B8" s="2" t="s">
        <v>227</v>
      </c>
      <c r="C8" s="2" t="s">
        <v>566</v>
      </c>
      <c r="D8" s="2"/>
      <c r="E8" s="2">
        <v>200</v>
      </c>
      <c r="F8" s="13">
        <v>46307.769421296296</v>
      </c>
      <c r="G8" s="2"/>
      <c r="H8" s="2"/>
      <c r="I8" s="2"/>
      <c r="J8" s="2"/>
      <c r="K8" s="2"/>
      <c r="L8" s="2"/>
      <c r="M8" s="2"/>
      <c r="N8" s="2"/>
      <c r="O8" s="2"/>
      <c r="P8" s="2"/>
    </row>
    <row r="9" spans="1:16" ht="21" customHeight="1">
      <c r="A9" s="2" t="s">
        <v>230</v>
      </c>
      <c r="B9" s="2" t="s">
        <v>232</v>
      </c>
      <c r="C9" s="2" t="s">
        <v>566</v>
      </c>
      <c r="D9" s="2"/>
      <c r="E9" s="2">
        <v>200</v>
      </c>
      <c r="F9" s="13">
        <v>46307.769421296296</v>
      </c>
      <c r="G9" s="2"/>
      <c r="H9" s="2"/>
      <c r="I9" s="2"/>
      <c r="J9" s="2"/>
      <c r="K9" s="2"/>
      <c r="L9" s="2"/>
      <c r="M9" s="2"/>
      <c r="N9" s="2"/>
      <c r="O9" s="2"/>
      <c r="P9" s="2"/>
    </row>
    <row r="10" spans="1:16" ht="21" customHeight="1">
      <c r="A10" s="2" t="s">
        <v>235</v>
      </c>
      <c r="B10" s="2" t="s">
        <v>237</v>
      </c>
      <c r="C10" s="2" t="s">
        <v>566</v>
      </c>
      <c r="D10" s="2"/>
      <c r="E10" s="2">
        <v>200</v>
      </c>
      <c r="F10" s="13">
        <v>46307.769421296296</v>
      </c>
      <c r="G10" s="2"/>
      <c r="H10" s="2"/>
      <c r="I10" s="2"/>
      <c r="J10" s="2"/>
      <c r="K10" s="2"/>
      <c r="L10" s="2"/>
      <c r="M10" s="2"/>
      <c r="N10" s="2"/>
      <c r="O10" s="2"/>
      <c r="P10" s="2"/>
    </row>
    <row r="11" spans="1:16" ht="21" customHeight="1">
      <c r="A11" s="2" t="s">
        <v>240</v>
      </c>
      <c r="B11" s="2" t="s">
        <v>242</v>
      </c>
      <c r="C11" s="2" t="s">
        <v>566</v>
      </c>
      <c r="D11" s="2"/>
      <c r="E11" s="2">
        <v>200</v>
      </c>
      <c r="F11" s="13">
        <v>46307.769421296296</v>
      </c>
      <c r="G11" s="2"/>
      <c r="H11" s="2"/>
      <c r="I11" s="2"/>
      <c r="J11" s="2"/>
      <c r="K11" s="2"/>
      <c r="L11" s="2"/>
      <c r="M11" s="2"/>
      <c r="N11" s="2"/>
      <c r="O11" s="2"/>
      <c r="P11" s="2"/>
    </row>
    <row r="12" spans="1:16" ht="21" customHeight="1">
      <c r="A12" s="2" t="s">
        <v>245</v>
      </c>
      <c r="B12" s="2" t="s">
        <v>248</v>
      </c>
      <c r="C12" s="2" t="s">
        <v>566</v>
      </c>
      <c r="D12" s="2"/>
      <c r="E12" s="2">
        <v>200</v>
      </c>
      <c r="F12" s="13">
        <v>46307.769421296296</v>
      </c>
      <c r="G12" s="2"/>
      <c r="H12" s="2"/>
      <c r="I12" s="2"/>
      <c r="J12" s="2"/>
      <c r="K12" s="2"/>
      <c r="L12" s="2"/>
      <c r="M12" s="2"/>
      <c r="N12" s="2"/>
      <c r="O12" s="2"/>
      <c r="P12" s="2"/>
    </row>
    <row r="13" spans="1:16" ht="21" customHeight="1">
      <c r="A13" s="2" t="s">
        <v>251</v>
      </c>
      <c r="B13" s="2" t="s">
        <v>254</v>
      </c>
      <c r="C13" s="2" t="s">
        <v>566</v>
      </c>
      <c r="D13" s="2"/>
      <c r="E13" s="2">
        <v>200</v>
      </c>
      <c r="F13" s="13">
        <v>46307.769432870373</v>
      </c>
      <c r="G13" s="2"/>
      <c r="H13" s="2"/>
      <c r="I13" s="2"/>
      <c r="J13" s="2"/>
      <c r="K13" s="2"/>
      <c r="L13" s="2"/>
      <c r="M13" s="2"/>
      <c r="N13" s="2"/>
      <c r="O13" s="2"/>
      <c r="P13" s="2"/>
    </row>
    <row r="14" spans="1:16" ht="21" customHeight="1">
      <c r="A14" s="2"/>
      <c r="B14" s="2"/>
      <c r="C14" s="2"/>
      <c r="D14" s="2"/>
      <c r="E14" s="2"/>
      <c r="F14" s="13"/>
      <c r="G14" s="2"/>
      <c r="H14" s="2"/>
      <c r="I14" s="2"/>
      <c r="J14" s="2"/>
      <c r="K14" s="2"/>
      <c r="L14" s="2"/>
      <c r="M14" s="2"/>
      <c r="N14" s="2"/>
      <c r="O14" s="2"/>
      <c r="P14" s="2"/>
    </row>
    <row r="15" spans="1:16" ht="21" customHeight="1">
      <c r="A15" s="2"/>
      <c r="B15" s="2"/>
      <c r="C15" s="2"/>
      <c r="D15" s="2"/>
      <c r="E15" s="2"/>
      <c r="F15" s="13"/>
      <c r="G15" s="2"/>
      <c r="H15" s="2"/>
      <c r="I15" s="2"/>
      <c r="J15" s="2"/>
      <c r="K15" s="2"/>
      <c r="L15" s="2"/>
      <c r="M15" s="2"/>
      <c r="N15" s="2"/>
      <c r="O15" s="2"/>
      <c r="P15" s="2"/>
    </row>
    <row r="16" spans="1:16" ht="21" customHeight="1">
      <c r="A16" s="2"/>
      <c r="B16" s="2"/>
      <c r="C16" s="2"/>
      <c r="D16" s="2"/>
      <c r="E16" s="2"/>
      <c r="F16" s="13"/>
      <c r="G16" s="2"/>
      <c r="H16" s="2"/>
      <c r="I16" s="2"/>
      <c r="J16" s="2"/>
      <c r="K16" s="2"/>
      <c r="L16" s="2"/>
      <c r="M16" s="2"/>
      <c r="N16" s="2"/>
      <c r="O16" s="2"/>
      <c r="P16" s="2"/>
    </row>
    <row r="17" spans="1:16" ht="21" customHeight="1">
      <c r="A17" s="2"/>
      <c r="B17" s="2"/>
      <c r="C17" s="2"/>
      <c r="D17" s="2"/>
      <c r="E17" s="2"/>
      <c r="F17" s="13"/>
      <c r="G17" s="2"/>
      <c r="H17" s="2"/>
      <c r="I17" s="2"/>
      <c r="J17" s="2"/>
      <c r="K17" s="2"/>
      <c r="L17" s="2"/>
      <c r="M17" s="2"/>
      <c r="N17" s="2"/>
      <c r="O17" s="2"/>
      <c r="P17" s="2"/>
    </row>
    <row r="18" spans="1:16" ht="21" customHeight="1">
      <c r="A18" s="2"/>
      <c r="B18" s="2"/>
      <c r="C18" s="2"/>
      <c r="D18" s="2"/>
      <c r="E18" s="2"/>
      <c r="F18" s="13"/>
      <c r="G18" s="2"/>
      <c r="H18" s="2"/>
      <c r="I18" s="2"/>
      <c r="J18" s="2"/>
      <c r="K18" s="2"/>
      <c r="L18" s="2"/>
      <c r="M18" s="2"/>
      <c r="N18" s="2"/>
      <c r="O18" s="2"/>
      <c r="P18" s="2"/>
    </row>
    <row r="19" spans="1:16" ht="21" customHeight="1">
      <c r="A19" s="2"/>
      <c r="B19" s="2"/>
      <c r="C19" s="2"/>
      <c r="D19" s="2"/>
      <c r="E19" s="2"/>
      <c r="F19" s="13"/>
      <c r="G19" s="2"/>
      <c r="H19" s="2"/>
      <c r="I19" s="2"/>
      <c r="J19" s="2"/>
      <c r="K19" s="2"/>
      <c r="L19" s="2"/>
      <c r="M19" s="2"/>
      <c r="N19" s="2"/>
      <c r="O19" s="2"/>
      <c r="P19" s="2"/>
    </row>
    <row r="20" spans="1:16" ht="21" customHeight="1">
      <c r="A20" s="2"/>
      <c r="B20" s="2"/>
      <c r="C20" s="2"/>
      <c r="D20" s="2"/>
      <c r="E20" s="2"/>
      <c r="F20" s="13"/>
      <c r="G20" s="2"/>
      <c r="H20" s="2"/>
      <c r="I20" s="2"/>
      <c r="J20" s="2"/>
      <c r="K20" s="2"/>
      <c r="L20" s="2"/>
      <c r="M20" s="2"/>
      <c r="N20" s="2"/>
      <c r="O20" s="2"/>
      <c r="P20" s="2"/>
    </row>
    <row r="21" spans="1:16" ht="21" customHeight="1">
      <c r="A21" s="2"/>
      <c r="B21" s="2"/>
      <c r="C21" s="2"/>
      <c r="D21" s="2"/>
      <c r="E21" s="2"/>
      <c r="F21" s="13"/>
      <c r="G21" s="2"/>
      <c r="H21" s="2"/>
      <c r="I21" s="2"/>
      <c r="J21" s="2"/>
      <c r="K21" s="2"/>
      <c r="L21" s="2"/>
      <c r="M21" s="2"/>
      <c r="N21" s="2"/>
      <c r="O21" s="2"/>
      <c r="P21" s="2"/>
    </row>
    <row r="22" spans="1:16" ht="21" customHeight="1">
      <c r="A22" s="2"/>
      <c r="B22" s="2"/>
      <c r="C22" s="2"/>
      <c r="D22" s="2"/>
      <c r="E22" s="2"/>
      <c r="F22" s="13"/>
      <c r="G22" s="2"/>
      <c r="H22" s="2"/>
      <c r="I22" s="2"/>
      <c r="J22" s="2"/>
      <c r="K22" s="2"/>
      <c r="L22" s="2"/>
      <c r="M22" s="2"/>
      <c r="N22" s="2"/>
      <c r="O22" s="2"/>
      <c r="P22" s="2"/>
    </row>
    <row r="23" spans="1:16" ht="21" customHeight="1">
      <c r="A23" s="2"/>
      <c r="B23" s="2"/>
      <c r="C23" s="2"/>
      <c r="D23" s="2"/>
      <c r="E23" s="2"/>
      <c r="F23" s="13"/>
      <c r="G23" s="2"/>
      <c r="H23" s="2"/>
      <c r="I23" s="2"/>
      <c r="J23" s="2"/>
      <c r="K23" s="2"/>
      <c r="L23" s="2"/>
      <c r="M23" s="2"/>
      <c r="N23" s="2"/>
      <c r="O23" s="2"/>
      <c r="P23" s="2"/>
    </row>
    <row r="24" spans="1:16" ht="21" customHeight="1">
      <c r="A24" s="2"/>
      <c r="B24" s="2"/>
      <c r="C24" s="2"/>
      <c r="D24" s="2"/>
      <c r="E24" s="2"/>
      <c r="F24" s="13"/>
      <c r="G24" s="2"/>
      <c r="H24" s="2"/>
      <c r="I24" s="2"/>
      <c r="J24" s="2"/>
      <c r="K24" s="2"/>
      <c r="L24" s="2"/>
      <c r="M24" s="2"/>
      <c r="N24" s="2"/>
      <c r="O24" s="2"/>
      <c r="P24" s="2"/>
    </row>
    <row r="25" spans="1:16" ht="21" customHeight="1">
      <c r="A25" s="2"/>
      <c r="B25" s="2"/>
      <c r="C25" s="2"/>
      <c r="D25" s="2"/>
      <c r="E25" s="2"/>
      <c r="F25" s="13"/>
      <c r="G25" s="2"/>
      <c r="H25" s="2"/>
      <c r="I25" s="2"/>
      <c r="J25" s="2"/>
      <c r="K25" s="2"/>
      <c r="L25" s="2"/>
      <c r="M25" s="2"/>
      <c r="N25" s="2"/>
      <c r="O25" s="2"/>
      <c r="P25" s="2"/>
    </row>
    <row r="26" spans="1:16" ht="21" customHeight="1">
      <c r="A26" s="2"/>
      <c r="B26" s="2"/>
      <c r="C26" s="2"/>
      <c r="D26" s="2"/>
      <c r="E26" s="2"/>
      <c r="F26" s="13"/>
      <c r="G26" s="2"/>
      <c r="H26" s="2"/>
      <c r="I26" s="2"/>
      <c r="J26" s="2"/>
      <c r="K26" s="2"/>
      <c r="L26" s="2"/>
      <c r="M26" s="2"/>
      <c r="N26" s="2"/>
      <c r="O26" s="2"/>
      <c r="P26" s="2"/>
    </row>
    <row r="27" spans="1:16" ht="21" customHeight="1">
      <c r="A27" s="2"/>
      <c r="B27" s="2"/>
      <c r="C27" s="2"/>
      <c r="D27" s="2"/>
      <c r="E27" s="2"/>
      <c r="F27" s="13"/>
      <c r="G27" s="2"/>
      <c r="H27" s="2"/>
      <c r="I27" s="2"/>
      <c r="J27" s="2"/>
      <c r="K27" s="2"/>
      <c r="L27" s="2"/>
      <c r="M27" s="2"/>
      <c r="N27" s="2"/>
      <c r="O27" s="2"/>
      <c r="P27" s="2"/>
    </row>
    <row r="28" spans="1:16" ht="21" customHeight="1">
      <c r="A28" s="2"/>
      <c r="B28" s="2"/>
      <c r="C28" s="2"/>
      <c r="D28" s="2"/>
      <c r="E28" s="2"/>
      <c r="F28" s="13"/>
      <c r="G28" s="2"/>
      <c r="H28" s="2"/>
      <c r="I28" s="2"/>
      <c r="J28" s="2"/>
      <c r="K28" s="2"/>
      <c r="L28" s="2"/>
      <c r="M28" s="2"/>
      <c r="N28" s="2"/>
      <c r="O28" s="2"/>
      <c r="P28" s="2"/>
    </row>
    <row r="29" spans="1:16" ht="21" customHeight="1">
      <c r="A29" s="2"/>
      <c r="B29" s="2"/>
      <c r="C29" s="2"/>
      <c r="D29" s="2"/>
      <c r="E29" s="2"/>
      <c r="F29" s="13"/>
      <c r="G29" s="2"/>
      <c r="H29" s="2"/>
      <c r="I29" s="2"/>
      <c r="J29" s="2"/>
      <c r="K29" s="2"/>
      <c r="L29" s="2"/>
      <c r="M29" s="2"/>
      <c r="N29" s="2"/>
      <c r="O29" s="2"/>
      <c r="P29" s="2"/>
    </row>
    <row r="30" spans="1:16" ht="21" customHeight="1">
      <c r="A30" s="2"/>
      <c r="B30" s="2"/>
      <c r="C30" s="2"/>
      <c r="D30" s="2"/>
      <c r="E30" s="2"/>
      <c r="F30" s="13"/>
      <c r="G30" s="2"/>
      <c r="H30" s="2"/>
      <c r="I30" s="2"/>
      <c r="J30" s="2"/>
      <c r="K30" s="2"/>
      <c r="L30" s="2"/>
      <c r="M30" s="2"/>
      <c r="N30" s="2"/>
      <c r="O30" s="2"/>
      <c r="P30" s="2"/>
    </row>
    <row r="31" spans="1:16" ht="21" customHeight="1">
      <c r="A31" s="2"/>
      <c r="B31" s="2"/>
      <c r="C31" s="2"/>
      <c r="D31" s="2"/>
      <c r="E31" s="2"/>
      <c r="F31" s="13"/>
      <c r="G31" s="2"/>
      <c r="H31" s="2"/>
      <c r="I31" s="2"/>
      <c r="J31" s="2"/>
      <c r="K31" s="2"/>
      <c r="L31" s="2"/>
      <c r="M31" s="2"/>
      <c r="N31" s="2"/>
      <c r="O31" s="2"/>
      <c r="P31" s="2"/>
    </row>
    <row r="32" spans="1:16" ht="21" customHeight="1">
      <c r="A32" s="2"/>
      <c r="B32" s="2"/>
      <c r="C32" s="2"/>
      <c r="D32" s="2"/>
      <c r="E32" s="2"/>
      <c r="F32" s="13"/>
      <c r="G32" s="2"/>
      <c r="H32" s="2"/>
      <c r="I32" s="2"/>
      <c r="J32" s="2"/>
      <c r="K32" s="2"/>
      <c r="L32" s="2"/>
      <c r="M32" s="2"/>
      <c r="N32" s="2"/>
      <c r="O32" s="2"/>
      <c r="P32" s="2"/>
    </row>
    <row r="33" spans="1:16" ht="21" customHeight="1">
      <c r="A33" s="2"/>
      <c r="B33" s="2"/>
      <c r="C33" s="2"/>
      <c r="D33" s="2"/>
      <c r="E33" s="2"/>
      <c r="F33" s="13"/>
      <c r="G33" s="2"/>
      <c r="H33" s="2"/>
      <c r="I33" s="2"/>
      <c r="J33" s="2"/>
      <c r="K33" s="2"/>
      <c r="L33" s="2"/>
      <c r="M33" s="2"/>
      <c r="N33" s="2"/>
      <c r="O33" s="2"/>
      <c r="P33" s="2"/>
    </row>
    <row r="34" spans="1:16" ht="21" customHeight="1">
      <c r="A34" s="2"/>
      <c r="B34" s="2"/>
      <c r="C34" s="2"/>
      <c r="D34" s="2"/>
      <c r="E34" s="2"/>
      <c r="F34" s="13"/>
      <c r="G34" s="2"/>
      <c r="H34" s="2"/>
      <c r="I34" s="2"/>
      <c r="J34" s="2"/>
      <c r="K34" s="2"/>
      <c r="L34" s="2"/>
      <c r="M34" s="2"/>
      <c r="N34" s="2"/>
      <c r="O34" s="2"/>
      <c r="P34" s="2"/>
    </row>
    <row r="35" spans="1:16" ht="21" customHeight="1">
      <c r="A35" s="2"/>
      <c r="B35" s="2"/>
      <c r="C35" s="2"/>
      <c r="D35" s="2"/>
      <c r="E35" s="2"/>
      <c r="F35" s="13"/>
      <c r="G35" s="2"/>
      <c r="H35" s="2"/>
      <c r="I35" s="2"/>
      <c r="J35" s="2"/>
      <c r="K35" s="2"/>
      <c r="L35" s="2"/>
      <c r="M35" s="2"/>
      <c r="N35" s="2"/>
      <c r="O35" s="2"/>
      <c r="P35" s="2"/>
    </row>
    <row r="36" spans="1:16" ht="21" customHeight="1">
      <c r="A36" s="2"/>
      <c r="B36" s="2"/>
      <c r="C36" s="2"/>
      <c r="D36" s="2"/>
      <c r="E36" s="2"/>
      <c r="F36" s="13"/>
      <c r="G36" s="2"/>
      <c r="H36" s="2"/>
      <c r="I36" s="2"/>
      <c r="J36" s="2"/>
      <c r="K36" s="2"/>
      <c r="L36" s="2"/>
      <c r="M36" s="2"/>
      <c r="N36" s="2"/>
      <c r="O36" s="2"/>
      <c r="P36" s="2"/>
    </row>
    <row r="37" spans="1:16" ht="21" customHeight="1">
      <c r="A37" s="2"/>
      <c r="B37" s="2"/>
      <c r="C37" s="2"/>
      <c r="D37" s="2"/>
      <c r="E37" s="2"/>
      <c r="F37" s="13"/>
      <c r="G37" s="2"/>
      <c r="H37" s="2"/>
      <c r="I37" s="2"/>
      <c r="J37" s="2"/>
      <c r="K37" s="2"/>
      <c r="L37" s="2"/>
      <c r="M37" s="2"/>
      <c r="N37" s="2"/>
      <c r="O37" s="2"/>
      <c r="P37" s="2"/>
    </row>
    <row r="38" spans="1:16" ht="21" customHeight="1">
      <c r="A38" s="2"/>
      <c r="B38" s="2"/>
      <c r="C38" s="2"/>
      <c r="D38" s="2"/>
      <c r="E38" s="2"/>
      <c r="F38" s="13"/>
      <c r="G38" s="2"/>
      <c r="H38" s="2"/>
      <c r="I38" s="2"/>
      <c r="J38" s="2"/>
      <c r="K38" s="2"/>
      <c r="L38" s="2"/>
      <c r="M38" s="2"/>
      <c r="N38" s="2"/>
      <c r="O38" s="2"/>
      <c r="P38" s="2"/>
    </row>
    <row r="39" spans="1:16" ht="21" customHeight="1">
      <c r="A39" s="2"/>
      <c r="B39" s="2"/>
      <c r="C39" s="2"/>
      <c r="D39" s="2"/>
      <c r="E39" s="2"/>
      <c r="F39" s="13"/>
      <c r="G39" s="2"/>
      <c r="H39" s="2"/>
      <c r="I39" s="2"/>
      <c r="J39" s="2"/>
      <c r="K39" s="2"/>
      <c r="L39" s="2"/>
      <c r="M39" s="2"/>
      <c r="N39" s="2"/>
      <c r="O39" s="2"/>
      <c r="P39" s="2"/>
    </row>
    <row r="40" spans="1:16" ht="21" customHeight="1">
      <c r="A40" s="2"/>
      <c r="B40" s="2"/>
      <c r="C40" s="2"/>
      <c r="D40" s="2"/>
      <c r="E40" s="2"/>
      <c r="F40" s="13"/>
      <c r="G40" s="2"/>
      <c r="H40" s="2"/>
      <c r="I40" s="2"/>
      <c r="J40" s="2"/>
      <c r="K40" s="2"/>
      <c r="L40" s="2"/>
      <c r="M40" s="2"/>
      <c r="N40" s="2"/>
      <c r="O40" s="2"/>
      <c r="P40" s="2"/>
    </row>
    <row r="41" spans="1:16" ht="21" customHeight="1">
      <c r="A41" s="2"/>
      <c r="B41" s="2"/>
      <c r="C41" s="2"/>
      <c r="D41" s="2"/>
      <c r="E41" s="2"/>
      <c r="F41" s="13"/>
      <c r="G41" s="2"/>
      <c r="H41" s="2"/>
      <c r="I41" s="2"/>
      <c r="J41" s="2"/>
      <c r="K41" s="2"/>
      <c r="L41" s="2"/>
      <c r="M41" s="2"/>
      <c r="N41" s="2"/>
      <c r="O41" s="2"/>
      <c r="P41" s="2"/>
    </row>
    <row r="42" spans="1:16" ht="21" customHeight="1">
      <c r="A42" s="2"/>
      <c r="B42" s="2"/>
      <c r="C42" s="2"/>
      <c r="D42" s="2"/>
      <c r="E42" s="2"/>
      <c r="F42" s="13"/>
      <c r="G42" s="2"/>
      <c r="H42" s="2"/>
      <c r="I42" s="2"/>
      <c r="J42" s="2"/>
      <c r="K42" s="2"/>
      <c r="L42" s="2"/>
      <c r="M42" s="2"/>
      <c r="N42" s="2"/>
      <c r="O42" s="2"/>
      <c r="P42" s="2"/>
    </row>
    <row r="43" spans="1:16" ht="21" customHeight="1">
      <c r="A43" s="2"/>
      <c r="B43" s="2"/>
      <c r="C43" s="2"/>
      <c r="D43" s="2"/>
      <c r="E43" s="2"/>
      <c r="F43" s="13"/>
      <c r="G43" s="2"/>
      <c r="H43" s="2"/>
      <c r="I43" s="2"/>
      <c r="J43" s="2"/>
      <c r="K43" s="2"/>
      <c r="L43" s="2"/>
      <c r="M43" s="2"/>
      <c r="N43" s="2"/>
      <c r="O43" s="2"/>
      <c r="P43" s="2"/>
    </row>
    <row r="44" spans="1:16" ht="21" customHeight="1">
      <c r="A44" s="2"/>
      <c r="B44" s="2"/>
      <c r="C44" s="2"/>
      <c r="D44" s="2"/>
      <c r="E44" s="2"/>
      <c r="F44" s="13"/>
      <c r="G44" s="2"/>
      <c r="H44" s="2"/>
      <c r="I44" s="2"/>
      <c r="J44" s="2"/>
      <c r="K44" s="2"/>
      <c r="L44" s="2"/>
      <c r="M44" s="2"/>
      <c r="N44" s="2"/>
      <c r="O44" s="2"/>
      <c r="P44" s="2"/>
    </row>
    <row r="45" spans="1:16" ht="21" customHeight="1">
      <c r="A45" s="2"/>
      <c r="B45" s="2"/>
      <c r="C45" s="2"/>
      <c r="D45" s="2"/>
      <c r="E45" s="2"/>
      <c r="F45" s="13"/>
      <c r="G45" s="2"/>
      <c r="H45" s="2"/>
      <c r="I45" s="2"/>
      <c r="J45" s="2"/>
      <c r="K45" s="2"/>
      <c r="L45" s="2"/>
      <c r="M45" s="2"/>
      <c r="N45" s="2"/>
      <c r="O45" s="2"/>
      <c r="P45" s="2"/>
    </row>
    <row r="46" spans="1:16" ht="21" customHeight="1">
      <c r="A46" s="2"/>
      <c r="B46" s="2"/>
      <c r="C46" s="2"/>
      <c r="D46" s="2"/>
      <c r="E46" s="2"/>
      <c r="F46" s="13"/>
      <c r="G46" s="2"/>
      <c r="H46" s="2"/>
      <c r="I46" s="2"/>
      <c r="J46" s="2"/>
      <c r="K46" s="2"/>
      <c r="L46" s="2"/>
      <c r="M46" s="2"/>
      <c r="N46" s="2"/>
      <c r="O46" s="2"/>
      <c r="P46" s="2"/>
    </row>
    <row r="47" spans="1:16" ht="21" customHeight="1">
      <c r="A47" s="2"/>
      <c r="B47" s="2"/>
      <c r="C47" s="2"/>
      <c r="D47" s="2"/>
      <c r="E47" s="2"/>
      <c r="F47" s="13"/>
      <c r="G47" s="2"/>
      <c r="H47" s="2"/>
      <c r="I47" s="2"/>
      <c r="J47" s="2"/>
      <c r="K47" s="2"/>
      <c r="L47" s="2"/>
      <c r="M47" s="2"/>
      <c r="N47" s="2"/>
      <c r="O47" s="2"/>
      <c r="P47" s="2"/>
    </row>
    <row r="48" spans="1:16" ht="21" customHeight="1">
      <c r="A48" s="2"/>
      <c r="B48" s="2"/>
      <c r="C48" s="2"/>
      <c r="D48" s="2"/>
      <c r="E48" s="2"/>
      <c r="F48" s="13"/>
      <c r="G48" s="2"/>
      <c r="H48" s="2"/>
      <c r="I48" s="2"/>
      <c r="J48" s="2"/>
      <c r="K48" s="2"/>
      <c r="L48" s="2"/>
      <c r="M48" s="2"/>
      <c r="N48" s="2"/>
      <c r="O48" s="2"/>
      <c r="P48" s="2"/>
    </row>
    <row r="49" spans="1:16" ht="21" customHeight="1">
      <c r="A49" s="2"/>
      <c r="B49" s="2"/>
      <c r="C49" s="2"/>
      <c r="D49" s="2"/>
      <c r="E49" s="2"/>
      <c r="F49" s="13"/>
      <c r="G49" s="2"/>
      <c r="H49" s="2"/>
      <c r="I49" s="2"/>
      <c r="J49" s="2"/>
      <c r="K49" s="2"/>
      <c r="L49" s="2"/>
      <c r="M49" s="2"/>
      <c r="N49" s="2"/>
      <c r="O49" s="2"/>
      <c r="P49" s="2"/>
    </row>
    <row r="50" spans="1:16" ht="21" customHeight="1">
      <c r="A50" s="2"/>
      <c r="B50" s="2"/>
      <c r="C50" s="2"/>
      <c r="D50" s="2"/>
      <c r="E50" s="2"/>
      <c r="F50" s="13"/>
      <c r="G50" s="2"/>
      <c r="H50" s="2"/>
      <c r="I50" s="2"/>
      <c r="J50" s="2"/>
      <c r="K50" s="2"/>
      <c r="L50" s="2"/>
      <c r="M50" s="2"/>
      <c r="N50" s="2"/>
      <c r="O50" s="2"/>
      <c r="P50" s="2"/>
    </row>
    <row r="51" spans="1:16" ht="21" customHeight="1">
      <c r="A51" s="2"/>
      <c r="B51" s="2"/>
      <c r="C51" s="2"/>
      <c r="D51" s="2"/>
      <c r="E51" s="2"/>
      <c r="F51" s="13"/>
      <c r="G51" s="2"/>
      <c r="H51" s="2"/>
      <c r="I51" s="2"/>
      <c r="J51" s="2"/>
      <c r="K51" s="2"/>
      <c r="L51" s="2"/>
      <c r="M51" s="2"/>
      <c r="N51" s="2"/>
      <c r="O51" s="2"/>
      <c r="P51" s="2"/>
    </row>
    <row r="52" spans="1:16" ht="21" customHeight="1">
      <c r="A52" s="2"/>
      <c r="B52" s="2"/>
      <c r="C52" s="2"/>
      <c r="D52" s="2"/>
      <c r="E52" s="2"/>
      <c r="F52" s="13"/>
      <c r="G52" s="2"/>
      <c r="H52" s="2"/>
      <c r="I52" s="2"/>
      <c r="J52" s="2"/>
      <c r="K52" s="2"/>
      <c r="L52" s="2"/>
      <c r="M52" s="2"/>
      <c r="N52" s="2"/>
      <c r="O52" s="2"/>
      <c r="P52" s="2"/>
    </row>
    <row r="53" spans="1:16" ht="21" customHeight="1">
      <c r="A53" s="2"/>
      <c r="B53" s="2"/>
      <c r="C53" s="2"/>
      <c r="D53" s="2"/>
      <c r="E53" s="2"/>
      <c r="F53" s="13"/>
      <c r="G53" s="2"/>
      <c r="H53" s="2"/>
      <c r="I53" s="2"/>
      <c r="J53" s="2"/>
      <c r="K53" s="2"/>
      <c r="L53" s="2"/>
      <c r="M53" s="2"/>
      <c r="N53" s="2"/>
      <c r="O53" s="2"/>
      <c r="P53" s="2"/>
    </row>
    <row r="54" spans="1:16" ht="21" customHeight="1">
      <c r="A54" s="2"/>
      <c r="B54" s="2"/>
      <c r="C54" s="2"/>
      <c r="D54" s="2"/>
      <c r="E54" s="2"/>
      <c r="F54" s="13"/>
      <c r="G54" s="2"/>
      <c r="H54" s="2"/>
      <c r="I54" s="2"/>
      <c r="J54" s="2"/>
      <c r="K54" s="2"/>
      <c r="L54" s="2"/>
      <c r="M54" s="2"/>
      <c r="N54" s="2"/>
      <c r="O54" s="2"/>
      <c r="P54" s="2"/>
    </row>
    <row r="55" spans="1:16" ht="21" customHeight="1">
      <c r="A55" s="2"/>
      <c r="B55" s="2"/>
      <c r="C55" s="2"/>
      <c r="D55" s="2"/>
      <c r="E55" s="2"/>
      <c r="F55" s="13"/>
      <c r="G55" s="2"/>
      <c r="H55" s="2"/>
      <c r="I55" s="2"/>
      <c r="J55" s="2"/>
      <c r="K55" s="2"/>
      <c r="L55" s="2"/>
      <c r="M55" s="2"/>
      <c r="N55" s="2"/>
      <c r="O55" s="2"/>
      <c r="P55" s="2"/>
    </row>
    <row r="56" spans="1:16" ht="21" customHeight="1">
      <c r="A56" s="2"/>
      <c r="B56" s="2"/>
      <c r="C56" s="2"/>
      <c r="D56" s="2"/>
      <c r="E56" s="2"/>
      <c r="F56" s="13"/>
      <c r="G56" s="2"/>
      <c r="H56" s="2"/>
      <c r="I56" s="2"/>
      <c r="J56" s="2"/>
      <c r="K56" s="2"/>
      <c r="L56" s="2"/>
      <c r="M56" s="2"/>
      <c r="N56" s="2"/>
      <c r="O56" s="2"/>
      <c r="P56" s="2"/>
    </row>
    <row r="57" spans="1:16" ht="21" customHeight="1">
      <c r="A57" s="2"/>
      <c r="B57" s="2"/>
      <c r="C57" s="2"/>
      <c r="D57" s="2"/>
      <c r="E57" s="2"/>
      <c r="F57" s="13"/>
      <c r="G57" s="2"/>
      <c r="H57" s="2"/>
      <c r="I57" s="2"/>
      <c r="J57" s="2"/>
      <c r="K57" s="2"/>
      <c r="L57" s="2"/>
      <c r="M57" s="2"/>
      <c r="N57" s="2"/>
      <c r="O57" s="2"/>
      <c r="P57" s="2"/>
    </row>
    <row r="58" spans="1:16" ht="21" customHeight="1">
      <c r="A58" s="2"/>
      <c r="B58" s="2"/>
      <c r="C58" s="2"/>
      <c r="D58" s="2"/>
      <c r="E58" s="2"/>
      <c r="F58" s="13"/>
      <c r="G58" s="2"/>
      <c r="H58" s="2"/>
      <c r="I58" s="2"/>
      <c r="J58" s="2"/>
      <c r="K58" s="2"/>
      <c r="L58" s="2"/>
      <c r="M58" s="2"/>
      <c r="N58" s="2"/>
      <c r="O58" s="2"/>
      <c r="P58" s="2"/>
    </row>
    <row r="59" spans="1:16" ht="21" customHeight="1">
      <c r="A59" s="2"/>
      <c r="B59" s="2"/>
      <c r="C59" s="2"/>
      <c r="D59" s="2"/>
      <c r="E59" s="2"/>
      <c r="F59" s="13"/>
      <c r="G59" s="2"/>
      <c r="H59" s="2"/>
      <c r="I59" s="2"/>
      <c r="J59" s="2"/>
      <c r="K59" s="2"/>
      <c r="L59" s="2"/>
      <c r="M59" s="2"/>
      <c r="N59" s="2"/>
      <c r="O59" s="2"/>
      <c r="P59" s="2"/>
    </row>
    <row r="60" spans="1:16" ht="21" customHeight="1">
      <c r="A60" s="2"/>
      <c r="B60" s="2"/>
      <c r="C60" s="2"/>
      <c r="D60" s="2"/>
      <c r="E60" s="2"/>
      <c r="F60" s="13"/>
      <c r="G60" s="2"/>
      <c r="H60" s="2"/>
      <c r="I60" s="2"/>
      <c r="J60" s="2"/>
      <c r="K60" s="2"/>
      <c r="L60" s="2"/>
      <c r="M60" s="2"/>
      <c r="N60" s="2"/>
      <c r="O60" s="2"/>
      <c r="P60" s="2"/>
    </row>
    <row r="61" spans="1:16" ht="21" customHeight="1">
      <c r="A61" s="2"/>
      <c r="B61" s="2"/>
      <c r="C61" s="2"/>
      <c r="D61" s="2"/>
      <c r="E61" s="2"/>
      <c r="F61" s="13"/>
      <c r="G61" s="2"/>
      <c r="H61" s="2"/>
      <c r="I61" s="2"/>
      <c r="J61" s="2"/>
      <c r="K61" s="2"/>
      <c r="L61" s="2"/>
      <c r="M61" s="2"/>
      <c r="N61" s="2"/>
      <c r="O61" s="2"/>
      <c r="P61" s="2"/>
    </row>
    <row r="62" spans="1:16" ht="21" customHeight="1">
      <c r="A62" s="2"/>
      <c r="B62" s="2"/>
      <c r="C62" s="2"/>
      <c r="D62" s="2"/>
      <c r="E62" s="2"/>
      <c r="F62" s="13"/>
      <c r="G62" s="2"/>
      <c r="H62" s="2"/>
      <c r="I62" s="2"/>
      <c r="J62" s="2"/>
      <c r="K62" s="2"/>
      <c r="L62" s="2"/>
      <c r="M62" s="2"/>
      <c r="N62" s="2"/>
      <c r="O62" s="2"/>
      <c r="P62" s="2"/>
    </row>
    <row r="63" spans="1:16" ht="21" customHeight="1">
      <c r="A63" s="2"/>
      <c r="B63" s="2"/>
      <c r="C63" s="2"/>
      <c r="D63" s="2"/>
      <c r="E63" s="2"/>
      <c r="F63" s="13"/>
      <c r="G63" s="2"/>
      <c r="H63" s="2"/>
      <c r="I63" s="2"/>
      <c r="J63" s="2"/>
      <c r="K63" s="2"/>
      <c r="L63" s="2"/>
      <c r="M63" s="2"/>
      <c r="N63" s="2"/>
      <c r="O63" s="2"/>
      <c r="P63" s="2"/>
    </row>
    <row r="64" spans="1:16" ht="21" customHeight="1">
      <c r="A64" s="2"/>
      <c r="B64" s="2"/>
      <c r="C64" s="2"/>
      <c r="D64" s="2"/>
      <c r="E64" s="2"/>
      <c r="F64" s="13"/>
      <c r="G64" s="2"/>
      <c r="H64" s="2"/>
      <c r="I64" s="2"/>
      <c r="J64" s="2"/>
      <c r="K64" s="2"/>
      <c r="L64" s="2"/>
      <c r="M64" s="2"/>
      <c r="N64" s="2"/>
      <c r="O64" s="2"/>
      <c r="P64" s="2"/>
    </row>
    <row r="65" spans="1:16" ht="21" customHeight="1">
      <c r="A65" s="2"/>
      <c r="B65" s="2"/>
      <c r="C65" s="2"/>
      <c r="D65" s="2"/>
      <c r="E65" s="2"/>
      <c r="F65" s="13"/>
      <c r="G65" s="2"/>
      <c r="H65" s="2"/>
      <c r="I65" s="2"/>
      <c r="J65" s="2"/>
      <c r="K65" s="2"/>
      <c r="L65" s="2"/>
      <c r="M65" s="2"/>
      <c r="N65" s="2"/>
      <c r="O65" s="2"/>
      <c r="P65" s="2"/>
    </row>
    <row r="66" spans="1:16" ht="21" customHeight="1">
      <c r="A66" s="2"/>
      <c r="B66" s="2"/>
      <c r="C66" s="2"/>
      <c r="D66" s="2"/>
      <c r="E66" s="2"/>
      <c r="F66" s="13"/>
      <c r="G66" s="2"/>
      <c r="H66" s="2"/>
      <c r="I66" s="2"/>
      <c r="J66" s="2"/>
      <c r="K66" s="2"/>
      <c r="L66" s="2"/>
      <c r="M66" s="2"/>
      <c r="N66" s="2"/>
      <c r="O66" s="2"/>
      <c r="P66" s="2"/>
    </row>
    <row r="67" spans="1:16" ht="21" customHeight="1">
      <c r="A67" s="2"/>
      <c r="B67" s="2"/>
      <c r="C67" s="2"/>
      <c r="D67" s="2"/>
      <c r="E67" s="2"/>
      <c r="F67" s="13"/>
      <c r="G67" s="2"/>
      <c r="H67" s="2"/>
      <c r="I67" s="2"/>
      <c r="J67" s="2"/>
      <c r="K67" s="2"/>
      <c r="L67" s="2"/>
      <c r="M67" s="2"/>
      <c r="N67" s="2"/>
      <c r="O67" s="2"/>
      <c r="P67" s="2"/>
    </row>
    <row r="68" spans="1:16" ht="21" customHeight="1">
      <c r="A68" s="2"/>
      <c r="B68" s="2"/>
      <c r="C68" s="2"/>
      <c r="D68" s="2"/>
      <c r="E68" s="2"/>
      <c r="F68" s="13"/>
      <c r="G68" s="2"/>
      <c r="H68" s="2"/>
      <c r="I68" s="2"/>
      <c r="J68" s="2"/>
      <c r="K68" s="2"/>
      <c r="L68" s="2"/>
      <c r="M68" s="2"/>
      <c r="N68" s="2"/>
      <c r="O68" s="2"/>
      <c r="P68" s="2"/>
    </row>
    <row r="69" spans="1:16" ht="21" customHeight="1">
      <c r="A69" s="2"/>
      <c r="B69" s="2"/>
      <c r="C69" s="2"/>
      <c r="D69" s="2"/>
      <c r="E69" s="2"/>
      <c r="F69" s="13"/>
      <c r="G69" s="2"/>
      <c r="H69" s="2"/>
      <c r="I69" s="2"/>
      <c r="J69" s="2"/>
      <c r="K69" s="2"/>
      <c r="L69" s="2"/>
      <c r="M69" s="2"/>
      <c r="N69" s="2"/>
      <c r="O69" s="2"/>
      <c r="P69" s="2"/>
    </row>
    <row r="70" spans="1:16" ht="21" customHeight="1">
      <c r="A70" s="2"/>
      <c r="B70" s="2"/>
      <c r="C70" s="2"/>
      <c r="D70" s="2"/>
      <c r="E70" s="2"/>
      <c r="F70" s="13"/>
      <c r="G70" s="2"/>
      <c r="H70" s="2"/>
      <c r="I70" s="2"/>
      <c r="J70" s="2"/>
      <c r="K70" s="2"/>
      <c r="L70" s="2"/>
      <c r="M70" s="2"/>
      <c r="N70" s="2"/>
      <c r="O70" s="2"/>
      <c r="P70" s="2"/>
    </row>
    <row r="71" spans="1:16" ht="21" customHeight="1">
      <c r="A71" s="2"/>
      <c r="B71" s="2"/>
      <c r="C71" s="2"/>
      <c r="D71" s="2"/>
      <c r="E71" s="2"/>
      <c r="F71" s="13"/>
      <c r="G71" s="2"/>
      <c r="H71" s="2"/>
      <c r="I71" s="2"/>
      <c r="J71" s="2"/>
      <c r="K71" s="2"/>
      <c r="L71" s="2"/>
      <c r="M71" s="2"/>
      <c r="N71" s="2"/>
      <c r="O71" s="2"/>
      <c r="P71" s="2"/>
    </row>
    <row r="72" spans="1:16" ht="21" customHeight="1">
      <c r="A72" s="2"/>
      <c r="B72" s="2"/>
      <c r="C72" s="2"/>
      <c r="D72" s="2"/>
      <c r="E72" s="2"/>
      <c r="F72" s="13"/>
      <c r="G72" s="2"/>
      <c r="H72" s="2"/>
      <c r="I72" s="2"/>
      <c r="J72" s="2"/>
      <c r="K72" s="2"/>
      <c r="L72" s="2"/>
      <c r="M72" s="2"/>
      <c r="N72" s="2"/>
      <c r="O72" s="2"/>
      <c r="P72" s="2"/>
    </row>
    <row r="73" spans="1:16" ht="21" customHeight="1">
      <c r="A73" s="2"/>
      <c r="B73" s="2"/>
      <c r="C73" s="2"/>
      <c r="D73" s="2"/>
      <c r="E73" s="2"/>
      <c r="F73" s="13"/>
      <c r="G73" s="2"/>
      <c r="H73" s="2"/>
      <c r="I73" s="2"/>
      <c r="J73" s="2"/>
      <c r="K73" s="2"/>
      <c r="L73" s="2"/>
      <c r="M73" s="2"/>
      <c r="N73" s="2"/>
      <c r="O73" s="2"/>
      <c r="P73" s="2"/>
    </row>
    <row r="74" spans="1:16" ht="21" customHeight="1">
      <c r="A74" s="2"/>
      <c r="B74" s="2"/>
      <c r="C74" s="2"/>
      <c r="D74" s="2"/>
      <c r="E74" s="2"/>
      <c r="F74" s="13"/>
      <c r="G74" s="2"/>
      <c r="H74" s="2"/>
      <c r="I74" s="2"/>
      <c r="J74" s="2"/>
      <c r="K74" s="2"/>
      <c r="L74" s="2"/>
      <c r="M74" s="2"/>
      <c r="N74" s="2"/>
      <c r="O74" s="2"/>
      <c r="P74" s="2"/>
    </row>
    <row r="75" spans="1:16" ht="21" customHeight="1">
      <c r="A75" s="2"/>
      <c r="B75" s="2"/>
      <c r="C75" s="2"/>
      <c r="D75" s="2"/>
      <c r="E75" s="2"/>
      <c r="F75" s="13"/>
      <c r="G75" s="2"/>
      <c r="H75" s="2"/>
      <c r="I75" s="2"/>
      <c r="J75" s="2"/>
      <c r="K75" s="2"/>
      <c r="L75" s="2"/>
      <c r="M75" s="2"/>
      <c r="N75" s="2"/>
      <c r="O75" s="2"/>
      <c r="P75" s="2"/>
    </row>
    <row r="76" spans="1:16" ht="21" customHeight="1">
      <c r="A76" s="2"/>
      <c r="B76" s="2"/>
      <c r="C76" s="2"/>
      <c r="D76" s="2"/>
      <c r="E76" s="2"/>
      <c r="F76" s="13"/>
      <c r="G76" s="2"/>
      <c r="H76" s="2"/>
      <c r="I76" s="2"/>
      <c r="J76" s="2"/>
      <c r="K76" s="2"/>
      <c r="L76" s="2"/>
      <c r="M76" s="2"/>
      <c r="N76" s="2"/>
      <c r="O76" s="2"/>
      <c r="P76" s="2"/>
    </row>
    <row r="77" spans="1:16" ht="21" customHeight="1">
      <c r="A77" s="2"/>
      <c r="B77" s="2"/>
      <c r="C77" s="2"/>
      <c r="D77" s="2"/>
      <c r="E77" s="2"/>
      <c r="F77" s="13"/>
      <c r="G77" s="2"/>
      <c r="H77" s="2"/>
      <c r="I77" s="2"/>
      <c r="J77" s="2"/>
      <c r="K77" s="2"/>
      <c r="L77" s="2"/>
      <c r="M77" s="2"/>
      <c r="N77" s="2"/>
      <c r="O77" s="2"/>
      <c r="P77" s="2"/>
    </row>
    <row r="78" spans="1:16" ht="21" customHeight="1">
      <c r="A78" s="2"/>
      <c r="B78" s="2"/>
      <c r="C78" s="2"/>
      <c r="D78" s="2"/>
      <c r="E78" s="2"/>
      <c r="F78" s="13"/>
      <c r="G78" s="2"/>
      <c r="H78" s="2"/>
      <c r="I78" s="2"/>
      <c r="J78" s="2"/>
      <c r="K78" s="2"/>
      <c r="L78" s="2"/>
      <c r="M78" s="2"/>
      <c r="N78" s="2"/>
      <c r="O78" s="2"/>
      <c r="P78" s="2"/>
    </row>
    <row r="79" spans="1:16" ht="21" customHeight="1">
      <c r="A79" s="2"/>
      <c r="B79" s="2"/>
      <c r="C79" s="2"/>
      <c r="D79" s="2"/>
      <c r="E79" s="2"/>
      <c r="F79" s="13"/>
      <c r="G79" s="2"/>
      <c r="H79" s="2"/>
      <c r="I79" s="2"/>
      <c r="J79" s="2"/>
      <c r="K79" s="2"/>
      <c r="L79" s="2"/>
      <c r="M79" s="2"/>
      <c r="N79" s="2"/>
      <c r="O79" s="2"/>
      <c r="P79" s="2"/>
    </row>
    <row r="80" spans="1:16" ht="21" customHeight="1">
      <c r="A80" s="2"/>
      <c r="B80" s="2"/>
      <c r="C80" s="2"/>
      <c r="D80" s="2"/>
      <c r="E80" s="2"/>
      <c r="F80" s="13"/>
      <c r="G80" s="2"/>
      <c r="H80" s="2"/>
      <c r="I80" s="2"/>
      <c r="J80" s="2"/>
      <c r="K80" s="2"/>
      <c r="L80" s="2"/>
      <c r="M80" s="2"/>
      <c r="N80" s="2"/>
      <c r="O80" s="2"/>
      <c r="P80" s="2"/>
    </row>
    <row r="81" spans="1:16" ht="21" customHeight="1">
      <c r="A81" s="2"/>
      <c r="B81" s="2"/>
      <c r="C81" s="2"/>
      <c r="D81" s="2"/>
      <c r="E81" s="2"/>
      <c r="F81" s="13"/>
      <c r="G81" s="2"/>
      <c r="H81" s="2"/>
      <c r="I81" s="2"/>
      <c r="J81" s="2"/>
      <c r="K81" s="2"/>
      <c r="L81" s="2"/>
      <c r="M81" s="2"/>
      <c r="N81" s="2"/>
      <c r="O81" s="2"/>
      <c r="P81" s="2"/>
    </row>
    <row r="82" spans="1:16" ht="21" customHeight="1">
      <c r="A82" s="2"/>
      <c r="B82" s="2"/>
      <c r="C82" s="2"/>
      <c r="D82" s="2"/>
      <c r="E82" s="2"/>
      <c r="F82" s="13"/>
      <c r="G82" s="2"/>
      <c r="H82" s="2"/>
      <c r="I82" s="2"/>
      <c r="J82" s="2"/>
      <c r="K82" s="2"/>
      <c r="L82" s="2"/>
      <c r="M82" s="2"/>
      <c r="N82" s="2"/>
      <c r="O82" s="2"/>
      <c r="P82" s="2"/>
    </row>
    <row r="83" spans="1:16" ht="21" customHeight="1">
      <c r="A83" s="2"/>
      <c r="B83" s="2"/>
      <c r="C83" s="2"/>
      <c r="D83" s="2"/>
      <c r="E83" s="2"/>
      <c r="F83" s="13"/>
      <c r="G83" s="2"/>
      <c r="H83" s="2"/>
      <c r="I83" s="2"/>
      <c r="J83" s="2"/>
      <c r="K83" s="2"/>
      <c r="L83" s="2"/>
      <c r="M83" s="2"/>
      <c r="N83" s="2"/>
      <c r="O83" s="2"/>
      <c r="P83" s="2"/>
    </row>
    <row r="84" spans="1:16" ht="21" customHeight="1">
      <c r="A84" s="2"/>
      <c r="B84" s="2"/>
      <c r="C84" s="2"/>
      <c r="D84" s="2"/>
      <c r="E84" s="2"/>
      <c r="F84" s="13"/>
      <c r="G84" s="2"/>
      <c r="H84" s="2"/>
      <c r="I84" s="2"/>
      <c r="J84" s="2"/>
      <c r="K84" s="2"/>
      <c r="L84" s="2"/>
      <c r="M84" s="2"/>
      <c r="N84" s="2"/>
      <c r="O84" s="2"/>
      <c r="P84" s="2"/>
    </row>
    <row r="85" spans="1:16" ht="21" customHeight="1">
      <c r="A85" s="2"/>
      <c r="B85" s="2"/>
      <c r="C85" s="2"/>
      <c r="D85" s="2"/>
      <c r="E85" s="2"/>
      <c r="F85" s="13"/>
      <c r="G85" s="2"/>
      <c r="H85" s="2"/>
      <c r="I85" s="2"/>
      <c r="J85" s="2"/>
      <c r="K85" s="2"/>
      <c r="L85" s="2"/>
      <c r="M85" s="2"/>
      <c r="N85" s="2"/>
      <c r="O85" s="2"/>
      <c r="P85" s="2"/>
    </row>
    <row r="86" spans="1:16" ht="21" customHeight="1">
      <c r="A86" s="2"/>
      <c r="B86" s="2"/>
      <c r="C86" s="2"/>
      <c r="D86" s="2"/>
      <c r="E86" s="2"/>
      <c r="F86" s="13"/>
      <c r="G86" s="2"/>
      <c r="H86" s="2"/>
      <c r="I86" s="2"/>
      <c r="J86" s="2"/>
      <c r="K86" s="2"/>
      <c r="L86" s="2"/>
      <c r="M86" s="2"/>
      <c r="N86" s="2"/>
      <c r="O86" s="2"/>
      <c r="P86" s="2"/>
    </row>
    <row r="87" spans="1:16" ht="21" customHeight="1">
      <c r="A87" s="2"/>
      <c r="B87" s="2"/>
      <c r="C87" s="2"/>
      <c r="D87" s="2"/>
      <c r="E87" s="2"/>
      <c r="F87" s="13"/>
      <c r="G87" s="2"/>
      <c r="H87" s="2"/>
      <c r="I87" s="2"/>
      <c r="J87" s="2"/>
      <c r="K87" s="2"/>
      <c r="L87" s="2"/>
      <c r="M87" s="2"/>
      <c r="N87" s="2"/>
      <c r="O87" s="2"/>
      <c r="P87" s="2"/>
    </row>
    <row r="88" spans="1:16" ht="21" customHeight="1">
      <c r="A88" s="2"/>
      <c r="B88" s="2"/>
      <c r="C88" s="2"/>
      <c r="D88" s="2"/>
      <c r="E88" s="2"/>
      <c r="F88" s="13"/>
      <c r="G88" s="2"/>
      <c r="H88" s="2"/>
      <c r="I88" s="2"/>
      <c r="J88" s="2"/>
      <c r="K88" s="2"/>
      <c r="L88" s="2"/>
      <c r="M88" s="2"/>
      <c r="N88" s="2"/>
      <c r="O88" s="2"/>
      <c r="P88" s="2"/>
    </row>
    <row r="89" spans="1:16" ht="21" customHeight="1">
      <c r="A89" s="2"/>
      <c r="B89" s="2"/>
      <c r="C89" s="2"/>
      <c r="D89" s="2"/>
      <c r="E89" s="2"/>
      <c r="F89" s="13"/>
      <c r="G89" s="2"/>
      <c r="H89" s="2"/>
      <c r="I89" s="2"/>
      <c r="J89" s="2"/>
      <c r="K89" s="2"/>
      <c r="L89" s="2"/>
      <c r="M89" s="2"/>
      <c r="N89" s="2"/>
      <c r="O89" s="2"/>
      <c r="P89" s="2"/>
    </row>
    <row r="90" spans="1:16" ht="21" customHeight="1">
      <c r="A90" s="2"/>
      <c r="B90" s="2"/>
      <c r="C90" s="2"/>
      <c r="D90" s="2"/>
      <c r="E90" s="2"/>
      <c r="F90" s="13"/>
      <c r="G90" s="2"/>
      <c r="H90" s="2"/>
      <c r="I90" s="2"/>
      <c r="J90" s="2"/>
      <c r="K90" s="2"/>
      <c r="L90" s="2"/>
      <c r="M90" s="2"/>
      <c r="N90" s="2"/>
      <c r="O90" s="2"/>
      <c r="P90" s="2"/>
    </row>
    <row r="91" spans="1:16" ht="21" customHeight="1">
      <c r="A91" s="2"/>
      <c r="B91" s="2"/>
      <c r="C91" s="2"/>
      <c r="D91" s="2"/>
      <c r="E91" s="2"/>
      <c r="F91" s="13"/>
      <c r="G91" s="2"/>
      <c r="H91" s="2"/>
      <c r="I91" s="2"/>
      <c r="J91" s="2"/>
      <c r="K91" s="2"/>
      <c r="L91" s="2"/>
      <c r="M91" s="2"/>
      <c r="N91" s="2"/>
      <c r="O91" s="2"/>
      <c r="P91" s="2"/>
    </row>
    <row r="92" spans="1:16" ht="21" customHeight="1">
      <c r="A92" s="2"/>
      <c r="B92" s="2"/>
      <c r="C92" s="2"/>
      <c r="D92" s="2"/>
      <c r="E92" s="2"/>
      <c r="F92" s="13"/>
      <c r="G92" s="2"/>
      <c r="H92" s="2"/>
      <c r="I92" s="2"/>
      <c r="J92" s="2"/>
      <c r="K92" s="2"/>
      <c r="L92" s="2"/>
      <c r="M92" s="2"/>
      <c r="N92" s="2"/>
      <c r="O92" s="2"/>
      <c r="P92" s="2"/>
    </row>
    <row r="93" spans="1:16" ht="21" customHeight="1">
      <c r="A93" s="2"/>
      <c r="B93" s="2"/>
      <c r="C93" s="2"/>
      <c r="D93" s="2"/>
      <c r="E93" s="2"/>
      <c r="F93" s="13"/>
      <c r="G93" s="2"/>
      <c r="H93" s="2"/>
      <c r="I93" s="2"/>
      <c r="J93" s="2"/>
      <c r="K93" s="2"/>
      <c r="L93" s="2"/>
      <c r="M93" s="2"/>
      <c r="N93" s="2"/>
      <c r="O93" s="2"/>
      <c r="P93" s="2"/>
    </row>
    <row r="94" spans="1:16" ht="21" customHeight="1">
      <c r="A94" s="2"/>
      <c r="B94" s="2"/>
      <c r="C94" s="2"/>
      <c r="D94" s="2"/>
      <c r="E94" s="2"/>
      <c r="F94" s="13"/>
      <c r="G94" s="2"/>
      <c r="H94" s="2"/>
      <c r="I94" s="2"/>
      <c r="J94" s="2"/>
      <c r="K94" s="2"/>
      <c r="L94" s="2"/>
      <c r="M94" s="2"/>
      <c r="N94" s="2"/>
      <c r="O94" s="2"/>
      <c r="P94" s="2"/>
    </row>
    <row r="95" spans="1:16" ht="21" customHeight="1">
      <c r="A95" s="2"/>
      <c r="B95" s="2"/>
      <c r="C95" s="2"/>
      <c r="D95" s="2"/>
      <c r="E95" s="2"/>
      <c r="F95" s="13"/>
      <c r="G95" s="2"/>
      <c r="H95" s="2"/>
      <c r="I95" s="2"/>
      <c r="J95" s="2"/>
      <c r="K95" s="2"/>
      <c r="L95" s="2"/>
      <c r="M95" s="2"/>
      <c r="N95" s="2"/>
      <c r="O95" s="2"/>
      <c r="P95" s="2"/>
    </row>
    <row r="96" spans="1:16" ht="21" customHeight="1">
      <c r="A96" s="2"/>
      <c r="B96" s="2"/>
      <c r="C96" s="2"/>
      <c r="D96" s="2"/>
      <c r="E96" s="2"/>
      <c r="F96" s="13"/>
      <c r="G96" s="2"/>
      <c r="H96" s="2"/>
      <c r="I96" s="2"/>
      <c r="J96" s="2"/>
      <c r="K96" s="2"/>
      <c r="L96" s="2"/>
      <c r="M96" s="2"/>
      <c r="N96" s="2"/>
      <c r="O96" s="2"/>
      <c r="P96" s="2"/>
    </row>
    <row r="97" spans="1:16" ht="21" customHeight="1">
      <c r="A97" s="2"/>
      <c r="B97" s="2"/>
      <c r="C97" s="2"/>
      <c r="D97" s="2"/>
      <c r="E97" s="2"/>
      <c r="F97" s="13"/>
      <c r="G97" s="2"/>
      <c r="H97" s="2"/>
      <c r="I97" s="2"/>
      <c r="J97" s="2"/>
      <c r="K97" s="2"/>
      <c r="L97" s="2"/>
      <c r="M97" s="2"/>
      <c r="N97" s="2"/>
      <c r="O97" s="2"/>
      <c r="P97" s="2"/>
    </row>
    <row r="98" spans="1:16" ht="21" customHeight="1">
      <c r="A98" s="2"/>
      <c r="B98" s="2"/>
      <c r="C98" s="2"/>
      <c r="D98" s="2"/>
      <c r="E98" s="2"/>
      <c r="F98" s="13"/>
      <c r="G98" s="2"/>
      <c r="H98" s="2"/>
      <c r="I98" s="2"/>
      <c r="J98" s="2"/>
      <c r="K98" s="2"/>
      <c r="L98" s="2"/>
      <c r="M98" s="2"/>
      <c r="N98" s="2"/>
      <c r="O98" s="2"/>
      <c r="P98" s="2"/>
    </row>
    <row r="99" spans="1:16" ht="21" customHeight="1">
      <c r="A99" s="2"/>
      <c r="B99" s="2"/>
      <c r="C99" s="2"/>
      <c r="D99" s="2"/>
      <c r="E99" s="2"/>
      <c r="F99" s="13"/>
      <c r="G99" s="2"/>
      <c r="H99" s="2"/>
      <c r="I99" s="2"/>
      <c r="J99" s="2"/>
      <c r="K99" s="2"/>
      <c r="L99" s="2"/>
      <c r="M99" s="2"/>
      <c r="N99" s="2"/>
      <c r="O99" s="2"/>
      <c r="P99" s="2"/>
    </row>
    <row r="100" spans="1:16" ht="21" customHeight="1">
      <c r="A100" s="2"/>
      <c r="B100" s="2"/>
      <c r="C100" s="2"/>
      <c r="D100" s="2"/>
      <c r="E100" s="2"/>
      <c r="F100" s="13"/>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Stock</vt:lpstr>
      <vt:lpstr>ETF</vt:lpstr>
      <vt:lpstr>Mutual Fund</vt:lpstr>
      <vt:lpstr>Settings</vt:lpstr>
      <vt:lpstr>Stock Data</vt:lpstr>
      <vt:lpstr>ETF Data</vt:lpstr>
      <vt:lpstr>Fund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Brent Threadgill</cp:lastModifiedBy>
  <dcterms:created xsi:type="dcterms:W3CDTF">2026-10-12T23:54:43Z</dcterms:created>
  <dcterms:modified xsi:type="dcterms:W3CDTF">2026-10-12T23:56:25Z</dcterms:modified>
</cp:coreProperties>
</file>